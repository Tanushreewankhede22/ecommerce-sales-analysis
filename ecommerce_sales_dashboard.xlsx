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6158c48300a79c/Desktop/"/>
    </mc:Choice>
  </mc:AlternateContent>
  <xr:revisionPtr revIDLastSave="140" documentId="8_{CFA5D131-D3C4-4759-9AC8-06F900491D04}" xr6:coauthVersionLast="47" xr6:coauthVersionMax="47" xr10:uidLastSave="{C10B9369-996A-4101-B6E0-8D008B824742}"/>
  <bookViews>
    <workbookView xWindow="-108" yWindow="-108" windowWidth="23256" windowHeight="12456" firstSheet="3" activeTab="7" xr2:uid="{4625F327-42BA-40A0-8608-460071E84483}"/>
  </bookViews>
  <sheets>
    <sheet name="ecommerce_sales_1000_rows (1)" sheetId="1" r:id="rId1"/>
    <sheet name="Summary" sheetId="2" r:id="rId2"/>
    <sheet name="Category Analysis" sheetId="3" r:id="rId3"/>
    <sheet name="Regional Analysis" sheetId="4" r:id="rId4"/>
    <sheet name="Product Analysis" sheetId="5" r:id="rId5"/>
    <sheet name="Customer Analysis" sheetId="6" r:id="rId6"/>
    <sheet name="Monthly Sales" sheetId="7" r:id="rId7"/>
    <sheet name="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8" l="1"/>
  <c r="I4" i="8"/>
  <c r="G4" i="8"/>
  <c r="E4" i="8"/>
  <c r="C4" i="8"/>
  <c r="C4" i="7" a="1"/>
  <c r="C4" i="7" s="1"/>
  <c r="C5" i="7" a="1"/>
  <c r="C5" i="7" s="1"/>
  <c r="C6" i="7" a="1"/>
  <c r="C6" i="7" s="1"/>
  <c r="C7" i="7" a="1"/>
  <c r="C7" i="7" s="1"/>
  <c r="C8" i="7" a="1"/>
  <c r="C8" i="7" s="1"/>
  <c r="C9" i="7" a="1"/>
  <c r="C9" i="7" s="1"/>
  <c r="C10" i="7" a="1"/>
  <c r="C10" i="7" s="1"/>
  <c r="C11" i="7" a="1"/>
  <c r="C11" i="7" s="1"/>
  <c r="C12" i="7" a="1"/>
  <c r="C12" i="7" s="1"/>
  <c r="C13" i="7" a="1"/>
  <c r="C13" i="7" s="1"/>
  <c r="C3" i="7" a="1"/>
  <c r="C3" i="7" s="1"/>
  <c r="C2" i="7" a="1"/>
  <c r="C2" i="7" s="1"/>
  <c r="B3" i="7" a="1"/>
  <c r="B3" i="7" s="1"/>
  <c r="B4" i="7" a="1"/>
  <c r="B4" i="7" s="1"/>
  <c r="B5" i="7" a="1"/>
  <c r="B5" i="7" s="1"/>
  <c r="B6" i="7" a="1"/>
  <c r="B6" i="7" s="1"/>
  <c r="B7" i="7" a="1"/>
  <c r="B7" i="7" s="1"/>
  <c r="B8" i="7" a="1"/>
  <c r="B8" i="7" s="1"/>
  <c r="B9" i="7" a="1"/>
  <c r="B9" i="7" s="1"/>
  <c r="B10" i="7" a="1"/>
  <c r="B10" i="7" s="1"/>
  <c r="B11" i="7" a="1"/>
  <c r="B11" i="7" s="1"/>
  <c r="B12" i="7" a="1"/>
  <c r="B12" i="7" s="1"/>
  <c r="B13" i="7" a="1"/>
  <c r="B13" i="7" s="1"/>
  <c r="B2" i="7" a="1"/>
  <c r="B2" i="7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" i="6"/>
  <c r="A2" i="6" a="1"/>
  <c r="A2" i="6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" i="5"/>
  <c r="A2" i="5" a="1"/>
  <c r="A2" i="5" s="1"/>
  <c r="C3" i="4"/>
  <c r="C4" i="4"/>
  <c r="C5" i="4"/>
  <c r="C6" i="4"/>
  <c r="C2" i="4"/>
  <c r="B3" i="4"/>
  <c r="B4" i="4"/>
  <c r="B5" i="4"/>
  <c r="B6" i="4"/>
  <c r="B2" i="4"/>
  <c r="C3" i="3"/>
  <c r="C4" i="3"/>
  <c r="C5" i="3"/>
  <c r="C2" i="3"/>
  <c r="B3" i="3"/>
  <c r="B4" i="3"/>
  <c r="B5" i="3"/>
  <c r="B2" i="3"/>
  <c r="B7" i="2"/>
  <c r="B6" i="2"/>
  <c r="B5" i="2"/>
  <c r="B4" i="2"/>
  <c r="B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<sst xmlns="http://schemas.openxmlformats.org/spreadsheetml/2006/main" count="22432" uniqueCount="17932">
  <si>
    <t>Order_ID</t>
  </si>
  <si>
    <t>Order_Date</t>
  </si>
  <si>
    <t>Customer_ID</t>
  </si>
  <si>
    <t>Customer_Name</t>
  </si>
  <si>
    <t>Product</t>
  </si>
  <si>
    <t>Category</t>
  </si>
  <si>
    <t>Region</t>
  </si>
  <si>
    <t>Quantity</t>
  </si>
  <si>
    <t>Sales</t>
  </si>
  <si>
    <t>Discount</t>
  </si>
  <si>
    <t>Profit</t>
  </si>
  <si>
    <t>ORD0001</t>
  </si>
  <si>
    <t>C164</t>
  </si>
  <si>
    <t>Neha Yadav</t>
  </si>
  <si>
    <t>Monitor</t>
  </si>
  <si>
    <t>Technology</t>
  </si>
  <si>
    <t>South</t>
  </si>
  <si>
    <t>ORD0002</t>
  </si>
  <si>
    <t>C189</t>
  </si>
  <si>
    <t>Vikash Joshi</t>
  </si>
  <si>
    <t>North</t>
  </si>
  <si>
    <t>ORD0003</t>
  </si>
  <si>
    <t>C056</t>
  </si>
  <si>
    <t>Kavya Singh</t>
  </si>
  <si>
    <t>Printer</t>
  </si>
  <si>
    <t>Office Supplies</t>
  </si>
  <si>
    <t>Central</t>
  </si>
  <si>
    <t>ORD0004</t>
  </si>
  <si>
    <t>C108</t>
  </si>
  <si>
    <t>Anjali Gupta</t>
  </si>
  <si>
    <t>ORD0005</t>
  </si>
  <si>
    <t>C195</t>
  </si>
  <si>
    <t>Manish Joshi</t>
  </si>
  <si>
    <t>Keyboard</t>
  </si>
  <si>
    <t>East</t>
  </si>
  <si>
    <t>ORD0006</t>
  </si>
  <si>
    <t>C027</t>
  </si>
  <si>
    <t>Arjun Verma</t>
  </si>
  <si>
    <t>Tablet</t>
  </si>
  <si>
    <t>ORD0007</t>
  </si>
  <si>
    <t>C068</t>
  </si>
  <si>
    <t>Anjali Patel</t>
  </si>
  <si>
    <t>Smartphone</t>
  </si>
  <si>
    <t>West</t>
  </si>
  <si>
    <t>ORD0008</t>
  </si>
  <si>
    <t>C021</t>
  </si>
  <si>
    <t>Rahul Verma</t>
  </si>
  <si>
    <t>External Hard Drive</t>
  </si>
  <si>
    <t>ORD0009</t>
  </si>
  <si>
    <t>C148</t>
  </si>
  <si>
    <t>Anjali Shah</t>
  </si>
  <si>
    <t>Mouse</t>
  </si>
  <si>
    <t>ORD0010</t>
  </si>
  <si>
    <t>ORD0011</t>
  </si>
  <si>
    <t>C042</t>
  </si>
  <si>
    <t>Priya Singh</t>
  </si>
  <si>
    <t>Office Chair</t>
  </si>
  <si>
    <t>Furniture</t>
  </si>
  <si>
    <t>ORD0012</t>
  </si>
  <si>
    <t>C156</t>
  </si>
  <si>
    <t>Kavya Shah</t>
  </si>
  <si>
    <t>ORD0013</t>
  </si>
  <si>
    <t>C057</t>
  </si>
  <si>
    <t>Nikhil Singh</t>
  </si>
  <si>
    <t>Desk</t>
  </si>
  <si>
    <t>ORD0014</t>
  </si>
  <si>
    <t>C069</t>
  </si>
  <si>
    <t>Vikash Patel</t>
  </si>
  <si>
    <t>ORD0015</t>
  </si>
  <si>
    <t>C102</t>
  </si>
  <si>
    <t>Priya Gupta</t>
  </si>
  <si>
    <t>Backpack</t>
  </si>
  <si>
    <t>Accessories</t>
  </si>
  <si>
    <t>ORD0016</t>
  </si>
  <si>
    <t>C138</t>
  </si>
  <si>
    <t>Ayesha Mehta</t>
  </si>
  <si>
    <t>Notebook</t>
  </si>
  <si>
    <t>ORD0017</t>
  </si>
  <si>
    <t>C131</t>
  </si>
  <si>
    <t>Karan Mehta</t>
  </si>
  <si>
    <t>Webcam</t>
  </si>
  <si>
    <t>ORD0018</t>
  </si>
  <si>
    <t>C161</t>
  </si>
  <si>
    <t>Rahul Yadav</t>
  </si>
  <si>
    <t>ORD0019</t>
  </si>
  <si>
    <t>C120</t>
  </si>
  <si>
    <t>Meena Gupta</t>
  </si>
  <si>
    <t>USB Hub</t>
  </si>
  <si>
    <t>ORD0020</t>
  </si>
  <si>
    <t>C175</t>
  </si>
  <si>
    <t>Manish Yadav</t>
  </si>
  <si>
    <t>ORD0021</t>
  </si>
  <si>
    <t>C112</t>
  </si>
  <si>
    <t>Simran Gupta</t>
  </si>
  <si>
    <t>ORD0022</t>
  </si>
  <si>
    <t>C130</t>
  </si>
  <si>
    <t>Pooja Mehta</t>
  </si>
  <si>
    <t>ORD0023</t>
  </si>
  <si>
    <t>C040</t>
  </si>
  <si>
    <t>Meena Verma</t>
  </si>
  <si>
    <t>ORD0024</t>
  </si>
  <si>
    <t>C083</t>
  </si>
  <si>
    <t>Amit Kumar</t>
  </si>
  <si>
    <t>ORD0025</t>
  </si>
  <si>
    <t>C062</t>
  </si>
  <si>
    <t>Priya Patel</t>
  </si>
  <si>
    <t>ORD0026</t>
  </si>
  <si>
    <t>C209</t>
  </si>
  <si>
    <t>Vikash Malhotra</t>
  </si>
  <si>
    <t>ORD0027</t>
  </si>
  <si>
    <t>C043</t>
  </si>
  <si>
    <t>Amit Singh</t>
  </si>
  <si>
    <t>ORD0028</t>
  </si>
  <si>
    <t>C183</t>
  </si>
  <si>
    <t>Amit Joshi</t>
  </si>
  <si>
    <t>Pen Set</t>
  </si>
  <si>
    <t>ORD0029</t>
  </si>
  <si>
    <t>C116</t>
  </si>
  <si>
    <t>Kavya Gupta</t>
  </si>
  <si>
    <t>ORD0030</t>
  </si>
  <si>
    <t>C142</t>
  </si>
  <si>
    <t>Priya Shah</t>
  </si>
  <si>
    <t>ORD0031</t>
  </si>
  <si>
    <t>C059</t>
  </si>
  <si>
    <t>Suresh Singh</t>
  </si>
  <si>
    <t>ORD0032</t>
  </si>
  <si>
    <t>C072</t>
  </si>
  <si>
    <t>Simran Patel</t>
  </si>
  <si>
    <t>ORD0033</t>
  </si>
  <si>
    <t>ORD0034</t>
  </si>
  <si>
    <t>C025</t>
  </si>
  <si>
    <t>Rohit Verma</t>
  </si>
  <si>
    <t>ORD0035</t>
  </si>
  <si>
    <t>C173</t>
  </si>
  <si>
    <t>Aditya Yadav</t>
  </si>
  <si>
    <t>ORD0036</t>
  </si>
  <si>
    <t>C064</t>
  </si>
  <si>
    <t>Neha Patel</t>
  </si>
  <si>
    <t>ORD0037</t>
  </si>
  <si>
    <t>ORD0038</t>
  </si>
  <si>
    <t>C026</t>
  </si>
  <si>
    <t>Sneha Verma</t>
  </si>
  <si>
    <t>ORD0039</t>
  </si>
  <si>
    <t>C124</t>
  </si>
  <si>
    <t>Neha Mehta</t>
  </si>
  <si>
    <t>ORD0040</t>
  </si>
  <si>
    <t>ORD0041</t>
  </si>
  <si>
    <t>C170</t>
  </si>
  <si>
    <t>Pooja Yadav</t>
  </si>
  <si>
    <t>ORD0042</t>
  </si>
  <si>
    <t>C149</t>
  </si>
  <si>
    <t>Vikash Shah</t>
  </si>
  <si>
    <t>ORD0043</t>
  </si>
  <si>
    <t>C123</t>
  </si>
  <si>
    <t>Amit Mehta</t>
  </si>
  <si>
    <t>ORD0044</t>
  </si>
  <si>
    <t>C018</t>
  </si>
  <si>
    <t>Ayesha Sharma</t>
  </si>
  <si>
    <t>Calculator</t>
  </si>
  <si>
    <t>ORD0045</t>
  </si>
  <si>
    <t>Desk Organizer</t>
  </si>
  <si>
    <t>ORD0046</t>
  </si>
  <si>
    <t>C145</t>
  </si>
  <si>
    <t>Rohit Shah</t>
  </si>
  <si>
    <t>ORD0047</t>
  </si>
  <si>
    <t>ORD0048</t>
  </si>
  <si>
    <t>C081</t>
  </si>
  <si>
    <t>Rahul Kumar</t>
  </si>
  <si>
    <t>ORD0049</t>
  </si>
  <si>
    <t>C019</t>
  </si>
  <si>
    <t>Suresh Sharma</t>
  </si>
  <si>
    <t>ORD0050</t>
  </si>
  <si>
    <t>C226</t>
  </si>
  <si>
    <t>Sneha Kapoor</t>
  </si>
  <si>
    <t>ORD0051</t>
  </si>
  <si>
    <t>C181</t>
  </si>
  <si>
    <t>Rahul Joshi</t>
  </si>
  <si>
    <t>ORD0052</t>
  </si>
  <si>
    <t>C241</t>
  </si>
  <si>
    <t>Rahul Mishra</t>
  </si>
  <si>
    <t>Headphones</t>
  </si>
  <si>
    <t>ORD0053</t>
  </si>
  <si>
    <t>C070</t>
  </si>
  <si>
    <t>Pooja Patel</t>
  </si>
  <si>
    <t>ORD0054</t>
  </si>
  <si>
    <t>ORD0055</t>
  </si>
  <si>
    <t>C213</t>
  </si>
  <si>
    <t>Aditya Malhotra</t>
  </si>
  <si>
    <t>ORD0056</t>
  </si>
  <si>
    <t>ORD0057</t>
  </si>
  <si>
    <t>C140</t>
  </si>
  <si>
    <t>Meena Mehta</t>
  </si>
  <si>
    <t>ORD0058</t>
  </si>
  <si>
    <t>C011</t>
  </si>
  <si>
    <t>Karan Sharma</t>
  </si>
  <si>
    <t>ORD0059</t>
  </si>
  <si>
    <t>ORD0060</t>
  </si>
  <si>
    <t>C250</t>
  </si>
  <si>
    <t>Pooja Mishra</t>
  </si>
  <si>
    <t>ORD0061</t>
  </si>
  <si>
    <t>Table Lamp</t>
  </si>
  <si>
    <t>ORD0062</t>
  </si>
  <si>
    <t>C206</t>
  </si>
  <si>
    <t>Sneha Malhotra</t>
  </si>
  <si>
    <t>ORD0063</t>
  </si>
  <si>
    <t>C220</t>
  </si>
  <si>
    <t>Meena Malhotra</t>
  </si>
  <si>
    <t>ORD0064</t>
  </si>
  <si>
    <t>C058</t>
  </si>
  <si>
    <t>Ayesha Singh</t>
  </si>
  <si>
    <t>Laptop</t>
  </si>
  <si>
    <t>ORD0065</t>
  </si>
  <si>
    <t>C248</t>
  </si>
  <si>
    <t>Anjali Mishra</t>
  </si>
  <si>
    <t>ORD0066</t>
  </si>
  <si>
    <t>C085</t>
  </si>
  <si>
    <t>Rohit Kumar</t>
  </si>
  <si>
    <t>ORD0067</t>
  </si>
  <si>
    <t>C010</t>
  </si>
  <si>
    <t>Pooja Sharma</t>
  </si>
  <si>
    <t>ORD0068</t>
  </si>
  <si>
    <t>C030</t>
  </si>
  <si>
    <t>Pooja Verma</t>
  </si>
  <si>
    <t>Bookshelf</t>
  </si>
  <si>
    <t>ORD0069</t>
  </si>
  <si>
    <t>C134</t>
  </si>
  <si>
    <t>Riya Mehta</t>
  </si>
  <si>
    <t>ORD0070</t>
  </si>
  <si>
    <t>C160</t>
  </si>
  <si>
    <t>Meena Shah</t>
  </si>
  <si>
    <t>ORD0071</t>
  </si>
  <si>
    <t>C084</t>
  </si>
  <si>
    <t>Neha Kumar</t>
  </si>
  <si>
    <t>ORD0072</t>
  </si>
  <si>
    <t>C174</t>
  </si>
  <si>
    <t>Riya Yadav</t>
  </si>
  <si>
    <t>ORD0073</t>
  </si>
  <si>
    <t>C074</t>
  </si>
  <si>
    <t>Riya Patel</t>
  </si>
  <si>
    <t>ORD0074</t>
  </si>
  <si>
    <t>ORD0075</t>
  </si>
  <si>
    <t>C169</t>
  </si>
  <si>
    <t>Vikash Yadav</t>
  </si>
  <si>
    <t>ORD0076</t>
  </si>
  <si>
    <t>C024</t>
  </si>
  <si>
    <t>Neha Verma</t>
  </si>
  <si>
    <t>ORD0077</t>
  </si>
  <si>
    <t>C063</t>
  </si>
  <si>
    <t>Amit Patel</t>
  </si>
  <si>
    <t>ORD0078</t>
  </si>
  <si>
    <t>C050</t>
  </si>
  <si>
    <t>Pooja Singh</t>
  </si>
  <si>
    <t>ORD0079</t>
  </si>
  <si>
    <t>C229</t>
  </si>
  <si>
    <t>Vikash Kapoor</t>
  </si>
  <si>
    <t>ORD0080</t>
  </si>
  <si>
    <t>C119</t>
  </si>
  <si>
    <t>Suresh Gupta</t>
  </si>
  <si>
    <t>ORD0081</t>
  </si>
  <si>
    <t>C171</t>
  </si>
  <si>
    <t>Karan Yadav</t>
  </si>
  <si>
    <t>ORD0082</t>
  </si>
  <si>
    <t>C110</t>
  </si>
  <si>
    <t>Pooja Gupta</t>
  </si>
  <si>
    <t>ORD0083</t>
  </si>
  <si>
    <t>C216</t>
  </si>
  <si>
    <t>Kavya Malhotra</t>
  </si>
  <si>
    <t>ORD0084</t>
  </si>
  <si>
    <t>ORD0085</t>
  </si>
  <si>
    <t>ORD0086</t>
  </si>
  <si>
    <t>C017</t>
  </si>
  <si>
    <t>Nikhil Sharma</t>
  </si>
  <si>
    <t>ORD0087</t>
  </si>
  <si>
    <t>C053</t>
  </si>
  <si>
    <t>Aditya Singh</t>
  </si>
  <si>
    <t>ORD0088</t>
  </si>
  <si>
    <t>ORD0089</t>
  </si>
  <si>
    <t>C193</t>
  </si>
  <si>
    <t>Aditya Joshi</t>
  </si>
  <si>
    <t>ORD0090</t>
  </si>
  <si>
    <t>C125</t>
  </si>
  <si>
    <t>Rohit Mehta</t>
  </si>
  <si>
    <t>ORD0091</t>
  </si>
  <si>
    <t>C172</t>
  </si>
  <si>
    <t>Simran Yadav</t>
  </si>
  <si>
    <t>ORD0092</t>
  </si>
  <si>
    <t>C137</t>
  </si>
  <si>
    <t>Nikhil Mehta</t>
  </si>
  <si>
    <t>ORD0093</t>
  </si>
  <si>
    <t>C165</t>
  </si>
  <si>
    <t>Rohit Yadav</t>
  </si>
  <si>
    <t>ORD0094</t>
  </si>
  <si>
    <t>C098</t>
  </si>
  <si>
    <t>Ayesha Kumar</t>
  </si>
  <si>
    <t>ORD0095</t>
  </si>
  <si>
    <t>ORD0096</t>
  </si>
  <si>
    <t>C014</t>
  </si>
  <si>
    <t>Riya Sharma</t>
  </si>
  <si>
    <t>ORD0097</t>
  </si>
  <si>
    <t>C194</t>
  </si>
  <si>
    <t>Riya Joshi</t>
  </si>
  <si>
    <t>ORD0098</t>
  </si>
  <si>
    <t>C033</t>
  </si>
  <si>
    <t>Aditya Verma</t>
  </si>
  <si>
    <t>ORD0099</t>
  </si>
  <si>
    <t>C197</t>
  </si>
  <si>
    <t>Nikhil Joshi</t>
  </si>
  <si>
    <t>ORD0100</t>
  </si>
  <si>
    <t>C200</t>
  </si>
  <si>
    <t>Meena Joshi</t>
  </si>
  <si>
    <t>ORD0101</t>
  </si>
  <si>
    <t>ORD0102</t>
  </si>
  <si>
    <t>ORD0103</t>
  </si>
  <si>
    <t>ORD0104</t>
  </si>
  <si>
    <t>C218</t>
  </si>
  <si>
    <t>Ayesha Malhotra</t>
  </si>
  <si>
    <t>ORD0105</t>
  </si>
  <si>
    <t>C182</t>
  </si>
  <si>
    <t>Priya Joshi</t>
  </si>
  <si>
    <t>ORD0106</t>
  </si>
  <si>
    <t>C158</t>
  </si>
  <si>
    <t>Ayesha Shah</t>
  </si>
  <si>
    <t>ORD0107</t>
  </si>
  <si>
    <t>ORD0108</t>
  </si>
  <si>
    <t>ORD0109</t>
  </si>
  <si>
    <t>C047</t>
  </si>
  <si>
    <t>Arjun Singh</t>
  </si>
  <si>
    <t>ORD0110</t>
  </si>
  <si>
    <t>C180</t>
  </si>
  <si>
    <t>Meena Yadav</t>
  </si>
  <si>
    <t>ORD0111</t>
  </si>
  <si>
    <t>C126</t>
  </si>
  <si>
    <t>Sneha Mehta</t>
  </si>
  <si>
    <t>ORD0112</t>
  </si>
  <si>
    <t>C115</t>
  </si>
  <si>
    <t>Manish Gupta</t>
  </si>
  <si>
    <t>ORD0113</t>
  </si>
  <si>
    <t>C079</t>
  </si>
  <si>
    <t>Suresh Patel</t>
  </si>
  <si>
    <t>ORD0114</t>
  </si>
  <si>
    <t>C191</t>
  </si>
  <si>
    <t>Karan Joshi</t>
  </si>
  <si>
    <t>ORD0115</t>
  </si>
  <si>
    <t>C065</t>
  </si>
  <si>
    <t>Rohit Patel</t>
  </si>
  <si>
    <t>ORD0116</t>
  </si>
  <si>
    <t>C244</t>
  </si>
  <si>
    <t>Neha Mishra</t>
  </si>
  <si>
    <t>ORD0117</t>
  </si>
  <si>
    <t>ORD0118</t>
  </si>
  <si>
    <t>C046</t>
  </si>
  <si>
    <t>Sneha Singh</t>
  </si>
  <si>
    <t>ORD0119</t>
  </si>
  <si>
    <t>ORD0120</t>
  </si>
  <si>
    <t>ORD0121</t>
  </si>
  <si>
    <t>ORD0122</t>
  </si>
  <si>
    <t>C103</t>
  </si>
  <si>
    <t>Amit Gupta</t>
  </si>
  <si>
    <t>ORD0123</t>
  </si>
  <si>
    <t>C039</t>
  </si>
  <si>
    <t>Suresh Verma</t>
  </si>
  <si>
    <t>ORD0124</t>
  </si>
  <si>
    <t>ORD0125</t>
  </si>
  <si>
    <t>C077</t>
  </si>
  <si>
    <t>Nikhil Patel</t>
  </si>
  <si>
    <t>ORD0126</t>
  </si>
  <si>
    <t>C246</t>
  </si>
  <si>
    <t>Sneha Mishra</t>
  </si>
  <si>
    <t>ORD0127</t>
  </si>
  <si>
    <t>C041</t>
  </si>
  <si>
    <t>Rahul Singh</t>
  </si>
  <si>
    <t>ORD0128</t>
  </si>
  <si>
    <t>ORD0129</t>
  </si>
  <si>
    <t>ORD0130</t>
  </si>
  <si>
    <t>ORD0131</t>
  </si>
  <si>
    <t>C233</t>
  </si>
  <si>
    <t>Aditya Kapoor</t>
  </si>
  <si>
    <t>ORD0132</t>
  </si>
  <si>
    <t>C153</t>
  </si>
  <si>
    <t>Aditya Shah</t>
  </si>
  <si>
    <t>ORD0133</t>
  </si>
  <si>
    <t>ORD0134</t>
  </si>
  <si>
    <t>C154</t>
  </si>
  <si>
    <t>Riya Shah</t>
  </si>
  <si>
    <t>ORD0135</t>
  </si>
  <si>
    <t>ORD0136</t>
  </si>
  <si>
    <t>ORD0137</t>
  </si>
  <si>
    <t>ORD0138</t>
  </si>
  <si>
    <t>C090</t>
  </si>
  <si>
    <t>Pooja Kumar</t>
  </si>
  <si>
    <t>ORD0139</t>
  </si>
  <si>
    <t>ORD0140</t>
  </si>
  <si>
    <t>ORD0141</t>
  </si>
  <si>
    <t>C222</t>
  </si>
  <si>
    <t>Priya Kapoor</t>
  </si>
  <si>
    <t>ORD0142</t>
  </si>
  <si>
    <t>C049</t>
  </si>
  <si>
    <t>Vikash Singh</t>
  </si>
  <si>
    <t>ORD0143</t>
  </si>
  <si>
    <t>ORD0144</t>
  </si>
  <si>
    <t>C032</t>
  </si>
  <si>
    <t>Simran Verma</t>
  </si>
  <si>
    <t>ORD0145</t>
  </si>
  <si>
    <t>ORD0146</t>
  </si>
  <si>
    <t>C166</t>
  </si>
  <si>
    <t>Sneha Yadav</t>
  </si>
  <si>
    <t>ORD0147</t>
  </si>
  <si>
    <t>C107</t>
  </si>
  <si>
    <t>Arjun Gupta</t>
  </si>
  <si>
    <t>ORD0148</t>
  </si>
  <si>
    <t>ORD0149</t>
  </si>
  <si>
    <t>C088</t>
  </si>
  <si>
    <t>Anjali Kumar</t>
  </si>
  <si>
    <t>ORD0150</t>
  </si>
  <si>
    <t>C215</t>
  </si>
  <si>
    <t>Manish Malhotra</t>
  </si>
  <si>
    <t>ORD0151</t>
  </si>
  <si>
    <t>C089</t>
  </si>
  <si>
    <t>Vikash Kumar</t>
  </si>
  <si>
    <t>ORD0152</t>
  </si>
  <si>
    <t>C147</t>
  </si>
  <si>
    <t>Arjun Shah</t>
  </si>
  <si>
    <t>ORD0153</t>
  </si>
  <si>
    <t>ORD0154</t>
  </si>
  <si>
    <t>C247</t>
  </si>
  <si>
    <t>Arjun Mishra</t>
  </si>
  <si>
    <t>ORD0155</t>
  </si>
  <si>
    <t>C224</t>
  </si>
  <si>
    <t>Neha Kapoor</t>
  </si>
  <si>
    <t>ORD0156</t>
  </si>
  <si>
    <t>C105</t>
  </si>
  <si>
    <t>Rohit Gupta</t>
  </si>
  <si>
    <t>ORD0157</t>
  </si>
  <si>
    <t>C167</t>
  </si>
  <si>
    <t>Arjun Yadav</t>
  </si>
  <si>
    <t>ORD0158</t>
  </si>
  <si>
    <t>C245</t>
  </si>
  <si>
    <t>Rohit Mishra</t>
  </si>
  <si>
    <t>ORD0159</t>
  </si>
  <si>
    <t>C061</t>
  </si>
  <si>
    <t>Rahul Patel</t>
  </si>
  <si>
    <t>ORD0160</t>
  </si>
  <si>
    <t>ORD0161</t>
  </si>
  <si>
    <t>C012</t>
  </si>
  <si>
    <t>Simran Sharma</t>
  </si>
  <si>
    <t>ORD0162</t>
  </si>
  <si>
    <t>ORD0163</t>
  </si>
  <si>
    <t>C045</t>
  </si>
  <si>
    <t>Rohit Singh</t>
  </si>
  <si>
    <t>ORD0164</t>
  </si>
  <si>
    <t>C037</t>
  </si>
  <si>
    <t>Nikhil Verma</t>
  </si>
  <si>
    <t>ORD0165</t>
  </si>
  <si>
    <t>C231</t>
  </si>
  <si>
    <t>Karan Kapoor</t>
  </si>
  <si>
    <t>ORD0166</t>
  </si>
  <si>
    <t>C242</t>
  </si>
  <si>
    <t>Priya Mishra</t>
  </si>
  <si>
    <t>ORD0167</t>
  </si>
  <si>
    <t>C217</t>
  </si>
  <si>
    <t>Nikhil Malhotra</t>
  </si>
  <si>
    <t>ORD0168</t>
  </si>
  <si>
    <t>ORD0169</t>
  </si>
  <si>
    <t>C071</t>
  </si>
  <si>
    <t>Karan Patel</t>
  </si>
  <si>
    <t>ORD0170</t>
  </si>
  <si>
    <t>C199</t>
  </si>
  <si>
    <t>Suresh Joshi</t>
  </si>
  <si>
    <t>ORD0171</t>
  </si>
  <si>
    <t>ORD0172</t>
  </si>
  <si>
    <t>C009</t>
  </si>
  <si>
    <t>Vikash Sharma</t>
  </si>
  <si>
    <t>ORD0173</t>
  </si>
  <si>
    <t>ORD0174</t>
  </si>
  <si>
    <t>C136</t>
  </si>
  <si>
    <t>Kavya Mehta</t>
  </si>
  <si>
    <t>ORD0175</t>
  </si>
  <si>
    <t>ORD0176</t>
  </si>
  <si>
    <t>ORD0177</t>
  </si>
  <si>
    <t>C004</t>
  </si>
  <si>
    <t>Neha Sharma</t>
  </si>
  <si>
    <t>ORD0178</t>
  </si>
  <si>
    <t>C150</t>
  </si>
  <si>
    <t>Pooja Shah</t>
  </si>
  <si>
    <t>ORD0179</t>
  </si>
  <si>
    <t>C159</t>
  </si>
  <si>
    <t>Suresh Shah</t>
  </si>
  <si>
    <t>ORD0180</t>
  </si>
  <si>
    <t>ORD0181</t>
  </si>
  <si>
    <t>C078</t>
  </si>
  <si>
    <t>Ayesha Patel</t>
  </si>
  <si>
    <t>ORD0182</t>
  </si>
  <si>
    <t>C100</t>
  </si>
  <si>
    <t>Meena Kumar</t>
  </si>
  <si>
    <t>ORD0183</t>
  </si>
  <si>
    <t>C151</t>
  </si>
  <si>
    <t>Karan Shah</t>
  </si>
  <si>
    <t>ORD0184</t>
  </si>
  <si>
    <t>ORD0185</t>
  </si>
  <si>
    <t>ORD0186</t>
  </si>
  <si>
    <t>C016</t>
  </si>
  <si>
    <t>Kavya Sharma</t>
  </si>
  <si>
    <t>ORD0187</t>
  </si>
  <si>
    <t>ORD0188</t>
  </si>
  <si>
    <t>C202</t>
  </si>
  <si>
    <t>Priya Malhotra</t>
  </si>
  <si>
    <t>ORD0189</t>
  </si>
  <si>
    <t>ORD0190</t>
  </si>
  <si>
    <t>C001</t>
  </si>
  <si>
    <t>Rahul Sharma</t>
  </si>
  <si>
    <t>ORD0191</t>
  </si>
  <si>
    <t>C029</t>
  </si>
  <si>
    <t>Vikash Verma</t>
  </si>
  <si>
    <t>ORD0192</t>
  </si>
  <si>
    <t>ORD0193</t>
  </si>
  <si>
    <t>C135</t>
  </si>
  <si>
    <t>Manish Mehta</t>
  </si>
  <si>
    <t>ORD0194</t>
  </si>
  <si>
    <t>C152</t>
  </si>
  <si>
    <t>Simran Shah</t>
  </si>
  <si>
    <t>ORD0195</t>
  </si>
  <si>
    <t>C187</t>
  </si>
  <si>
    <t>Arjun Joshi</t>
  </si>
  <si>
    <t>ORD0196</t>
  </si>
  <si>
    <t>ORD0197</t>
  </si>
  <si>
    <t>ORD0198</t>
  </si>
  <si>
    <t>ORD0199</t>
  </si>
  <si>
    <t>ORD0200</t>
  </si>
  <si>
    <t>C185</t>
  </si>
  <si>
    <t>Rohit Joshi</t>
  </si>
  <si>
    <t>ORD0201</t>
  </si>
  <si>
    <t>ORD0202</t>
  </si>
  <si>
    <t>C096</t>
  </si>
  <si>
    <t>Kavya Kumar</t>
  </si>
  <si>
    <t>ORD0203</t>
  </si>
  <si>
    <t>C111</t>
  </si>
  <si>
    <t>Karan Gupta</t>
  </si>
  <si>
    <t>ORD0204</t>
  </si>
  <si>
    <t>ORD0205</t>
  </si>
  <si>
    <t>C223</t>
  </si>
  <si>
    <t>Amit Kapoor</t>
  </si>
  <si>
    <t>ORD0206</t>
  </si>
  <si>
    <t>ORD0207</t>
  </si>
  <si>
    <t>ORD0208</t>
  </si>
  <si>
    <t>ORD0209</t>
  </si>
  <si>
    <t>C008</t>
  </si>
  <si>
    <t>Anjali Sharma</t>
  </si>
  <si>
    <t>ORD0210</t>
  </si>
  <si>
    <t>C002</t>
  </si>
  <si>
    <t>Priya Sharma</t>
  </si>
  <si>
    <t>ORD0211</t>
  </si>
  <si>
    <t>C190</t>
  </si>
  <si>
    <t>Pooja Joshi</t>
  </si>
  <si>
    <t>ORD0212</t>
  </si>
  <si>
    <t>C117</t>
  </si>
  <si>
    <t>Nikhil Gupta</t>
  </si>
  <si>
    <t>ORD0213</t>
  </si>
  <si>
    <t>ORD0214</t>
  </si>
  <si>
    <t>ORD0215</t>
  </si>
  <si>
    <t>C114</t>
  </si>
  <si>
    <t>Riya Gupta</t>
  </si>
  <si>
    <t>ORD0216</t>
  </si>
  <si>
    <t>ORD0217</t>
  </si>
  <si>
    <t>ORD0218</t>
  </si>
  <si>
    <t>ORD0219</t>
  </si>
  <si>
    <t>C192</t>
  </si>
  <si>
    <t>Simran Joshi</t>
  </si>
  <si>
    <t>ORD0220</t>
  </si>
  <si>
    <t>C129</t>
  </si>
  <si>
    <t>Vikash Mehta</t>
  </si>
  <si>
    <t>ORD0221</t>
  </si>
  <si>
    <t>ORD0222</t>
  </si>
  <si>
    <t>C104</t>
  </si>
  <si>
    <t>Neha Gupta</t>
  </si>
  <si>
    <t>ORD0223</t>
  </si>
  <si>
    <t>C044</t>
  </si>
  <si>
    <t>Neha Singh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</si>
  <si>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</si>
  <si>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</si>
  <si>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</si>
  <si>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</si>
  <si>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</si>
  <si>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</si>
  <si>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</si>
  <si>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</si>
  <si>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C204</t>
  </si>
  <si>
    <t>Neha Malhotra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</si>
  <si>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</si>
  <si>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</si>
  <si>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</si>
  <si>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</si>
  <si>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</si>
  <si>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</si>
  <si>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</si>
  <si>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</si>
  <si>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</si>
  <si>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</si>
  <si>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C080</t>
  </si>
  <si>
    <t>Meena Patel</t>
  </si>
  <si>
    <t>ORD0242</t>
  </si>
  <si>
    <t>C144</t>
  </si>
  <si>
    <t>Neha Shah</t>
  </si>
  <si>
    <t>ORD0243</t>
  </si>
  <si>
    <t>ORD0244</t>
  </si>
  <si>
    <t>ORD0245</t>
  </si>
  <si>
    <t>ORD0246</t>
  </si>
  <si>
    <t>C034</t>
  </si>
  <si>
    <t>Riya Verma</t>
  </si>
  <si>
    <t>ORD0247</t>
  </si>
  <si>
    <t>C208</t>
  </si>
  <si>
    <t>Anjali Malhotra</t>
  </si>
  <si>
    <t>ORD0248</t>
  </si>
  <si>
    <t>C249</t>
  </si>
  <si>
    <t>Vikash Mishra</t>
  </si>
  <si>
    <t>ORD0249</t>
  </si>
  <si>
    <t>ORD0250</t>
  </si>
  <si>
    <t>ORD0251</t>
  </si>
  <si>
    <t>C210</t>
  </si>
  <si>
    <t>Pooja Malhotra</t>
  </si>
  <si>
    <t>ORD0252</t>
  </si>
  <si>
    <t>ORD0253</t>
  </si>
  <si>
    <t>C022</t>
  </si>
  <si>
    <t>Priya Verma</t>
  </si>
  <si>
    <t>ORD0254</t>
  </si>
  <si>
    <t>ORD0255</t>
  </si>
  <si>
    <t>ORD0256</t>
  </si>
  <si>
    <t>C082</t>
  </si>
  <si>
    <t>Priya Kumar</t>
  </si>
  <si>
    <t>ORD0257</t>
  </si>
  <si>
    <t>C235</t>
  </si>
  <si>
    <t>Manish Kapoor</t>
  </si>
  <si>
    <t>ORD0258</t>
  </si>
  <si>
    <t>ORD0259</t>
  </si>
  <si>
    <t>ORD0260</t>
  </si>
  <si>
    <t>C013</t>
  </si>
  <si>
    <t>Aditya Sharma</t>
  </si>
  <si>
    <t>ORD0261</t>
  </si>
  <si>
    <t>ORD0262</t>
  </si>
  <si>
    <t>C075</t>
  </si>
  <si>
    <t>Manish Patel</t>
  </si>
  <si>
    <t>ORD0263</t>
  </si>
  <si>
    <t>C048</t>
  </si>
  <si>
    <t>Anjali Singh</t>
  </si>
  <si>
    <t>ORD0264</t>
  </si>
  <si>
    <t>ORD0265</t>
  </si>
  <si>
    <t>ORD0266</t>
  </si>
  <si>
    <t>C198</t>
  </si>
  <si>
    <t>Ayesha Joshi</t>
  </si>
  <si>
    <t>ORD0267</t>
  </si>
  <si>
    <t>ORD0268</t>
  </si>
  <si>
    <t>ORD0269</t>
  </si>
  <si>
    <t>C227</t>
  </si>
  <si>
    <t>Arjun Kapoor</t>
  </si>
  <si>
    <t>ORD0270</t>
  </si>
  <si>
    <t>C122</t>
  </si>
  <si>
    <t>Priya Mehta</t>
  </si>
  <si>
    <t>ORD0271</t>
  </si>
  <si>
    <t>C221</t>
  </si>
  <si>
    <t>Rahul Kapoor</t>
  </si>
  <si>
    <t>ORD0272</t>
  </si>
  <si>
    <t>C228</t>
  </si>
  <si>
    <t>Anjali Kapoor</t>
  </si>
  <si>
    <t>ORD0273</t>
  </si>
  <si>
    <t>C178</t>
  </si>
  <si>
    <t>Ayesha Yadav</t>
  </si>
  <si>
    <t>ORD0274</t>
  </si>
  <si>
    <t>ORD0275</t>
  </si>
  <si>
    <t>ORD0276</t>
  </si>
  <si>
    <t>ORD0277</t>
  </si>
  <si>
    <t>ORD0278</t>
  </si>
  <si>
    <t>C020</t>
  </si>
  <si>
    <t>Meena Sharma</t>
  </si>
  <si>
    <t>ORD0279</t>
  </si>
  <si>
    <t>ORD0280</t>
  </si>
  <si>
    <t>C093</t>
  </si>
  <si>
    <t>Aditya Kumar</t>
  </si>
  <si>
    <t>ORD0281</t>
  </si>
  <si>
    <t>ORD0282</t>
  </si>
  <si>
    <t>ORD0283</t>
  </si>
  <si>
    <t>C133</t>
  </si>
  <si>
    <t>Aditya Mehta</t>
  </si>
  <si>
    <t>ORD0284</t>
  </si>
  <si>
    <t>C157</t>
  </si>
  <si>
    <t>Nikhil Shah</t>
  </si>
  <si>
    <t>ORD0285</t>
  </si>
  <si>
    <t>ORD0286</t>
  </si>
  <si>
    <t>ORD0287</t>
  </si>
  <si>
    <t>ORD0288</t>
  </si>
  <si>
    <t>C052</t>
  </si>
  <si>
    <t>Simran Singh</t>
  </si>
  <si>
    <t>ORD0289</t>
  </si>
  <si>
    <t>ORD0290</t>
  </si>
  <si>
    <t>ORD0291</t>
  </si>
  <si>
    <t>C211</t>
  </si>
  <si>
    <t>Karan Malhotra</t>
  </si>
  <si>
    <t>ORD0292</t>
  </si>
  <si>
    <t>ORD0293</t>
  </si>
  <si>
    <t>ORD0294</t>
  </si>
  <si>
    <t>ORD0295</t>
  </si>
  <si>
    <t>ORD0296</t>
  </si>
  <si>
    <t>ORD0297</t>
  </si>
  <si>
    <t>ORD0298</t>
  </si>
  <si>
    <t>C087</t>
  </si>
  <si>
    <t>Arjun Kumar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</si>
  <si>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</si>
  <si>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</si>
  <si>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</si>
  <si>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</si>
  <si>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</si>
  <si>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</si>
  <si>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</si>
  <si>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</si>
  <si>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</si>
  <si>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</si>
  <si>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</si>
  <si>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C073</t>
  </si>
  <si>
    <t>Aditya Patel</t>
  </si>
  <si>
    <t>ORD0310</t>
  </si>
  <si>
    <t>ORD0311</t>
  </si>
  <si>
    <t>ORD0312</t>
  </si>
  <si>
    <t>ORD0313</t>
  </si>
  <si>
    <t>C212</t>
  </si>
  <si>
    <t>Simran Malhotra</t>
  </si>
  <si>
    <t>ORD0314</t>
  </si>
  <si>
    <t>C143</t>
  </si>
  <si>
    <t>Amit Shah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</si>
  <si>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</si>
  <si>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</si>
  <si>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</si>
  <si>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</si>
  <si>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</si>
  <si>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</si>
  <si>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</si>
  <si>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</si>
  <si>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C243</t>
  </si>
  <si>
    <t>Amit Mishra</t>
  </si>
  <si>
    <t>ORD0323</t>
  </si>
  <si>
    <t>C106</t>
  </si>
  <si>
    <t>Sneha Gupta</t>
  </si>
  <si>
    <t>ORD0324</t>
  </si>
  <si>
    <t>ORD0325</t>
  </si>
  <si>
    <t>ORD0326</t>
  </si>
  <si>
    <t>ORD0327</t>
  </si>
  <si>
    <t>ORD0328</t>
  </si>
  <si>
    <t>C177</t>
  </si>
  <si>
    <t>Nikhil Yadav</t>
  </si>
  <si>
    <t>ORD0329</t>
  </si>
  <si>
    <t>ORD0330</t>
  </si>
  <si>
    <t>ORD0331</t>
  </si>
  <si>
    <t>C168</t>
  </si>
  <si>
    <t>Anjali Yadav</t>
  </si>
  <si>
    <t>ORD0332</t>
  </si>
  <si>
    <t>C239</t>
  </si>
  <si>
    <t>Suresh Kapoor</t>
  </si>
  <si>
    <t>ORD0333</t>
  </si>
  <si>
    <t>ORD0334</t>
  </si>
  <si>
    <t>ORD0335</t>
  </si>
  <si>
    <t>ORD0336</t>
  </si>
  <si>
    <t>ORD0337</t>
  </si>
  <si>
    <t>ORD0338</t>
  </si>
  <si>
    <t>ORD0339</t>
  </si>
  <si>
    <t>C240</t>
  </si>
  <si>
    <t>Meena Kapoor</t>
  </si>
  <si>
    <t>ORD0340</t>
  </si>
  <si>
    <t>C238</t>
  </si>
  <si>
    <t>Ayesha Kapoor</t>
  </si>
  <si>
    <t>ORD0341</t>
  </si>
  <si>
    <t>ORD0342</t>
  </si>
  <si>
    <t>ORD0343</t>
  </si>
  <si>
    <t>C203</t>
  </si>
  <si>
    <t>Amit Malhotra</t>
  </si>
  <si>
    <t>ORD0344</t>
  </si>
  <si>
    <t>ORD0345</t>
  </si>
  <si>
    <t>C036</t>
  </si>
  <si>
    <t>Kavya Verma</t>
  </si>
  <si>
    <t>ORD0346</t>
  </si>
  <si>
    <t>ORD0347</t>
  </si>
  <si>
    <t>C067</t>
  </si>
  <si>
    <t>Arjun Patel</t>
  </si>
  <si>
    <t>ORD0348</t>
  </si>
  <si>
    <t>ORD0349</t>
  </si>
  <si>
    <t>C095</t>
  </si>
  <si>
    <t>Manish Kumar</t>
  </si>
  <si>
    <t>ORD0350</t>
  </si>
  <si>
    <t>ORD0351</t>
  </si>
  <si>
    <t>ORD0352</t>
  </si>
  <si>
    <t>ORD0353</t>
  </si>
  <si>
    <t>ORD0354</t>
  </si>
  <si>
    <t>C219</t>
  </si>
  <si>
    <t>Suresh Malhotra</t>
  </si>
  <si>
    <t>ORD0355</t>
  </si>
  <si>
    <t>ORD0356</t>
  </si>
  <si>
    <t>ORD0357</t>
  </si>
  <si>
    <t>C186</t>
  </si>
  <si>
    <t>Sneha Joshi</t>
  </si>
  <si>
    <t>ORD0358</t>
  </si>
  <si>
    <t>ORD0359</t>
  </si>
  <si>
    <t>ORD0360</t>
  </si>
  <si>
    <t>ORD0361</t>
  </si>
  <si>
    <t>C097</t>
  </si>
  <si>
    <t>Nikhil Kumar</t>
  </si>
  <si>
    <t>ORD0362</t>
  </si>
  <si>
    <t>C101</t>
  </si>
  <si>
    <t>Rahul Gupta</t>
  </si>
  <si>
    <t>ORD0363</t>
  </si>
  <si>
    <t>ORD0364</t>
  </si>
  <si>
    <t>C118</t>
  </si>
  <si>
    <t>Ayesha Gupta</t>
  </si>
  <si>
    <t>ORD0365</t>
  </si>
  <si>
    <t>ORD0366</t>
  </si>
  <si>
    <t>ORD0367</t>
  </si>
  <si>
    <t>C139</t>
  </si>
  <si>
    <t>Suresh Mehta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</si>
  <si>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</si>
  <si>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</si>
  <si>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</si>
  <si>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</si>
  <si>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</si>
  <si>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</si>
  <si>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</si>
  <si>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</si>
  <si>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</si>
  <si>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</si>
  <si>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</si>
  <si>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</si>
  <si>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</si>
  <si>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</si>
  <si>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</si>
  <si>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</si>
  <si>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</si>
  <si>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</si>
  <si>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</si>
  <si>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C066</t>
  </si>
  <si>
    <t>Sneha Patel</t>
  </si>
  <si>
    <t>ORD0387</t>
  </si>
  <si>
    <t>ORD0388</t>
  </si>
  <si>
    <t>ORD0389</t>
  </si>
  <si>
    <t>ORD0390</t>
  </si>
  <si>
    <t>ORD0391</t>
  </si>
  <si>
    <t>C234</t>
  </si>
  <si>
    <t>Riya Kapoor</t>
  </si>
  <si>
    <t>ORD0392</t>
  </si>
  <si>
    <t>ORD0393</t>
  </si>
  <si>
    <t>C207</t>
  </si>
  <si>
    <t>Arjun Malhotra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</si>
  <si>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</si>
  <si>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</si>
  <si>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</si>
  <si>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</si>
  <si>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</si>
  <si>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</si>
  <si>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</si>
  <si>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</si>
  <si>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</si>
  <si>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C146</t>
  </si>
  <si>
    <t>Sneha Shah</t>
  </si>
  <si>
    <t>ORD0403</t>
  </si>
  <si>
    <t>ORD0404</t>
  </si>
  <si>
    <t>ORD0405</t>
  </si>
  <si>
    <t>C201</t>
  </si>
  <si>
    <t>Rahul Malhotra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</si>
  <si>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</si>
  <si>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</si>
  <si>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</si>
  <si>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</si>
  <si>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</si>
  <si>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</si>
  <si>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</si>
  <si>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</si>
  <si>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</si>
  <si>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</si>
  <si>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</si>
  <si>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C051</t>
  </si>
  <si>
    <t>Karan Singh</t>
  </si>
  <si>
    <t>ORD0417</t>
  </si>
  <si>
    <t>C086</t>
  </si>
  <si>
    <t>Sneha Kumar</t>
  </si>
  <si>
    <t>ORD0418</t>
  </si>
  <si>
    <t>ORD0419</t>
  </si>
  <si>
    <t>ORD0420</t>
  </si>
  <si>
    <t>ORD0421</t>
  </si>
  <si>
    <t>C094</t>
  </si>
  <si>
    <t>Riya Kumar</t>
  </si>
  <si>
    <t>ORD0422</t>
  </si>
  <si>
    <t>C007</t>
  </si>
  <si>
    <t>Arjun Sharma</t>
  </si>
  <si>
    <t>ORD0423</t>
  </si>
  <si>
    <t>ORD0424</t>
  </si>
  <si>
    <t>ORD0425</t>
  </si>
  <si>
    <t>ORD0426</t>
  </si>
  <si>
    <t>ORD0427</t>
  </si>
  <si>
    <t>C028</t>
  </si>
  <si>
    <t>Anjali Verma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</si>
  <si>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</si>
  <si>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</si>
  <si>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</si>
  <si>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</si>
  <si>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</si>
  <si>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</si>
  <si>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</si>
  <si>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</si>
  <si>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</si>
  <si>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</si>
  <si>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</si>
  <si>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</si>
  <si>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</si>
  <si>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</si>
  <si>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C091</t>
  </si>
  <si>
    <t>Karan Kumar</t>
  </si>
  <si>
    <t>ORD0442</t>
  </si>
  <si>
    <t>C236</t>
  </si>
  <si>
    <t>Kavya Kapoor</t>
  </si>
  <si>
    <t>ORD0443</t>
  </si>
  <si>
    <t>ORD0444</t>
  </si>
  <si>
    <t>ORD0445</t>
  </si>
  <si>
    <t>C163</t>
  </si>
  <si>
    <t>Amit Yadav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</si>
  <si>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</si>
  <si>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</si>
  <si>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</si>
  <si>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</si>
  <si>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</si>
  <si>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</si>
  <si>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</si>
  <si>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</si>
  <si>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</si>
  <si>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</si>
  <si>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C054</t>
  </si>
  <si>
    <t>Riya Singh</t>
  </si>
  <si>
    <t>ORD0456</t>
  </si>
  <si>
    <t>ORD0457</t>
  </si>
  <si>
    <t>ORD0458</t>
  </si>
  <si>
    <t>ORD0459</t>
  </si>
  <si>
    <t>C035</t>
  </si>
  <si>
    <t>Manish Verma</t>
  </si>
  <si>
    <t>ORD0460</t>
  </si>
  <si>
    <t>ORD0461</t>
  </si>
  <si>
    <t>ORD0462</t>
  </si>
  <si>
    <t>ORD0463</t>
  </si>
  <si>
    <t>ORD0464</t>
  </si>
  <si>
    <t>C188</t>
  </si>
  <si>
    <t>Anjali Joshi</t>
  </si>
  <si>
    <t>ORD0465</t>
  </si>
  <si>
    <t>ORD0466</t>
  </si>
  <si>
    <t>ORD0467</t>
  </si>
  <si>
    <t>ORD0468</t>
  </si>
  <si>
    <t>C113</t>
  </si>
  <si>
    <t>Aditya Gupta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</si>
  <si>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</si>
  <si>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</si>
  <si>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</si>
  <si>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</si>
  <si>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</si>
  <si>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</si>
  <si>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</si>
  <si>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</si>
  <si>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</si>
  <si>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</si>
  <si>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</si>
  <si>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</si>
  <si>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</si>
  <si>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</si>
  <si>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</si>
  <si>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C127</t>
  </si>
  <si>
    <t>Arjun Mehta</t>
  </si>
  <si>
    <t>ORD0484</t>
  </si>
  <si>
    <t>ORD0485</t>
  </si>
  <si>
    <t>ORD0486</t>
  </si>
  <si>
    <t>C005</t>
  </si>
  <si>
    <t>Rohit Sharma</t>
  </si>
  <si>
    <t>ORD0487</t>
  </si>
  <si>
    <t>ORD0488</t>
  </si>
  <si>
    <t>C109</t>
  </si>
  <si>
    <t>Vikash Gupta</t>
  </si>
  <si>
    <t>ORD0489</t>
  </si>
  <si>
    <t>ORD0490</t>
  </si>
  <si>
    <t>ORD0491</t>
  </si>
  <si>
    <t>ORD0492</t>
  </si>
  <si>
    <t>ORD0493</t>
  </si>
  <si>
    <t>C031</t>
  </si>
  <si>
    <t>Karan Verma</t>
  </si>
  <si>
    <t>ORD0494</t>
  </si>
  <si>
    <t>ORD0495</t>
  </si>
  <si>
    <t>ORD0496</t>
  </si>
  <si>
    <t>ORD0497</t>
  </si>
  <si>
    <t>C128</t>
  </si>
  <si>
    <t>Anjali Mehta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</si>
  <si>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</si>
  <si>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</si>
  <si>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</si>
  <si>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</si>
  <si>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</si>
  <si>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</si>
  <si>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</si>
  <si>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</si>
  <si>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</si>
  <si>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</si>
  <si>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</si>
  <si>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</si>
  <si>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</si>
  <si>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</si>
  <si>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</si>
  <si>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</si>
  <si>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</si>
  <si>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</si>
  <si>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</si>
  <si>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</si>
  <si>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</si>
  <si>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</si>
  <si>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</si>
  <si>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</si>
  <si>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</si>
  <si>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</si>
  <si>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</si>
  <si>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</si>
  <si>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</si>
  <si>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</si>
  <si>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</si>
  <si>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</si>
  <si>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</si>
  <si>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</si>
  <si>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</si>
  <si>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</si>
  <si>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</si>
  <si>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</si>
  <si>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</si>
  <si>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</si>
  <si>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</si>
  <si>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</si>
  <si>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</si>
  <si>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</si>
  <si>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</si>
  <si>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</si>
  <si>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</si>
  <si>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</si>
  <si>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</si>
  <si>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</si>
  <si>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</si>
  <si>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</si>
  <si>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</si>
  <si>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</si>
  <si>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</si>
  <si>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</si>
  <si>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C076</t>
  </si>
  <si>
    <t>Kavya Patel</t>
  </si>
  <si>
    <t>ORD0554</t>
  </si>
  <si>
    <t>ORD0555</t>
  </si>
  <si>
    <t>ORD0556</t>
  </si>
  <si>
    <t>ORD0557</t>
  </si>
  <si>
    <t>ORD0558</t>
  </si>
  <si>
    <t>ORD0559</t>
  </si>
  <si>
    <t>C023</t>
  </si>
  <si>
    <t>Amit Verma</t>
  </si>
  <si>
    <t>ORD0560</t>
  </si>
  <si>
    <t>ORD0561</t>
  </si>
  <si>
    <t>C121</t>
  </si>
  <si>
    <t>Rahul Mehta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</si>
  <si>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</si>
  <si>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</si>
  <si>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</si>
  <si>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</si>
  <si>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</si>
  <si>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</si>
  <si>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</si>
  <si>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</si>
  <si>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</si>
  <si>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</si>
  <si>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</si>
  <si>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</si>
  <si>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</si>
  <si>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</si>
  <si>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</si>
  <si>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</si>
  <si>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C006</t>
  </si>
  <si>
    <t>Sneha Sharma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</si>
  <si>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</si>
  <si>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</si>
  <si>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</si>
  <si>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</si>
  <si>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</si>
  <si>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</si>
  <si>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</si>
  <si>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</si>
  <si>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</si>
  <si>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</si>
  <si>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</si>
  <si>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</si>
  <si>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</si>
  <si>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</si>
  <si>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</si>
  <si>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</si>
  <si>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</si>
  <si>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</si>
  <si>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</si>
  <si>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</si>
  <si>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</si>
  <si>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</si>
  <si>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</si>
  <si>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C196</t>
  </si>
  <si>
    <t>Kavya Joshi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</si>
  <si>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</si>
  <si>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</si>
  <si>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</si>
  <si>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</si>
  <si>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</si>
  <si>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</si>
  <si>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</si>
  <si>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</si>
  <si>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</si>
  <si>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</si>
  <si>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</si>
  <si>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</si>
  <si>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</si>
  <si>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</si>
  <si>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</si>
  <si>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C092</t>
  </si>
  <si>
    <t>Simran Kumar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</si>
  <si>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</si>
  <si>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</si>
  <si>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</si>
  <si>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</si>
  <si>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</si>
  <si>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</si>
  <si>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</si>
  <si>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</si>
  <si>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</si>
  <si>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</si>
  <si>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</si>
  <si>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</si>
  <si>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</si>
  <si>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</si>
  <si>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</si>
  <si>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C003</t>
  </si>
  <si>
    <t>Amit Sharma</t>
  </si>
  <si>
    <t>ORD0631</t>
  </si>
  <si>
    <t>ORD0632</t>
  </si>
  <si>
    <t>ORD0633</t>
  </si>
  <si>
    <t>C205</t>
  </si>
  <si>
    <t>Rohit Malhotra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</si>
  <si>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</si>
  <si>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</si>
  <si>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</si>
  <si>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</si>
  <si>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</si>
  <si>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</si>
  <si>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</si>
  <si>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</si>
  <si>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</si>
  <si>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</si>
  <si>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</si>
  <si>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</si>
  <si>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</si>
  <si>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</si>
  <si>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</si>
  <si>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</si>
  <si>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</si>
  <si>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C141</t>
  </si>
  <si>
    <t>Rahul Shah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</si>
  <si>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</si>
  <si>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</si>
  <si>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</si>
  <si>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</si>
  <si>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</si>
  <si>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</si>
  <si>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</si>
  <si>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</si>
  <si>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</si>
  <si>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</si>
  <si>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</si>
  <si>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C176</t>
  </si>
  <si>
    <t>Kavya Yadav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</si>
  <si>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</si>
  <si>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</si>
  <si>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</si>
  <si>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</si>
  <si>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</si>
  <si>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</si>
  <si>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</si>
  <si>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</si>
  <si>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</si>
  <si>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</si>
  <si>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</si>
  <si>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</si>
  <si>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</si>
  <si>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</si>
  <si>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</si>
  <si>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</si>
  <si>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</si>
  <si>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</si>
  <si>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</si>
  <si>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C232</t>
  </si>
  <si>
    <t>Simran Kapoor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</si>
  <si>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</si>
  <si>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</si>
  <si>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</si>
  <si>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</si>
  <si>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</si>
  <si>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</si>
  <si>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</si>
  <si>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</si>
  <si>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</si>
  <si>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</si>
  <si>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</si>
  <si>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</si>
  <si>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</si>
  <si>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</si>
  <si>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</si>
  <si>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</si>
  <si>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</si>
  <si>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C055</t>
  </si>
  <si>
    <t>Manish Singh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</si>
  <si>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</si>
  <si>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</si>
  <si>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</si>
  <si>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</si>
  <si>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</si>
  <si>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</si>
  <si>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</si>
  <si>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</si>
  <si>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C225</t>
  </si>
  <si>
    <t>Rohit Kapoor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</si>
  <si>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</si>
  <si>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</si>
  <si>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</si>
  <si>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</si>
  <si>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</si>
  <si>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</si>
  <si>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</si>
  <si>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</si>
  <si>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</si>
  <si>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</si>
  <si>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</si>
  <si>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</si>
  <si>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C214</t>
  </si>
  <si>
    <t>Riya Malhotra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</si>
  <si>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</si>
  <si>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</si>
  <si>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</si>
  <si>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</si>
  <si>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</si>
  <si>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</si>
  <si>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</si>
  <si>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</si>
  <si>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C162</t>
  </si>
  <si>
    <t>Priya Yadav</t>
  </si>
  <si>
    <t>ORD0726</t>
  </si>
  <si>
    <t>C237</t>
  </si>
  <si>
    <t>Nikhil Kapoor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</si>
  <si>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</si>
  <si>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</si>
  <si>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</si>
  <si>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</si>
  <si>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</si>
  <si>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</si>
  <si>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</si>
  <si>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</si>
  <si>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</si>
  <si>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</si>
  <si>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</si>
  <si>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</si>
  <si>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</si>
  <si>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</si>
  <si>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</si>
  <si>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</si>
  <si>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</si>
  <si>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</si>
  <si>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</si>
  <si>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C179</t>
  </si>
  <si>
    <t>Suresh Yadav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</si>
  <si>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</si>
  <si>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</si>
  <si>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</si>
  <si>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</si>
  <si>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</si>
  <si>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</si>
  <si>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</si>
  <si>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</si>
  <si>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</si>
  <si>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</si>
  <si>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</si>
  <si>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</si>
  <si>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</si>
  <si>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</si>
  <si>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</si>
  <si>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</si>
  <si>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</si>
  <si>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</si>
  <si>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</si>
  <si>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</si>
  <si>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</si>
  <si>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</si>
  <si>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</si>
  <si>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</si>
  <si>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</si>
  <si>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</si>
  <si>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</si>
  <si>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</si>
  <si>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</si>
  <si>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</si>
  <si>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</si>
  <si>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</si>
  <si>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</si>
  <si>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</si>
  <si>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</si>
  <si>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</si>
  <si>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</si>
  <si>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</si>
  <si>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</si>
  <si>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</si>
  <si>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</si>
  <si>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</si>
  <si>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</si>
  <si>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</si>
  <si>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</si>
  <si>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</si>
  <si>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</si>
  <si>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</si>
  <si>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</si>
  <si>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</si>
  <si>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</si>
  <si>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</si>
  <si>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</si>
  <si>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</si>
  <si>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</si>
  <si>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</si>
  <si>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</si>
  <si>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</si>
  <si>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</si>
  <si>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</si>
  <si>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</si>
  <si>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</si>
  <si>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</si>
  <si>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</si>
  <si>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</si>
  <si>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</si>
  <si>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</si>
  <si>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</si>
  <si>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</si>
  <si>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</si>
  <si>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</si>
  <si>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</si>
  <si>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</si>
  <si>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</si>
  <si>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</si>
  <si>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</si>
  <si>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</si>
  <si>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</si>
  <si>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</si>
  <si>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</si>
  <si>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</si>
  <si>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</si>
  <si>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</si>
  <si>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</si>
  <si>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</si>
  <si>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</si>
  <si>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</si>
  <si>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</si>
  <si>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</si>
  <si>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</si>
  <si>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</si>
  <si>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</si>
  <si>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</si>
  <si>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</si>
  <si>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</si>
  <si>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</si>
  <si>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</si>
  <si>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</si>
  <si>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</si>
  <si>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</si>
  <si>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</si>
  <si>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</si>
  <si>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</si>
  <si>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</si>
  <si>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</si>
  <si>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</si>
  <si>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</si>
  <si>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</si>
  <si>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</si>
  <si>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</si>
  <si>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</si>
  <si>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</si>
  <si>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</si>
  <si>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C038</t>
  </si>
  <si>
    <t>Ayesha Verma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</si>
  <si>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</si>
  <si>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</si>
  <si>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</si>
  <si>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</si>
  <si>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</si>
  <si>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</si>
  <si>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</si>
  <si>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</si>
  <si>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</si>
  <si>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</si>
  <si>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</si>
  <si>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</si>
  <si>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</si>
  <si>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</si>
  <si>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</si>
  <si>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</si>
  <si>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</si>
  <si>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</si>
  <si>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</si>
  <si>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</si>
  <si>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</si>
  <si>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</si>
  <si>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</si>
  <si>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</si>
  <si>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</si>
  <si>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</si>
  <si>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</si>
  <si>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</si>
  <si>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</si>
  <si>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</si>
  <si>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</si>
  <si>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</si>
  <si>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</si>
  <si>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</si>
  <si>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</si>
  <si>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</si>
  <si>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</si>
  <si>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</si>
  <si>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</si>
  <si>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</si>
  <si>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</si>
  <si>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</si>
  <si>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</si>
  <si>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</si>
  <si>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C184</t>
  </si>
  <si>
    <t>Neha Joshi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</si>
  <si>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</si>
  <si>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</si>
  <si>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</si>
  <si>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</si>
  <si>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</si>
  <si>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</si>
  <si>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</si>
  <si>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</si>
  <si>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</si>
  <si>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</si>
  <si>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</si>
  <si>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</si>
  <si>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</si>
  <si>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</si>
  <si>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</si>
  <si>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</si>
  <si>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C015</t>
  </si>
  <si>
    <t>Manish Sharma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</si>
  <si>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</si>
  <si>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</si>
  <si>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</si>
  <si>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</si>
  <si>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</si>
  <si>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</si>
  <si>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</si>
  <si>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</si>
  <si>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</si>
  <si>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</si>
  <si>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</si>
  <si>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</si>
  <si>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</si>
  <si>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</si>
  <si>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</si>
  <si>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</si>
  <si>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</si>
  <si>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</si>
  <si>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</si>
  <si>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</si>
  <si>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</si>
  <si>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</si>
  <si>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</si>
  <si>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</si>
  <si>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</si>
  <si>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</si>
  <si>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</si>
  <si>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C132</t>
  </si>
  <si>
    <t>Simran Mehta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</si>
  <si>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</si>
  <si>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</si>
  <si>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</si>
  <si>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</si>
  <si>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</si>
  <si>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</si>
  <si>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</si>
  <si>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</si>
  <si>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</si>
  <si>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</si>
  <si>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</si>
  <si>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</si>
  <si>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</si>
  <si>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C099</t>
  </si>
  <si>
    <t>Suresh Kumar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</si>
  <si>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</si>
  <si>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</si>
  <si>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</si>
  <si>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</si>
  <si>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</si>
  <si>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</si>
  <si>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</si>
  <si>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</si>
  <si>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</si>
  <si>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</si>
  <si>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</si>
  <si>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</si>
  <si>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</si>
  <si>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</si>
  <si>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</si>
  <si>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</si>
  <si>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</si>
  <si>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</si>
  <si>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</si>
  <si>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</si>
  <si>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</si>
  <si>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</si>
  <si>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</si>
  <si>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</si>
  <si>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</si>
  <si>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</si>
  <si>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</si>
  <si>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</si>
  <si>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</si>
  <si>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</si>
  <si>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C155</t>
  </si>
  <si>
    <t>Manish Shah</t>
  </si>
  <si>
    <t>ORD0989</t>
  </si>
  <si>
    <t>ORD0990</t>
  </si>
  <si>
    <t>ORD0991</t>
  </si>
  <si>
    <t>ORD0992</t>
  </si>
  <si>
    <t>ORD0993</t>
  </si>
  <si>
    <t>ORD0994</t>
  </si>
  <si>
    <t>C060</t>
  </si>
  <si>
    <t>Meena Singh</t>
  </si>
  <si>
    <t>ORD0995</t>
  </si>
  <si>
    <t>ORD0996</t>
  </si>
  <si>
    <t>ORD0997</t>
  </si>
  <si>
    <t>ORD0998</t>
  </si>
  <si>
    <t>ORD0999</t>
  </si>
  <si>
    <t>ORD1000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</si>
  <si>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</si>
  <si>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</si>
  <si>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</si>
  <si>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</si>
  <si>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</si>
  <si>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</si>
  <si>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</si>
  <si>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</si>
  <si>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</si>
  <si>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</si>
  <si>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</si>
  <si>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</si>
  <si>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</si>
  <si>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</si>
  <si>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</si>
  <si>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</si>
  <si>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</si>
  <si>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</si>
  <si>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</si>
  <si>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</si>
  <si>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</si>
  <si>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</si>
  <si>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</si>
  <si>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</si>
  <si>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</si>
  <si>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</si>
  <si>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</si>
  <si>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</si>
  <si>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</si>
  <si>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</si>
  <si>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</si>
  <si>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</si>
  <si>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</si>
  <si>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</si>
  <si>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</si>
  <si>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</si>
  <si>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</si>
  <si>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</si>
  <si>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</si>
  <si>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</si>
  <si>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</si>
  <si>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</si>
  <si>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</si>
  <si>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</si>
  <si>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</si>
  <si>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</si>
  <si>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</si>
  <si>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</si>
  <si>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</si>
  <si>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</si>
  <si>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</si>
  <si>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</si>
  <si>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</si>
  <si>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</si>
  <si>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</si>
  <si>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</si>
  <si>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</si>
  <si>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</si>
  <si>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</si>
  <si>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</si>
  <si>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</si>
  <si>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</si>
  <si>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</si>
  <si>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</si>
  <si>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</si>
  <si>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</si>
  <si>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</si>
  <si>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</si>
  <si>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</si>
  <si>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</si>
  <si>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</si>
  <si>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</si>
  <si>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</si>
  <si>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</si>
  <si>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</si>
  <si>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</si>
  <si>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</si>
  <si>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</si>
  <si>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</si>
  <si>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</si>
  <si>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</si>
  <si>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</si>
  <si>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</si>
  <si>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</si>
  <si>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</si>
  <si>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</si>
  <si>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</si>
  <si>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</si>
  <si>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</si>
  <si>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</si>
  <si>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</si>
  <si>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</si>
  <si>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</si>
  <si>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</si>
  <si>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</si>
  <si>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</si>
  <si>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</si>
  <si>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</si>
  <si>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</si>
  <si>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</si>
  <si>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</si>
  <si>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</si>
  <si>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</si>
  <si>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</si>
  <si>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</si>
  <si>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</si>
  <si>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</si>
  <si>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</si>
  <si>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</si>
  <si>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</si>
  <si>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</si>
  <si>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</si>
  <si>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</si>
  <si>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</si>
  <si>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</si>
  <si>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</si>
  <si>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</si>
  <si>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</si>
  <si>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</si>
  <si>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</si>
  <si>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</si>
  <si>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</si>
  <si>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</si>
  <si>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</si>
  <si>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</si>
  <si>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</si>
  <si>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</si>
  <si>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</si>
  <si>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</si>
  <si>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</si>
  <si>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</si>
  <si>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</si>
  <si>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</si>
  <si>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</si>
  <si>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</si>
  <si>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</si>
  <si>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</si>
  <si>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</si>
  <si>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</si>
  <si>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</si>
  <si>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</si>
  <si>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</si>
  <si>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</si>
  <si>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</si>
  <si>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</si>
  <si>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</si>
  <si>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</si>
  <si>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</si>
  <si>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</si>
  <si>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</si>
  <si>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</si>
  <si>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</si>
  <si>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</si>
  <si>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</si>
  <si>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</si>
  <si>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</si>
  <si>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</si>
  <si>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</si>
  <si>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</si>
  <si>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</si>
  <si>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</si>
  <si>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</si>
  <si>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</si>
  <si>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</si>
  <si>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</si>
  <si>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</si>
  <si>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</si>
  <si>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</si>
  <si>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</si>
  <si>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</si>
  <si>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</si>
  <si>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</si>
  <si>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</si>
  <si>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</si>
  <si>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</si>
  <si>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</si>
  <si>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</si>
  <si>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</si>
  <si>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</si>
  <si>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</si>
  <si>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</si>
  <si>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</si>
  <si>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</si>
  <si>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</si>
  <si>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</si>
  <si>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</si>
  <si>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</si>
  <si>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</si>
  <si>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</si>
  <si>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</si>
  <si>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</si>
  <si>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</si>
  <si>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</si>
  <si>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</si>
  <si>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</si>
  <si>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</si>
  <si>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</si>
  <si>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</si>
  <si>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</si>
  <si>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</si>
  <si>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</si>
  <si>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</si>
  <si>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</si>
  <si>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</si>
  <si>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</si>
  <si>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</si>
  <si>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</si>
  <si>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</si>
  <si>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</si>
  <si>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</si>
  <si>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</si>
  <si>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</si>
  <si>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</si>
  <si>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</si>
  <si>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</si>
  <si>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</si>
  <si>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</si>
  <si>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</si>
  <si>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</si>
  <si>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</si>
  <si>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</si>
  <si>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</si>
  <si>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</si>
  <si>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</si>
  <si>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</si>
  <si>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</si>
  <si>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</si>
  <si>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</si>
  <si>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</si>
  <si>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</si>
  <si>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</si>
  <si>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</si>
  <si>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</si>
  <si>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</si>
  <si>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</si>
  <si>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</si>
  <si>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</si>
  <si>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</si>
  <si>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</si>
  <si>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</si>
  <si>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</si>
  <si>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</si>
  <si>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</si>
  <si>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</si>
  <si>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</si>
  <si>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</si>
  <si>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</si>
  <si>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</si>
  <si>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</si>
  <si>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</si>
  <si>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</si>
  <si>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</si>
  <si>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</si>
  <si>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</si>
  <si>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</si>
  <si>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</si>
  <si>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</si>
  <si>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</si>
  <si>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</si>
  <si>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</si>
  <si>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</si>
  <si>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</si>
  <si>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</si>
  <si>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</si>
  <si>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</si>
  <si>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</si>
  <si>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</si>
  <si>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</si>
  <si>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</si>
  <si>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</si>
  <si>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</si>
  <si>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</si>
  <si>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</si>
  <si>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</si>
  <si>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</si>
  <si>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</si>
  <si>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</si>
  <si>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</si>
  <si>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</si>
  <si>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</si>
  <si>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</si>
  <si>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</si>
  <si>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</si>
  <si>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</si>
  <si>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</si>
  <si>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</si>
  <si>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</si>
  <si>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</si>
  <si>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</si>
  <si>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</si>
  <si>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</si>
  <si>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</si>
  <si>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</si>
  <si>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</si>
  <si>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</si>
  <si>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</si>
  <si>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</si>
  <si>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</si>
  <si>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</si>
  <si>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</si>
  <si>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</si>
  <si>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</si>
  <si>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</si>
  <si>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</si>
  <si>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</si>
  <si>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</si>
  <si>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</si>
  <si>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</si>
  <si>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</si>
  <si>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</si>
  <si>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</si>
  <si>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</si>
  <si>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</si>
  <si>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</si>
  <si>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</si>
  <si>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</si>
  <si>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</si>
  <si>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</si>
  <si>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</si>
  <si>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</si>
  <si>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</si>
  <si>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</si>
  <si>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</si>
  <si>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</si>
  <si>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</si>
  <si>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</si>
  <si>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</si>
  <si>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</si>
  <si>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</si>
  <si>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</si>
  <si>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</si>
  <si>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</si>
  <si>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</si>
  <si>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</si>
  <si>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</si>
  <si>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</si>
  <si>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</si>
  <si>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</si>
  <si>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</si>
  <si>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</si>
  <si>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</si>
  <si>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</si>
  <si>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</si>
  <si>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</si>
  <si>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</si>
  <si>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</si>
  <si>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</si>
  <si>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</si>
  <si>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</si>
  <si>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</si>
  <si>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</si>
  <si>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</si>
  <si>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</si>
  <si>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</si>
  <si>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</si>
  <si>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</si>
  <si>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</si>
  <si>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</si>
  <si>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</si>
  <si>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</si>
  <si>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</si>
  <si>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</si>
  <si>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</si>
  <si>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</si>
  <si>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</si>
  <si>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</si>
  <si>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</si>
  <si>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</si>
  <si>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</si>
  <si>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</si>
  <si>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</si>
  <si>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</si>
  <si>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</si>
  <si>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</si>
  <si>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</si>
  <si>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</si>
  <si>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</si>
  <si>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</si>
  <si>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</si>
  <si>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</si>
  <si>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</si>
  <si>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</si>
  <si>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</si>
  <si>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</si>
  <si>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</si>
  <si>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</si>
  <si>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</si>
  <si>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</si>
  <si>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</si>
  <si>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</si>
  <si>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</si>
  <si>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</si>
  <si>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</si>
  <si>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</si>
  <si>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</si>
  <si>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</si>
  <si>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</si>
  <si>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</si>
  <si>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</si>
  <si>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</si>
  <si>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</si>
  <si>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</si>
  <si>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</si>
  <si>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</si>
  <si>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</si>
  <si>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</si>
  <si>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</si>
  <si>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</si>
  <si>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</si>
  <si>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</si>
  <si>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</si>
  <si>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</si>
  <si>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</si>
  <si>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</si>
  <si>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</si>
  <si>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</si>
  <si>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</si>
  <si>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</si>
  <si>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</si>
  <si>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</si>
  <si>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</si>
  <si>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</si>
  <si>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</si>
  <si>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</si>
  <si>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</si>
  <si>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</si>
  <si>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</si>
  <si>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</si>
  <si>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</si>
  <si>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</si>
  <si>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</si>
  <si>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</si>
  <si>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</si>
  <si>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</si>
  <si>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</si>
  <si>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</si>
  <si>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</si>
  <si>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</si>
  <si>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</si>
  <si>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</si>
  <si>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</si>
  <si>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</si>
  <si>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</si>
  <si>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</si>
  <si>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</si>
  <si>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</si>
  <si>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</si>
  <si>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</si>
  <si>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</si>
  <si>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</si>
  <si>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</si>
  <si>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</si>
  <si>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</si>
  <si>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</si>
  <si>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</si>
  <si>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</si>
  <si>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</si>
  <si>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</si>
  <si>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</si>
  <si>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</si>
  <si>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</si>
  <si>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</si>
  <si>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</si>
  <si>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</si>
  <si>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</si>
  <si>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</si>
  <si>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</si>
  <si>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</si>
  <si>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</si>
  <si>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</si>
  <si>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</si>
  <si>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</si>
  <si>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</si>
  <si>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</si>
  <si>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</si>
  <si>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</si>
  <si>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</si>
  <si>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</si>
  <si>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</si>
  <si>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</si>
  <si>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</si>
  <si>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</si>
  <si>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</si>
  <si>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</si>
  <si>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</si>
  <si>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</si>
  <si>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</si>
  <si>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</si>
  <si>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</si>
  <si>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</si>
  <si>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</si>
  <si>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</si>
  <si>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</si>
  <si>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</si>
  <si>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</si>
  <si>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</si>
  <si>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</si>
  <si>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</si>
  <si>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</si>
  <si>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</si>
  <si>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</si>
  <si>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</si>
  <si>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</si>
  <si>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</si>
  <si>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</si>
  <si>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</si>
  <si>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</si>
  <si>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</si>
  <si>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</si>
  <si>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</si>
  <si>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</si>
  <si>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</si>
  <si>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</si>
  <si>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</si>
  <si>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</si>
  <si>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</si>
  <si>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</si>
  <si>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</si>
  <si>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</si>
  <si>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</si>
  <si>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</si>
  <si>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</si>
  <si>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</si>
  <si>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</si>
  <si>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</si>
  <si>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</si>
  <si>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</si>
  <si>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</si>
  <si>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</si>
  <si>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</si>
  <si>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</si>
  <si>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</si>
  <si>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</si>
  <si>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</si>
  <si>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</si>
  <si>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</si>
  <si>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</si>
  <si>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</si>
  <si>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</si>
  <si>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</si>
  <si>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</si>
  <si>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</si>
  <si>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</si>
  <si>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</si>
  <si>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</si>
  <si>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</si>
  <si>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</si>
  <si>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</si>
  <si>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</si>
  <si>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</si>
  <si>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</si>
  <si>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</si>
  <si>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</si>
  <si>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</si>
  <si>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</si>
  <si>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</si>
  <si>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</si>
  <si>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</si>
  <si>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</si>
  <si>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</si>
  <si>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</si>
  <si>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</si>
  <si>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</si>
  <si>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</si>
  <si>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</si>
  <si>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</si>
  <si>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</si>
  <si>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</si>
  <si>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</si>
  <si>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</si>
  <si>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</si>
  <si>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</si>
  <si>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</si>
  <si>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</si>
  <si>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</si>
  <si>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</si>
  <si>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</si>
  <si>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</si>
  <si>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</si>
  <si>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</si>
  <si>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</si>
  <si>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</si>
  <si>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</si>
  <si>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</si>
  <si>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</si>
  <si>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</si>
  <si>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</si>
  <si>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</si>
  <si>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</si>
  <si>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</si>
  <si>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</si>
  <si>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</si>
  <si>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</si>
  <si>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</si>
  <si>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</si>
  <si>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</si>
  <si>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</si>
  <si>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</si>
  <si>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</si>
  <si>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</si>
  <si>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</si>
  <si>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</si>
  <si>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</si>
  <si>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</si>
  <si>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</si>
  <si>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</si>
  <si>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</si>
  <si>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</si>
  <si>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</si>
  <si>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</si>
  <si>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</si>
  <si>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</si>
  <si>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</si>
  <si>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</si>
  <si>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</si>
  <si>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</si>
  <si>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</si>
  <si>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</si>
  <si>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</si>
  <si>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</si>
  <si>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</si>
  <si>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</si>
  <si>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</si>
  <si>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</si>
  <si>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</si>
  <si>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</si>
  <si>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</si>
  <si>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</si>
  <si>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</si>
  <si>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</si>
  <si>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</si>
  <si>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</si>
  <si>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</si>
  <si>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</si>
  <si>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</si>
  <si>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</si>
  <si>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</si>
  <si>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</si>
  <si>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</si>
  <si>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</si>
  <si>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</si>
  <si>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</si>
  <si>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</si>
  <si>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</si>
  <si>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</si>
  <si>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</si>
  <si>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</si>
  <si>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</si>
  <si>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</si>
  <si>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</si>
  <si>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</si>
  <si>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</si>
  <si>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</si>
  <si>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</si>
  <si>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</si>
  <si>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</si>
  <si>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</si>
  <si>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</si>
  <si>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</si>
  <si>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</si>
  <si>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</si>
  <si>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</si>
  <si>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</si>
  <si>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</si>
  <si>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</si>
  <si>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</si>
  <si>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</si>
  <si>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</si>
  <si>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</si>
  <si>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</si>
  <si>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</si>
  <si>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</si>
  <si>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</si>
  <si>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</si>
  <si>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</si>
  <si>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</si>
  <si>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</si>
  <si>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</si>
  <si>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</si>
  <si>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</si>
  <si>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</si>
  <si>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</si>
  <si>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</si>
  <si>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</si>
  <si>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</si>
  <si>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</si>
  <si>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</si>
  <si>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</si>
  <si>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</si>
  <si>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</si>
  <si>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</si>
  <si>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</si>
  <si>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</si>
  <si>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</si>
  <si>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</si>
  <si>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</si>
  <si>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</si>
  <si>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</si>
  <si>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</si>
  <si>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</si>
  <si>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</si>
  <si>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</si>
  <si>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</si>
  <si>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</si>
  <si>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</si>
  <si>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</si>
  <si>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</si>
  <si>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</si>
  <si>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</si>
  <si>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</si>
  <si>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</si>
  <si>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</si>
  <si>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</si>
  <si>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</si>
  <si>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</si>
  <si>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</si>
  <si>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</si>
  <si>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</si>
  <si>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</si>
  <si>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</si>
  <si>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</si>
  <si>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</si>
  <si>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</si>
  <si>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</si>
  <si>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</si>
  <si>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</si>
  <si>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</si>
  <si>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</si>
  <si>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</si>
  <si>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</si>
  <si>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</si>
  <si>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</si>
  <si>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</si>
  <si>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</si>
  <si>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</si>
  <si>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</si>
  <si>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</si>
  <si>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</si>
  <si>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</si>
  <si>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</si>
  <si>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</si>
  <si>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</si>
  <si>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</si>
  <si>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</si>
  <si>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</si>
  <si>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</si>
  <si>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</si>
  <si>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</si>
  <si>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</si>
  <si>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</si>
  <si>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</si>
  <si>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</si>
  <si>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</si>
  <si>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</si>
  <si>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</si>
  <si>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</si>
  <si>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</si>
  <si>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</si>
  <si>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</si>
  <si>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</si>
  <si>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</si>
  <si>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</si>
  <si>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</si>
  <si>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</si>
  <si>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</si>
  <si>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</si>
  <si>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</si>
  <si>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</si>
  <si>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</si>
  <si>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</si>
  <si>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</si>
  <si>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</si>
  <si>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</si>
  <si>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</si>
  <si>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</si>
  <si>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</si>
  <si>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</si>
  <si>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</si>
  <si>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</si>
  <si>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</si>
  <si>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</si>
  <si>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</si>
  <si>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</si>
  <si>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</si>
  <si>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</si>
  <si>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</si>
  <si>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</si>
  <si>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</si>
  <si>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</si>
  <si>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</si>
  <si>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</si>
  <si>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</si>
  <si>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</si>
  <si>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</si>
  <si>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</si>
  <si>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</si>
  <si>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</si>
  <si>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</si>
  <si>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</si>
  <si>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</si>
  <si>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</si>
  <si>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</si>
  <si>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</si>
  <si>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</si>
  <si>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</si>
  <si>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</si>
  <si>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</si>
  <si>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</si>
  <si>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</si>
  <si>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</si>
  <si>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</si>
  <si>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</si>
  <si>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</si>
  <si>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</si>
  <si>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</si>
  <si>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</si>
  <si>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</si>
  <si>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</si>
  <si>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</si>
  <si>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</si>
  <si>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</si>
  <si>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</si>
  <si>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</si>
  <si>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</si>
  <si>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</si>
  <si>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</si>
  <si>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</si>
  <si>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</si>
  <si>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</si>
  <si>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</si>
  <si>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</si>
  <si>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</si>
  <si>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</si>
  <si>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</si>
  <si>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</si>
  <si>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</si>
  <si>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</si>
  <si>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</si>
  <si>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</si>
  <si>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</si>
  <si>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</si>
  <si>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</si>
  <si>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</si>
  <si>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</si>
  <si>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</si>
  <si>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</si>
  <si>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</si>
  <si>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</si>
  <si>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</si>
  <si>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</si>
  <si>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</si>
  <si>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</si>
  <si>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</si>
  <si>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</si>
  <si>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</si>
  <si>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</si>
  <si>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</si>
  <si>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</si>
  <si>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</si>
  <si>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</si>
  <si>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</si>
  <si>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</si>
  <si>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</si>
  <si>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</si>
  <si>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</si>
  <si>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</si>
  <si>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</si>
  <si>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</si>
  <si>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</si>
  <si>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</si>
  <si>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</si>
  <si>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</si>
  <si>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</si>
  <si>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</si>
  <si>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</si>
  <si>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</si>
  <si>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</si>
  <si>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</si>
  <si>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</si>
  <si>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</si>
  <si>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</si>
  <si>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</si>
  <si>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</si>
  <si>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</si>
  <si>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</si>
  <si>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</si>
  <si>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</si>
  <si>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</si>
  <si>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</si>
  <si>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</si>
  <si>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</si>
  <si>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</si>
  <si>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</si>
  <si>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</si>
  <si>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</si>
  <si>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</si>
  <si>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</si>
  <si>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</si>
  <si>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</si>
  <si>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</si>
  <si>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</si>
  <si>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</si>
  <si>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</si>
  <si>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</si>
  <si>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</si>
  <si>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</si>
  <si>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</si>
  <si>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</si>
  <si>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</si>
  <si>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</si>
  <si>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</si>
  <si>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</si>
  <si>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</si>
  <si>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</si>
  <si>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</si>
  <si>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</si>
  <si>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</si>
  <si>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</si>
  <si>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</si>
  <si>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</si>
  <si>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</si>
  <si>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</si>
  <si>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</si>
  <si>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</si>
  <si>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</si>
  <si>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</si>
  <si>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</si>
  <si>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</si>
  <si>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</si>
  <si>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</si>
  <si>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</si>
  <si>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</si>
  <si>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</si>
  <si>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</si>
  <si>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</si>
  <si>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</si>
  <si>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</si>
  <si>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</si>
  <si>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</si>
  <si>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</si>
  <si>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</si>
  <si>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</si>
  <si>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</si>
  <si>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</si>
  <si>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</si>
  <si>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</si>
  <si>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</si>
  <si>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</si>
  <si>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</si>
  <si>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</si>
  <si>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</si>
  <si>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</si>
  <si>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</si>
  <si>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</si>
  <si>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</si>
  <si>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</si>
  <si>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</si>
  <si>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</si>
  <si>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</si>
  <si>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</si>
  <si>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</si>
  <si>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</si>
  <si>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</si>
  <si>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</si>
  <si>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</si>
  <si>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</si>
  <si>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</si>
  <si>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</si>
  <si>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</si>
  <si>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</si>
  <si>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</si>
  <si>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</si>
  <si>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</si>
  <si>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</si>
  <si>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</si>
  <si>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</si>
  <si>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</si>
  <si>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</si>
  <si>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</si>
  <si>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</si>
  <si>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</si>
  <si>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</si>
  <si>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</si>
  <si>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</si>
  <si>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</si>
  <si>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</si>
  <si>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</si>
  <si>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</si>
  <si>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</si>
  <si>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</si>
  <si>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</si>
  <si>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</si>
  <si>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</si>
  <si>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</si>
  <si>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</si>
  <si>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</si>
  <si>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</si>
  <si>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</si>
  <si>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</si>
  <si>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</si>
  <si>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</si>
  <si>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</si>
  <si>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</si>
  <si>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</si>
  <si>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</si>
  <si>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</si>
  <si>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</si>
  <si>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</si>
  <si>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</si>
  <si>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</si>
  <si>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</si>
  <si>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</si>
  <si>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</si>
  <si>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</si>
  <si>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</si>
  <si>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</si>
  <si>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</si>
  <si>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</si>
  <si>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</si>
  <si>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</si>
  <si>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</si>
  <si>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</si>
  <si>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</si>
  <si>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</si>
  <si>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</si>
  <si>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</si>
  <si>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</si>
  <si>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</si>
  <si>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</si>
  <si>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</si>
  <si>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</si>
  <si>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</si>
  <si>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</si>
  <si>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</si>
  <si>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</si>
  <si>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</si>
  <si>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</si>
  <si>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</si>
  <si>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</si>
  <si>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</si>
  <si>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</si>
  <si>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</si>
  <si>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</si>
  <si>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</si>
  <si>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</si>
  <si>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</si>
  <si>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</si>
  <si>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</si>
  <si>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</si>
  <si>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</si>
  <si>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</si>
  <si>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</si>
  <si>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</si>
  <si>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</si>
  <si>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</si>
  <si>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</si>
  <si>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</si>
  <si>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</si>
  <si>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</si>
  <si>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</si>
  <si>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</si>
  <si>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</si>
  <si>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</si>
  <si>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</si>
  <si>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</si>
  <si>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</si>
  <si>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</si>
  <si>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</si>
  <si>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</si>
  <si>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</si>
  <si>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</si>
  <si>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</si>
  <si>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</si>
  <si>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</si>
  <si>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</si>
  <si>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</si>
  <si>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</si>
  <si>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</si>
  <si>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</si>
  <si>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</si>
  <si>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</si>
  <si>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</si>
  <si>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</si>
  <si>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</si>
  <si>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</si>
  <si>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</si>
  <si>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</si>
  <si>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</si>
  <si>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</si>
  <si>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</si>
  <si>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</si>
  <si>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</si>
  <si>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</si>
  <si>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</si>
  <si>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</si>
  <si>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</si>
  <si>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</si>
  <si>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</si>
  <si>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</si>
  <si>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</si>
  <si>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</si>
  <si>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</si>
  <si>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</si>
  <si>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</si>
  <si>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</si>
  <si>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</si>
  <si>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</si>
  <si>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</si>
  <si>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</si>
  <si>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</si>
  <si>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</si>
  <si>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</si>
  <si>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</si>
  <si>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</si>
  <si>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</si>
  <si>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</si>
  <si>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</si>
  <si>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</si>
  <si>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</si>
  <si>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</si>
  <si>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</si>
  <si>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</si>
  <si>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</si>
  <si>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</si>
  <si>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</si>
  <si>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</si>
  <si>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</si>
  <si>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</si>
  <si>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</si>
  <si>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</si>
  <si>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</si>
  <si>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</si>
  <si>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</si>
  <si>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</si>
  <si>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</si>
  <si>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</si>
  <si>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</si>
  <si>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</si>
  <si>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</si>
  <si>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</si>
  <si>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</si>
  <si>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</si>
  <si>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</si>
  <si>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</si>
  <si>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</si>
  <si>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</si>
  <si>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</si>
  <si>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</si>
  <si>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</si>
  <si>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</si>
  <si>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</si>
  <si>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</si>
  <si>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</si>
  <si>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</si>
  <si>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</si>
  <si>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</si>
  <si>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</si>
  <si>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</si>
  <si>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</si>
  <si>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</si>
  <si>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</si>
  <si>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</si>
  <si>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</si>
  <si>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</si>
  <si>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</si>
  <si>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</si>
  <si>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</si>
  <si>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</si>
  <si>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</si>
  <si>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</si>
  <si>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</si>
  <si>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</si>
  <si>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</si>
  <si>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</si>
  <si>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</si>
  <si>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</si>
  <si>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</si>
  <si>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</si>
  <si>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</si>
  <si>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</si>
  <si>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</si>
  <si>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</si>
  <si>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</si>
  <si>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</si>
  <si>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</si>
  <si>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</si>
  <si>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</si>
  <si>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</si>
  <si>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</si>
  <si>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</si>
  <si>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</si>
  <si>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</si>
  <si>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</si>
  <si>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</si>
  <si>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</si>
  <si>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</si>
  <si>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</si>
  <si>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</si>
  <si>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</si>
  <si>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</si>
  <si>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</si>
  <si>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</si>
  <si>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</si>
  <si>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</si>
  <si>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</si>
  <si>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</si>
  <si>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</si>
  <si>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</si>
  <si>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</si>
  <si>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</si>
  <si>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</si>
  <si>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</si>
  <si>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</si>
  <si>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</si>
  <si>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</si>
  <si>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</si>
  <si>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</si>
  <si>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</si>
  <si>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</si>
  <si>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</si>
  <si>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</si>
  <si>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</si>
  <si>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</si>
  <si>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</si>
  <si>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</si>
  <si>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</si>
  <si>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</si>
  <si>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</si>
  <si>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</si>
  <si>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</si>
  <si>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</si>
  <si>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</si>
  <si>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</si>
  <si>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</si>
  <si>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</si>
  <si>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</si>
  <si>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</si>
  <si>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</si>
  <si>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</si>
  <si>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</si>
  <si>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</si>
  <si>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</si>
  <si>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</si>
  <si>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</si>
  <si>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</si>
  <si>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</si>
  <si>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</si>
  <si>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</si>
  <si>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</si>
  <si>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</si>
  <si>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</si>
  <si>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</si>
  <si>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</si>
  <si>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</si>
  <si>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</si>
  <si>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</si>
  <si>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</si>
  <si>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</si>
  <si>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</si>
  <si>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</si>
  <si>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</si>
  <si>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</si>
  <si>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</si>
  <si>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</si>
  <si>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</si>
  <si>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</si>
  <si>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</si>
  <si>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</si>
  <si>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</si>
  <si>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</si>
  <si>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</si>
  <si>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</si>
  <si>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</si>
  <si>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</si>
  <si>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</si>
  <si>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</si>
  <si>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</si>
  <si>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</si>
  <si>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</si>
  <si>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</si>
  <si>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</si>
  <si>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</si>
  <si>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</si>
  <si>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</si>
  <si>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</si>
  <si>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</si>
  <si>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</si>
  <si>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</si>
  <si>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</si>
  <si>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</si>
  <si>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</si>
  <si>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</si>
  <si>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</si>
  <si>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</si>
  <si>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</si>
  <si>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</si>
  <si>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</si>
  <si>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</si>
  <si>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</si>
  <si>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</si>
  <si>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</si>
  <si>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</si>
  <si>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</si>
  <si>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</si>
  <si>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</si>
  <si>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</si>
  <si>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</si>
  <si>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</si>
  <si>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</si>
  <si>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</si>
  <si>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</si>
  <si>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</si>
  <si>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</si>
  <si>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</si>
  <si>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</si>
  <si>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</si>
  <si>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</si>
  <si>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</si>
  <si>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</si>
  <si>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</si>
  <si>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</si>
  <si>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</si>
  <si>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</si>
  <si>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</si>
  <si>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</si>
  <si>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</si>
  <si>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</si>
  <si>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</si>
  <si>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</si>
  <si>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</si>
  <si>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</si>
  <si>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</si>
  <si>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</si>
  <si>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</si>
  <si>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</si>
  <si>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</si>
  <si>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</si>
  <si>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</si>
  <si>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</si>
  <si>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</si>
  <si>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</si>
  <si>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</si>
  <si>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</si>
  <si>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</si>
  <si>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</si>
  <si>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</si>
  <si>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</si>
  <si>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</si>
  <si>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</si>
  <si>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</si>
  <si>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</si>
  <si>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</si>
  <si>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</si>
  <si>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</si>
  <si>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</si>
  <si>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</si>
  <si>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</si>
  <si>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</si>
  <si>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</si>
  <si>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</si>
  <si>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</si>
  <si>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</si>
  <si>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</si>
  <si>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</si>
  <si>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</si>
  <si>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</si>
  <si>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</si>
  <si>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</si>
  <si>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</si>
  <si>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</si>
  <si>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</si>
  <si>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</si>
  <si>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</si>
  <si>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</si>
  <si>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</si>
  <si>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</si>
  <si>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</si>
  <si>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</si>
  <si>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</si>
  <si>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</si>
  <si>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</si>
  <si>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</si>
  <si>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</si>
  <si>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</si>
  <si>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</si>
  <si>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</si>
  <si>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</si>
  <si>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</si>
  <si>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</si>
  <si>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</si>
  <si>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</si>
  <si>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</si>
  <si>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</si>
  <si>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</si>
  <si>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</si>
  <si>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</si>
  <si>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</si>
  <si>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</si>
  <si>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</si>
  <si>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</si>
  <si>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</si>
  <si>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</si>
  <si>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</si>
  <si>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</si>
  <si>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</si>
  <si>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</si>
  <si>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</si>
  <si>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</si>
  <si>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</si>
  <si>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</si>
  <si>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</si>
  <si>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</si>
  <si>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</si>
  <si>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</si>
  <si>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</si>
  <si>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</si>
  <si>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</si>
  <si>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</si>
  <si>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</si>
  <si>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</si>
  <si>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</si>
  <si>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</si>
  <si>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</si>
  <si>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</si>
  <si>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</si>
  <si>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</si>
  <si>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</si>
  <si>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</si>
  <si>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</si>
  <si>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</si>
  <si>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</si>
  <si>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</si>
  <si>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</si>
  <si>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</si>
  <si>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</si>
  <si>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</si>
  <si>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</si>
  <si>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</si>
  <si>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</si>
  <si>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</si>
  <si>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</si>
  <si>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</si>
  <si>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</si>
  <si>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</si>
  <si>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</si>
  <si>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</si>
  <si>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</si>
  <si>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</si>
  <si>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</si>
  <si>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</si>
  <si>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</si>
  <si>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</si>
  <si>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</si>
  <si>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</si>
  <si>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</si>
  <si>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</si>
  <si>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</si>
  <si>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</si>
  <si>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</si>
  <si>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</si>
  <si>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</si>
  <si>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</si>
  <si>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</si>
  <si>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</si>
  <si>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</si>
  <si>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</si>
  <si>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</si>
  <si>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</si>
  <si>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</si>
  <si>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</si>
  <si>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</si>
  <si>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</si>
  <si>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</si>
  <si>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</si>
  <si>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</si>
  <si>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</si>
  <si>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</si>
  <si>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</si>
  <si>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</si>
  <si>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</si>
  <si>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</si>
  <si>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</si>
  <si>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</si>
  <si>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</si>
  <si>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</si>
  <si>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</si>
  <si>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</si>
  <si>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</si>
  <si>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</si>
  <si>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</si>
  <si>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</si>
  <si>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</si>
  <si>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</si>
  <si>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</si>
  <si>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</si>
  <si>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</si>
  <si>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</si>
  <si>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</si>
  <si>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</si>
  <si>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</si>
  <si>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</si>
  <si>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</si>
  <si>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</si>
  <si>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</si>
  <si>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</si>
  <si>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</si>
  <si>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</si>
  <si>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</si>
  <si>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</si>
  <si>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</si>
  <si>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</si>
  <si>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</si>
  <si>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</si>
  <si>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</si>
  <si>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</si>
  <si>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</si>
  <si>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</si>
  <si>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</si>
  <si>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</si>
  <si>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</si>
  <si>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</si>
  <si>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</si>
  <si>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</si>
  <si>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</si>
  <si>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</si>
  <si>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</si>
  <si>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</si>
  <si>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</si>
  <si>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</si>
  <si>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</si>
  <si>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</si>
  <si>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</si>
  <si>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</si>
  <si>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</si>
  <si>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</si>
  <si>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</si>
  <si>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</si>
  <si>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</si>
  <si>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</si>
  <si>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</si>
  <si>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</si>
  <si>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</si>
  <si>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</si>
  <si>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</si>
  <si>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</si>
  <si>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</si>
  <si>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</si>
  <si>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</si>
  <si>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</si>
  <si>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</si>
  <si>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</si>
  <si>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</si>
  <si>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</si>
  <si>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</si>
  <si>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</si>
  <si>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</si>
  <si>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</si>
  <si>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</si>
  <si>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</si>
  <si>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</si>
  <si>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</si>
  <si>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</si>
  <si>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</si>
  <si>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</si>
  <si>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</si>
  <si>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</si>
  <si>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</si>
  <si>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</si>
  <si>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</si>
  <si>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</si>
  <si>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</si>
  <si>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</si>
  <si>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</si>
  <si>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</si>
  <si>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</si>
  <si>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</si>
  <si>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</si>
  <si>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</si>
  <si>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</si>
  <si>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</si>
  <si>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</si>
  <si>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</si>
  <si>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</si>
  <si>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</si>
  <si>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</si>
  <si>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</si>
  <si>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</si>
  <si>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</si>
  <si>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</si>
  <si>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</si>
  <si>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</si>
  <si>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</si>
  <si>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</si>
  <si>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</si>
  <si>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</si>
  <si>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</si>
  <si>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</si>
  <si>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</si>
  <si>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</si>
  <si>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</si>
  <si>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</si>
  <si>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</si>
  <si>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</si>
  <si>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</si>
  <si>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</si>
  <si>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</si>
  <si>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</si>
  <si>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</si>
  <si>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</si>
  <si>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</si>
  <si>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</si>
  <si>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</si>
  <si>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</si>
  <si>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</si>
  <si>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</si>
  <si>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</si>
  <si>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</si>
  <si>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</si>
  <si>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</si>
  <si>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</si>
  <si>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</si>
  <si>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</si>
  <si>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</si>
  <si>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</si>
  <si>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</si>
  <si>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</si>
  <si>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</si>
  <si>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</si>
  <si>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</si>
  <si>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</si>
  <si>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</si>
  <si>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</si>
  <si>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</si>
  <si>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</si>
  <si>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</si>
  <si>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</si>
  <si>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</si>
  <si>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</si>
  <si>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</si>
  <si>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</si>
  <si>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</si>
  <si>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</si>
  <si>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</si>
  <si>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</si>
  <si>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</si>
  <si>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</si>
  <si>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</si>
  <si>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</si>
  <si>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</si>
  <si>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</si>
  <si>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</si>
  <si>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</si>
  <si>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</si>
  <si>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</si>
  <si>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</si>
  <si>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</si>
  <si>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</si>
  <si>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</si>
  <si>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</si>
  <si>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</si>
  <si>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</si>
  <si>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</si>
  <si>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</si>
  <si>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</si>
  <si>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</si>
  <si>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</si>
  <si>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</si>
  <si>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</si>
  <si>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</si>
  <si>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</si>
  <si>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</si>
  <si>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</si>
  <si>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</si>
  <si>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</si>
  <si>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</si>
  <si>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</si>
  <si>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</si>
  <si>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</si>
  <si>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</si>
  <si>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</si>
  <si>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</si>
  <si>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</si>
  <si>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</si>
  <si>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</si>
  <si>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</si>
  <si>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</si>
  <si>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</si>
  <si>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</si>
  <si>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</si>
  <si>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</si>
  <si>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</si>
  <si>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</si>
  <si>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</si>
  <si>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</si>
  <si>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</si>
  <si>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</si>
  <si>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</si>
  <si>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</si>
  <si>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</si>
  <si>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</si>
  <si>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</si>
  <si>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</si>
  <si>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</si>
  <si>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</si>
  <si>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</si>
  <si>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</si>
  <si>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</si>
  <si>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</si>
  <si>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</si>
  <si>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</si>
  <si>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</si>
  <si>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</si>
  <si>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</si>
  <si>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</si>
  <si>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</si>
  <si>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</si>
  <si>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</si>
  <si>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</si>
  <si>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</si>
  <si>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</si>
  <si>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</si>
  <si>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</si>
  <si>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</si>
  <si>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</si>
  <si>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</si>
  <si>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</si>
  <si>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</si>
  <si>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</si>
  <si>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</si>
  <si>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</si>
  <si>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</si>
  <si>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</si>
  <si>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</si>
  <si>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</si>
  <si>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</si>
  <si>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</si>
  <si>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</si>
  <si>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</si>
  <si>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</si>
  <si>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</si>
  <si>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</si>
  <si>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</si>
  <si>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</si>
  <si>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</si>
  <si>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</si>
  <si>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</si>
  <si>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</si>
  <si>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</si>
  <si>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</si>
  <si>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</si>
  <si>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</si>
  <si>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</si>
  <si>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</si>
  <si>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</si>
  <si>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</si>
  <si>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</si>
  <si>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</si>
  <si>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</si>
  <si>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</si>
  <si>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</si>
  <si>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</si>
  <si>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</si>
  <si>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</si>
  <si>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</si>
  <si>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</si>
  <si>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</si>
  <si>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</si>
  <si>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</si>
  <si>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</si>
  <si>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</si>
  <si>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</si>
  <si>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</si>
  <si>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</si>
  <si>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</si>
  <si>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</si>
  <si>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</si>
  <si>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</si>
  <si>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</si>
  <si>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</si>
  <si>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</si>
  <si>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</si>
  <si>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</si>
  <si>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</si>
  <si>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</si>
  <si>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</si>
  <si>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</si>
  <si>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</si>
  <si>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</si>
  <si>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</si>
  <si>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</si>
  <si>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</si>
  <si>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</si>
  <si>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</si>
  <si>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</si>
  <si>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</si>
  <si>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</si>
  <si>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</si>
  <si>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</si>
  <si>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</si>
  <si>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</si>
  <si>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</si>
  <si>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</si>
  <si>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</si>
  <si>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</si>
  <si>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</si>
  <si>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</si>
  <si>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</si>
  <si>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</si>
  <si>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</si>
  <si>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</si>
  <si>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</si>
  <si>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</si>
  <si>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</si>
  <si>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</si>
  <si>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</si>
  <si>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</si>
  <si>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</si>
  <si>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</si>
  <si>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</si>
  <si>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</si>
  <si>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</si>
  <si>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</si>
  <si>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</si>
  <si>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</si>
  <si>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</si>
  <si>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</si>
  <si>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</si>
  <si>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</si>
  <si>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</si>
  <si>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</si>
  <si>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</si>
  <si>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</si>
  <si>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</si>
  <si>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</si>
  <si>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</si>
  <si>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</si>
  <si>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</si>
  <si>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</si>
  <si>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</si>
  <si>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</si>
  <si>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</si>
  <si>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</si>
  <si>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</si>
  <si>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</si>
  <si>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</si>
  <si>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</si>
  <si>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</si>
  <si>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</si>
  <si>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</si>
  <si>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</si>
  <si>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</si>
  <si>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</si>
  <si>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</si>
  <si>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</si>
  <si>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</si>
  <si>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</si>
  <si>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</si>
  <si>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</si>
  <si>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</si>
  <si>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</si>
  <si>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</si>
  <si>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</si>
  <si>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</si>
  <si>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</si>
  <si>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</si>
  <si>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</si>
  <si>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</si>
  <si>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</si>
  <si>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</si>
  <si>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</si>
  <si>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</si>
  <si>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</si>
  <si>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</si>
  <si>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</si>
  <si>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</si>
  <si>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</si>
  <si>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</si>
  <si>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</si>
  <si>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</si>
  <si>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</si>
  <si>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</si>
  <si>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</si>
  <si>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</si>
  <si>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</si>
  <si>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</si>
  <si>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</si>
  <si>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</si>
  <si>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</si>
  <si>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</si>
  <si>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</si>
  <si>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</si>
  <si>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</si>
  <si>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</si>
  <si>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</si>
  <si>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</si>
  <si>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</si>
  <si>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</si>
  <si>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</si>
  <si>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</si>
  <si>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</si>
  <si>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</si>
  <si>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</si>
  <si>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</si>
  <si>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</si>
  <si>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</si>
  <si>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</si>
  <si>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</si>
  <si>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</si>
  <si>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</si>
  <si>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</si>
  <si>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</si>
  <si>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</si>
  <si>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</si>
  <si>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</si>
  <si>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</si>
  <si>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</si>
  <si>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</si>
  <si>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</si>
  <si>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</si>
  <si>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</si>
  <si>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</si>
  <si>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</si>
  <si>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</si>
  <si>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</si>
  <si>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</si>
  <si>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</si>
  <si>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</si>
  <si>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</si>
  <si>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</si>
  <si>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</si>
  <si>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</si>
  <si>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</si>
  <si>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</si>
  <si>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</si>
  <si>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</si>
  <si>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</si>
  <si>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</si>
  <si>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</si>
  <si>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</si>
  <si>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</si>
  <si>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</si>
  <si>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</si>
  <si>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</si>
  <si>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</si>
  <si>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</si>
  <si>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</si>
  <si>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</si>
  <si>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</si>
  <si>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</si>
  <si>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</si>
  <si>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</si>
  <si>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</si>
  <si>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</si>
  <si>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</si>
  <si>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</si>
  <si>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</si>
  <si>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</si>
  <si>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</si>
  <si>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</si>
  <si>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</si>
  <si>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</si>
  <si>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</si>
  <si>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</si>
  <si>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</si>
  <si>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</si>
  <si>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</si>
  <si>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</si>
  <si>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</si>
  <si>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</si>
  <si>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</si>
  <si>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</si>
  <si>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</si>
  <si>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</si>
  <si>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</si>
  <si>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</si>
  <si>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</si>
  <si>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</si>
  <si>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</si>
  <si>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</si>
  <si>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</si>
  <si>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</si>
  <si>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</si>
  <si>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</si>
  <si>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</si>
  <si>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</si>
  <si>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</si>
  <si>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</si>
  <si>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</si>
  <si>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</si>
  <si>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</si>
  <si>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</si>
  <si>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</si>
  <si>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</si>
  <si>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</si>
  <si>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</si>
  <si>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</si>
  <si>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</si>
  <si>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</si>
  <si>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</si>
  <si>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</si>
  <si>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</si>
  <si>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</si>
  <si>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</si>
  <si>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</si>
  <si>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</si>
  <si>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</si>
  <si>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</si>
  <si>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</si>
  <si>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</si>
  <si>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</si>
  <si>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</si>
  <si>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</si>
  <si>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</si>
  <si>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</si>
  <si>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</si>
  <si>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</si>
  <si>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</si>
  <si>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</si>
  <si>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</si>
  <si>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</si>
  <si>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</si>
  <si>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</si>
  <si>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</si>
  <si>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</si>
  <si>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</si>
  <si>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</si>
  <si>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</si>
  <si>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</si>
  <si>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</si>
  <si>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</si>
  <si>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</si>
  <si>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</si>
  <si>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</si>
  <si>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</si>
  <si>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</si>
  <si>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</si>
  <si>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</si>
  <si>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</si>
  <si>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</si>
  <si>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</si>
  <si>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</si>
  <si>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</si>
  <si>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</si>
  <si>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</si>
  <si>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</si>
  <si>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</si>
  <si>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</si>
  <si>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</si>
  <si>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</si>
  <si>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</si>
  <si>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</si>
  <si>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</si>
  <si>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</si>
  <si>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</si>
  <si>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</si>
  <si>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</si>
  <si>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</si>
  <si>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</si>
  <si>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</si>
  <si>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</si>
  <si>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</si>
  <si>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</si>
  <si>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</si>
  <si>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</si>
  <si>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</si>
  <si>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</si>
  <si>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</si>
  <si>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</si>
  <si>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</si>
  <si>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</si>
  <si>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</si>
  <si>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</si>
  <si>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</si>
  <si>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</si>
  <si>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</si>
  <si>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</si>
  <si>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</si>
  <si>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</si>
  <si>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</si>
  <si>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</si>
  <si>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</si>
  <si>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</si>
  <si>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</si>
  <si>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</si>
  <si>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</si>
  <si>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</si>
  <si>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</si>
  <si>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</si>
  <si>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</si>
  <si>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</si>
  <si>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</si>
  <si>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</si>
  <si>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</si>
  <si>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</si>
  <si>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</si>
  <si>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</si>
  <si>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</si>
  <si>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</si>
  <si>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</si>
  <si>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</si>
  <si>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</si>
  <si>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</si>
  <si>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</si>
  <si>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</si>
  <si>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</si>
  <si>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</si>
  <si>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</si>
  <si>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</si>
  <si>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</si>
  <si>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</si>
  <si>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</si>
  <si>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</si>
  <si>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</si>
  <si>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</si>
  <si>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</si>
  <si>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</si>
  <si>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</si>
  <si>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</si>
  <si>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</si>
  <si>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</si>
  <si>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</si>
  <si>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</si>
  <si>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</si>
  <si>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</si>
  <si>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</si>
  <si>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</si>
  <si>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</si>
  <si>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</si>
  <si>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</si>
  <si>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</si>
  <si>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</si>
  <si>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</si>
  <si>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</si>
  <si>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</si>
  <si>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</si>
  <si>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</si>
  <si>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</si>
  <si>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</si>
  <si>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</si>
  <si>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</si>
  <si>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</si>
  <si>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</si>
  <si>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</si>
  <si>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</si>
  <si>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</si>
  <si>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</si>
  <si>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</si>
  <si>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</si>
  <si>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</si>
  <si>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</si>
  <si>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</si>
  <si>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</si>
  <si>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</si>
  <si>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</si>
  <si>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</si>
  <si>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</si>
  <si>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</si>
  <si>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</si>
  <si>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</si>
  <si>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</si>
  <si>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</si>
  <si>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</si>
  <si>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</si>
  <si>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</si>
  <si>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</si>
  <si>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</si>
  <si>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</si>
  <si>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</si>
  <si>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</si>
  <si>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</si>
  <si>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</si>
  <si>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</si>
  <si>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</si>
  <si>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</si>
  <si>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</si>
  <si>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</si>
  <si>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</si>
  <si>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</si>
  <si>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</si>
  <si>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</si>
  <si>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</si>
  <si>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</si>
  <si>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</si>
  <si>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</si>
  <si>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</si>
  <si>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</si>
  <si>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</si>
  <si>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</si>
  <si>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</si>
  <si>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</si>
  <si>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</si>
  <si>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</si>
  <si>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</si>
  <si>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</si>
  <si>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</si>
  <si>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</si>
  <si>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</si>
  <si>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</si>
  <si>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</si>
  <si>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</si>
  <si>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</si>
  <si>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</si>
  <si>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</si>
  <si>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</si>
  <si>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</si>
  <si>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</si>
  <si>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</si>
  <si>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</si>
  <si>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</si>
  <si>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</si>
  <si>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</si>
  <si>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</si>
  <si>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</si>
  <si>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</si>
  <si>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</si>
  <si>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</si>
  <si>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</si>
  <si>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</si>
  <si>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</si>
  <si>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</si>
  <si>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</si>
  <si>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</si>
  <si>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</si>
  <si>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</si>
  <si>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</si>
  <si>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</si>
  <si>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</si>
  <si>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</si>
  <si>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</si>
  <si>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</si>
  <si>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</si>
  <si>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</si>
  <si>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</si>
  <si>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</si>
  <si>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</si>
  <si>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</si>
  <si>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</si>
  <si>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</si>
  <si>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</si>
  <si>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</si>
  <si>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</si>
  <si>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</si>
  <si>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</si>
  <si>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</si>
  <si>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</si>
  <si>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</si>
  <si>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</si>
  <si>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</si>
  <si>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</si>
  <si>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</si>
  <si>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</si>
  <si>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</si>
  <si>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</si>
  <si>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</si>
  <si>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</si>
  <si>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</si>
  <si>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</si>
  <si>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</si>
  <si>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</si>
  <si>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</si>
  <si>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</si>
  <si>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</si>
  <si>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</si>
  <si>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</si>
  <si>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</si>
  <si>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</si>
  <si>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</si>
  <si>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</si>
  <si>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</si>
  <si>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</si>
  <si>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</si>
  <si>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</si>
  <si>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</si>
  <si>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</si>
  <si>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</si>
  <si>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</si>
  <si>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</si>
  <si>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</si>
  <si>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</si>
  <si>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</si>
  <si>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</si>
  <si>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</si>
  <si>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</si>
  <si>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</si>
  <si>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</si>
  <si>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</si>
  <si>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</si>
  <si>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</si>
  <si>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</si>
  <si>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</si>
  <si>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</si>
  <si>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</si>
  <si>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</si>
  <si>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</si>
  <si>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</si>
  <si>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</si>
  <si>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</si>
  <si>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</si>
  <si>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</si>
  <si>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</si>
  <si>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</si>
  <si>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</si>
  <si>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</si>
  <si>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</si>
  <si>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</si>
  <si>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</si>
  <si>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</si>
  <si>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</si>
  <si>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</si>
  <si>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</si>
  <si>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</si>
  <si>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</si>
  <si>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</si>
  <si>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</si>
  <si>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</si>
  <si>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</si>
  <si>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</si>
  <si>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</si>
  <si>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</si>
  <si>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</si>
  <si>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</si>
  <si>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</si>
  <si>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</si>
  <si>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</si>
  <si>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</si>
  <si>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</si>
  <si>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</si>
  <si>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</si>
  <si>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</si>
  <si>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</si>
  <si>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</si>
  <si>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</si>
  <si>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</si>
  <si>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</si>
  <si>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</si>
  <si>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</si>
  <si>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</si>
  <si>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</si>
  <si>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</si>
  <si>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</si>
  <si>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</si>
  <si>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</si>
  <si>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</si>
  <si>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</si>
  <si>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</si>
  <si>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</si>
  <si>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</si>
  <si>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</si>
  <si>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</si>
  <si>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</si>
  <si>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</si>
  <si>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</si>
  <si>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</si>
  <si>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</si>
  <si>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</si>
  <si>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</si>
  <si>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</si>
  <si>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</si>
  <si>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</si>
  <si>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</si>
  <si>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</si>
  <si>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</si>
  <si>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</si>
  <si>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</si>
  <si>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</si>
  <si>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</si>
  <si>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</si>
  <si>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</si>
  <si>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</si>
  <si>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</si>
  <si>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</si>
  <si>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</si>
  <si>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</si>
  <si>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</si>
  <si>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</si>
  <si>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</si>
  <si>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</si>
  <si>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</si>
  <si>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</si>
  <si>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</si>
  <si>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</si>
  <si>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</si>
  <si>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</si>
  <si>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</si>
  <si>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</si>
  <si>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</si>
  <si>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</si>
  <si>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</si>
  <si>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</si>
  <si>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</si>
  <si>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</si>
  <si>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</si>
  <si>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</si>
  <si>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</si>
  <si>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</si>
  <si>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</si>
  <si>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</si>
  <si>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</si>
  <si>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</si>
  <si>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</si>
  <si>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</si>
  <si>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</si>
  <si>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</si>
  <si>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</si>
  <si>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</si>
  <si>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</si>
  <si>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</si>
  <si>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</si>
  <si>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</si>
  <si>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</si>
  <si>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</si>
  <si>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</si>
  <si>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</si>
  <si>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</si>
  <si>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</si>
  <si>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</si>
  <si>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</si>
  <si>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</si>
  <si>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</si>
  <si>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</si>
  <si>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</si>
  <si>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</si>
  <si>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</si>
  <si>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</si>
  <si>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</si>
  <si>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</si>
  <si>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</si>
  <si>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</si>
  <si>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</si>
  <si>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</si>
  <si>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</si>
  <si>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</si>
  <si>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</si>
  <si>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</si>
  <si>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</si>
  <si>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</si>
  <si>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</si>
  <si>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</si>
  <si>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</si>
  <si>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</si>
  <si>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</si>
  <si>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</si>
  <si>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</si>
  <si>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</si>
  <si>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</si>
  <si>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</si>
  <si>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</si>
  <si>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</si>
  <si>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</si>
  <si>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</si>
  <si>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</si>
  <si>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</si>
  <si>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</si>
  <si>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</si>
  <si>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</si>
  <si>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</si>
  <si>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</si>
  <si>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</si>
  <si>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</si>
  <si>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</si>
  <si>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</si>
  <si>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</si>
  <si>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</si>
  <si>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</si>
  <si>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</si>
  <si>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</si>
  <si>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</si>
  <si>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</si>
  <si>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</si>
  <si>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</si>
  <si>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</si>
  <si>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</si>
  <si>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</si>
  <si>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</si>
  <si>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</si>
  <si>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</si>
  <si>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</si>
  <si>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</si>
  <si>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</si>
  <si>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</si>
  <si>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</si>
  <si>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</si>
  <si>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</si>
  <si>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</si>
  <si>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</si>
  <si>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</si>
  <si>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</si>
  <si>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</si>
  <si>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</si>
  <si>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</si>
  <si>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</si>
  <si>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</si>
  <si>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</si>
  <si>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</si>
  <si>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</si>
  <si>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</si>
  <si>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</si>
  <si>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</si>
  <si>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</si>
  <si>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</si>
  <si>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</si>
  <si>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</si>
  <si>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</si>
  <si>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</si>
  <si>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</si>
  <si>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</si>
  <si>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</si>
  <si>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</si>
  <si>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</si>
  <si>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</si>
  <si>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</si>
  <si>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</si>
  <si>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</si>
  <si>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</si>
  <si>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</si>
  <si>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</si>
  <si>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</si>
  <si>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</si>
  <si>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</si>
  <si>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</si>
  <si>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</si>
  <si>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</si>
  <si>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</si>
  <si>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</si>
  <si>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</si>
  <si>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</si>
  <si>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</si>
  <si>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</si>
  <si>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</si>
  <si>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</si>
  <si>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</si>
  <si>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</si>
  <si>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</si>
  <si>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</si>
  <si>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</si>
  <si>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</si>
  <si>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</si>
  <si>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</si>
  <si>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</si>
  <si>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</si>
  <si>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</si>
  <si>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</si>
  <si>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</si>
  <si>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</si>
  <si>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</si>
  <si>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</si>
  <si>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</si>
  <si>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</si>
  <si>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</si>
  <si>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</si>
  <si>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</si>
  <si>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</si>
  <si>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</si>
  <si>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</si>
  <si>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</si>
  <si>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</si>
  <si>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</si>
  <si>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</si>
  <si>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</si>
  <si>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</si>
  <si>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</si>
  <si>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</si>
  <si>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</si>
  <si>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</si>
  <si>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</si>
  <si>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</si>
  <si>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</si>
  <si>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</si>
  <si>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</si>
  <si>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</si>
  <si>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</si>
  <si>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</si>
  <si>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</si>
  <si>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</si>
  <si>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</si>
  <si>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</si>
  <si>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</si>
  <si>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</si>
  <si>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</si>
  <si>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</si>
  <si>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</si>
  <si>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</si>
  <si>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</si>
  <si>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</si>
  <si>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</si>
  <si>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</si>
  <si>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</si>
  <si>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</si>
  <si>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</si>
  <si>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</si>
  <si>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</si>
  <si>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</si>
  <si>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</si>
  <si>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</si>
  <si>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</si>
  <si>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</si>
  <si>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</si>
  <si>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</si>
  <si>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</si>
  <si>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</si>
  <si>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</si>
  <si>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</si>
  <si>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</si>
  <si>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</si>
  <si>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</si>
  <si>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</si>
  <si>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</si>
  <si>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</si>
  <si>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</si>
  <si>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</si>
  <si>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</si>
  <si>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</si>
  <si>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</si>
  <si>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</si>
  <si>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</si>
  <si>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</si>
  <si>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</si>
  <si>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</si>
  <si>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</si>
  <si>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</si>
  <si>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</si>
  <si>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</si>
  <si>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</si>
  <si>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</si>
  <si>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</si>
  <si>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</si>
  <si>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</si>
  <si>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</si>
  <si>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</si>
  <si>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</si>
  <si>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</si>
  <si>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</si>
  <si>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</si>
  <si>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</si>
  <si>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</si>
  <si>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</si>
  <si>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</si>
  <si>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</si>
  <si>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</si>
  <si>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</si>
  <si>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</si>
  <si>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</si>
  <si>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</si>
  <si>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</si>
  <si>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</si>
  <si>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</si>
  <si>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</si>
  <si>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</si>
  <si>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</si>
  <si>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</si>
  <si>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</si>
  <si>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</si>
  <si>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</si>
  <si>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</si>
  <si>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</si>
  <si>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</si>
  <si>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</si>
  <si>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</si>
  <si>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</si>
  <si>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</si>
  <si>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</si>
  <si>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</si>
  <si>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</si>
  <si>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</si>
  <si>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</si>
  <si>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</si>
  <si>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</si>
  <si>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</si>
  <si>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</si>
  <si>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</si>
  <si>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</si>
  <si>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</si>
  <si>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</si>
  <si>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</si>
  <si>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</si>
  <si>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</si>
  <si>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</si>
  <si>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</si>
  <si>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</si>
  <si>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</si>
  <si>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</si>
  <si>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</si>
  <si>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</si>
  <si>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</si>
  <si>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</si>
  <si>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</si>
  <si>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</si>
  <si>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</si>
  <si>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</si>
  <si>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</si>
  <si>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</si>
  <si>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</si>
  <si>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</si>
  <si>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</si>
  <si>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</si>
  <si>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</si>
  <si>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</si>
  <si>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</si>
  <si>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</si>
  <si>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</si>
  <si>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</si>
  <si>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</si>
  <si>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</si>
  <si>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</si>
  <si>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</si>
  <si>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</si>
  <si>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</si>
  <si>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</si>
  <si>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</si>
  <si>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</si>
  <si>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</si>
  <si>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</si>
  <si>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</si>
  <si>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</si>
  <si>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</si>
  <si>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</si>
  <si>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</si>
  <si>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</si>
  <si>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</si>
  <si>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</si>
  <si>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</si>
  <si>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</si>
  <si>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</si>
  <si>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</si>
  <si>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</si>
  <si>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</si>
  <si>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</si>
  <si>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</si>
  <si>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</si>
  <si>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</si>
  <si>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</si>
  <si>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</si>
  <si>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</si>
  <si>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</si>
  <si>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</si>
  <si>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</si>
  <si>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</si>
  <si>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</si>
  <si>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</si>
  <si>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</si>
  <si>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</si>
  <si>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</si>
  <si>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</si>
  <si>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</si>
  <si>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</si>
  <si>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</si>
  <si>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</si>
  <si>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</si>
  <si>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</si>
  <si>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</si>
  <si>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</si>
  <si>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</si>
  <si>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</si>
  <si>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</si>
  <si>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</si>
  <si>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</si>
  <si>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</si>
  <si>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</si>
  <si>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</si>
  <si>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</si>
  <si>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</si>
  <si>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</si>
  <si>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</si>
  <si>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</si>
  <si>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</si>
  <si>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</si>
  <si>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</si>
  <si>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</si>
  <si>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</si>
  <si>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</si>
  <si>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</si>
  <si>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</si>
  <si>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</si>
  <si>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</si>
  <si>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</si>
  <si>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</si>
  <si>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</si>
  <si>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</si>
  <si>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</si>
  <si>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</si>
  <si>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</si>
  <si>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</si>
  <si>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</si>
  <si>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</si>
  <si>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</si>
  <si>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</si>
  <si>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</si>
  <si>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</si>
  <si>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</si>
  <si>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</si>
  <si>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</si>
  <si>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</si>
  <si>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</si>
  <si>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</si>
  <si>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</si>
  <si>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</si>
  <si>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</si>
  <si>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</si>
  <si>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</si>
  <si>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</si>
  <si>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</si>
  <si>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</si>
  <si>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</si>
  <si>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</si>
  <si>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</si>
  <si>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</si>
  <si>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</si>
  <si>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</si>
  <si>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</si>
  <si>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</si>
  <si>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</si>
  <si>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</si>
  <si>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</si>
  <si>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</si>
  <si>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</si>
  <si>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</si>
  <si>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</si>
  <si>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</si>
  <si>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</si>
  <si>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</si>
  <si>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</si>
  <si>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</si>
  <si>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</si>
  <si>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</si>
  <si>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</si>
  <si>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</si>
  <si>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</si>
  <si>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</si>
  <si>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</si>
  <si>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</si>
  <si>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</si>
  <si>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</si>
  <si>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</si>
  <si>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</si>
  <si>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</si>
  <si>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</si>
  <si>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</si>
  <si>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</si>
  <si>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</si>
  <si>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</si>
  <si>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</si>
  <si>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</si>
  <si>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</si>
  <si>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</si>
  <si>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</si>
  <si>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</si>
  <si>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</si>
  <si>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</si>
  <si>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</si>
  <si>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</si>
  <si>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</si>
  <si>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</si>
  <si>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</si>
  <si>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</si>
  <si>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</si>
  <si>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</si>
  <si>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</si>
  <si>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</si>
  <si>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</si>
  <si>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</si>
  <si>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</si>
  <si>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</si>
  <si>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</si>
  <si>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</si>
  <si>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</si>
  <si>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</si>
  <si>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</si>
  <si>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</si>
  <si>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</si>
  <si>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</si>
  <si>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</si>
  <si>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</si>
  <si>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</si>
  <si>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</si>
  <si>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</si>
  <si>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</si>
  <si>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</si>
  <si>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</si>
  <si>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</si>
  <si>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</si>
  <si>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</si>
  <si>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</si>
  <si>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</si>
  <si>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</si>
  <si>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</si>
  <si>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</si>
  <si>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</si>
  <si>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</si>
  <si>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</si>
  <si>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</si>
  <si>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</si>
  <si>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</si>
  <si>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</si>
  <si>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</si>
  <si>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</si>
  <si>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</si>
  <si>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</si>
  <si>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</si>
  <si>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</si>
  <si>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</si>
  <si>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</si>
  <si>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</si>
  <si>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</si>
  <si>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</si>
  <si>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</si>
  <si>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</si>
  <si>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</si>
  <si>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</si>
  <si>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</si>
  <si>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</si>
  <si>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</si>
  <si>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</si>
  <si>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</si>
  <si>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</si>
  <si>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</si>
  <si>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</si>
  <si>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</si>
  <si>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</si>
  <si>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</si>
  <si>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</si>
  <si>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</si>
  <si>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</si>
  <si>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</si>
  <si>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</si>
  <si>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</si>
  <si>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</si>
  <si>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</si>
  <si>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</si>
  <si>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</si>
  <si>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</si>
  <si>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</si>
  <si>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</si>
  <si>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</si>
  <si>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</si>
  <si>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</si>
  <si>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</si>
  <si>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</si>
  <si>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</si>
  <si>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</si>
  <si>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</si>
  <si>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</si>
  <si>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</si>
  <si>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</si>
  <si>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</si>
  <si>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</si>
  <si>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</si>
  <si>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</si>
  <si>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</si>
  <si>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</si>
  <si>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</si>
  <si>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</si>
  <si>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</si>
  <si>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</si>
  <si>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</si>
  <si>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</si>
  <si>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</si>
  <si>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</si>
  <si>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</si>
  <si>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</si>
  <si>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</si>
  <si>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</si>
  <si>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</si>
  <si>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</si>
  <si>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</si>
  <si>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</si>
  <si>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</si>
  <si>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</si>
  <si>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</si>
  <si>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</si>
  <si>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</si>
  <si>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</si>
  <si>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</si>
  <si>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</si>
  <si>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</si>
  <si>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</si>
  <si>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</si>
  <si>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</si>
  <si>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</si>
  <si>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</si>
  <si>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</si>
  <si>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</si>
  <si>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</si>
  <si>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</si>
  <si>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</si>
  <si>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</si>
  <si>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</si>
  <si>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</si>
  <si>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</si>
  <si>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</si>
  <si>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</si>
  <si>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</si>
  <si>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</si>
  <si>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</si>
  <si>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</si>
  <si>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</si>
  <si>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</si>
  <si>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</si>
  <si>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</si>
  <si>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</si>
  <si>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</si>
  <si>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</si>
  <si>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</si>
  <si>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</si>
  <si>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</si>
  <si>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</si>
  <si>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</si>
  <si>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</si>
  <si>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</si>
  <si>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</si>
  <si>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</si>
  <si>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</si>
  <si>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</si>
  <si>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</si>
  <si>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</si>
  <si>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</si>
  <si>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</si>
  <si>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</si>
  <si>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</si>
  <si>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</si>
  <si>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</si>
  <si>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</si>
  <si>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</si>
  <si>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</si>
  <si>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</si>
  <si>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</si>
  <si>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</si>
  <si>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</si>
  <si>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</si>
  <si>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</si>
  <si>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</si>
  <si>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</si>
  <si>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</si>
  <si>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</si>
  <si>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</si>
  <si>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</si>
  <si>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</si>
  <si>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</si>
  <si>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</si>
  <si>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</si>
  <si>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</si>
  <si>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</si>
  <si>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</si>
  <si>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</si>
  <si>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</si>
  <si>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</si>
  <si>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</si>
  <si>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</si>
  <si>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</si>
  <si>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</si>
  <si>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</si>
  <si>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</si>
  <si>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</si>
  <si>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</si>
  <si>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</si>
  <si>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</si>
  <si>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</si>
  <si>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</si>
  <si>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</si>
  <si>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</si>
  <si>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</si>
  <si>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</si>
  <si>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</si>
  <si>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</si>
  <si>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</si>
  <si>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</si>
  <si>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</si>
  <si>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</si>
  <si>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</si>
  <si>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</si>
  <si>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</si>
  <si>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</si>
  <si>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</si>
  <si>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</si>
  <si>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</si>
  <si>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</si>
  <si>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</si>
  <si>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</si>
  <si>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</si>
  <si>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</si>
  <si>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</si>
  <si>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</si>
  <si>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</si>
  <si>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</si>
  <si>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</si>
  <si>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</si>
  <si>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</si>
  <si>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</si>
  <si>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</si>
  <si>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</si>
  <si>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</si>
  <si>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</si>
  <si>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</si>
  <si>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</si>
  <si>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</si>
  <si>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</si>
  <si>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</si>
  <si>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</si>
  <si>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</si>
  <si>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</si>
  <si>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</si>
  <si>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</si>
  <si>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</si>
  <si>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</si>
  <si>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</si>
  <si>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</si>
  <si>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</si>
  <si>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</si>
  <si>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</si>
  <si>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</si>
  <si>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</si>
  <si>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</si>
  <si>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</si>
  <si>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</si>
  <si>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</si>
  <si>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</si>
  <si>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</si>
  <si>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</si>
  <si>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</si>
  <si>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</si>
  <si>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</si>
  <si>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</si>
  <si>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</si>
  <si>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</si>
  <si>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</si>
  <si>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</si>
  <si>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</si>
  <si>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</si>
  <si>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</si>
  <si>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</si>
  <si>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</si>
  <si>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</si>
  <si>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</si>
  <si>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</si>
  <si>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</si>
  <si>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</si>
  <si>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</si>
  <si>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</si>
  <si>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</si>
  <si>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</si>
  <si>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</si>
  <si>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</si>
  <si>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</si>
  <si>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</si>
  <si>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</si>
  <si>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</si>
  <si>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</si>
  <si>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</si>
  <si>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</si>
  <si>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</si>
  <si>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</si>
  <si>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</si>
  <si>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</si>
  <si>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</si>
  <si>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</si>
  <si>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</si>
  <si>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</si>
  <si>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</si>
  <si>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</si>
  <si>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</si>
  <si>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</si>
  <si>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</si>
  <si>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</si>
  <si>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</si>
  <si>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</si>
  <si>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</si>
  <si>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</si>
  <si>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</si>
  <si>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</si>
  <si>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</si>
  <si>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</si>
  <si>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</si>
  <si>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</si>
  <si>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</si>
  <si>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</si>
  <si>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</si>
  <si>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</si>
  <si>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</si>
  <si>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</si>
  <si>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</si>
  <si>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</si>
  <si>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</si>
  <si>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</si>
  <si>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</si>
  <si>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</si>
  <si>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</si>
  <si>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</si>
  <si>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</si>
  <si>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</si>
  <si>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</si>
  <si>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</si>
  <si>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</si>
  <si>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</si>
  <si>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</si>
  <si>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</si>
  <si>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</si>
  <si>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</si>
  <si>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</si>
  <si>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</si>
  <si>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</si>
  <si>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</si>
  <si>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</si>
  <si>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</si>
  <si>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</si>
  <si>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</si>
  <si>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</si>
  <si>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</si>
  <si>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</si>
  <si>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</si>
  <si>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</si>
  <si>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</si>
  <si>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</si>
  <si>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</si>
  <si>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</si>
  <si>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</si>
  <si>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</si>
  <si>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</si>
  <si>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</si>
  <si>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</si>
  <si>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</si>
  <si>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</si>
  <si>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</si>
  <si>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</si>
  <si>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</si>
  <si>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</si>
  <si>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</si>
  <si>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</si>
  <si>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</si>
  <si>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</si>
  <si>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</si>
  <si>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</si>
  <si>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</si>
  <si>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</si>
  <si>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</si>
  <si>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</si>
  <si>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</si>
  <si>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</si>
  <si>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</si>
  <si>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</si>
  <si>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</si>
  <si>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</si>
  <si>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</si>
  <si>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</si>
  <si>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</si>
  <si>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</si>
  <si>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</si>
  <si>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</si>
  <si>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</si>
  <si>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</si>
  <si>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</si>
  <si>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</si>
  <si>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</si>
  <si>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</si>
  <si>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</si>
  <si>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</si>
  <si>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</si>
  <si>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</si>
  <si>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</si>
  <si>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</si>
  <si>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</si>
  <si>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</si>
  <si>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</si>
  <si>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</si>
  <si>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</si>
  <si>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</si>
  <si>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</si>
  <si>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</si>
  <si>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</si>
  <si>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</si>
  <si>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</si>
  <si>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</si>
  <si>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</si>
  <si>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</si>
  <si>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</si>
  <si>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</si>
  <si>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</si>
  <si>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</si>
  <si>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</si>
  <si>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</si>
  <si>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</si>
  <si>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</si>
  <si>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</si>
  <si>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</si>
  <si>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</si>
  <si>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</si>
  <si>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</si>
  <si>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</si>
  <si>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</si>
  <si>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</si>
  <si>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</si>
  <si>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</si>
  <si>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</si>
  <si>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</si>
  <si>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</si>
  <si>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</si>
  <si>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</si>
  <si>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</si>
  <si>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</si>
  <si>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</si>
  <si>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</si>
  <si>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</si>
  <si>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</si>
  <si>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</si>
  <si>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</si>
  <si>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</si>
  <si>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</si>
  <si>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</si>
  <si>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</si>
  <si>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</si>
  <si>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</si>
  <si>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</si>
  <si>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</si>
  <si>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</si>
  <si>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</si>
  <si>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</si>
  <si>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</si>
  <si>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</si>
  <si>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</si>
  <si>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</si>
  <si>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</si>
  <si>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</si>
  <si>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</si>
  <si>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</si>
  <si>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</si>
  <si>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</si>
  <si>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</si>
  <si>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</si>
  <si>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</si>
  <si>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</si>
  <si>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</si>
  <si>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</si>
  <si>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</si>
  <si>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</si>
  <si>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</si>
  <si>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</si>
  <si>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</si>
  <si>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</si>
  <si>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</si>
  <si>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</si>
  <si>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</si>
  <si>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</si>
  <si>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</si>
  <si>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</si>
  <si>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</si>
  <si>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</si>
  <si>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</si>
  <si>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</si>
  <si>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</si>
  <si>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</si>
  <si>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</si>
  <si>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</si>
  <si>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</si>
  <si>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</si>
  <si>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</si>
  <si>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</si>
  <si>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</si>
  <si>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</si>
  <si>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</si>
  <si>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</si>
  <si>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</si>
  <si>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</si>
  <si>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</si>
  <si>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</si>
  <si>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</si>
  <si>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</si>
  <si>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</si>
  <si>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</si>
  <si>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</si>
  <si>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</si>
  <si>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</si>
  <si>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</si>
  <si>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</si>
  <si>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</si>
  <si>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</si>
  <si>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</si>
  <si>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</si>
  <si>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</si>
  <si>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</si>
  <si>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</si>
  <si>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</si>
  <si>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</si>
  <si>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</si>
  <si>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</si>
  <si>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</si>
  <si>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</si>
  <si>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</si>
  <si>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</si>
  <si>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</si>
  <si>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</si>
  <si>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</si>
  <si>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</si>
  <si>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</si>
  <si>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</si>
  <si>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</si>
  <si>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</si>
  <si>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</si>
  <si>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</si>
  <si>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</si>
  <si>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</si>
  <si>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</si>
  <si>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</si>
  <si>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</si>
  <si>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</si>
  <si>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</si>
  <si>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</si>
  <si>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</si>
  <si>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</si>
  <si>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</si>
  <si>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</si>
  <si>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</si>
  <si>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</si>
  <si>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</si>
  <si>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</si>
  <si>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</si>
  <si>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</si>
  <si>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</si>
  <si>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</si>
  <si>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</si>
  <si>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</si>
  <si>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</si>
  <si>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</si>
  <si>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</si>
  <si>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</si>
  <si>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</si>
  <si>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</si>
  <si>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</si>
  <si>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</si>
  <si>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</si>
  <si>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</si>
  <si>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</si>
  <si>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</si>
  <si>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</si>
  <si>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</si>
  <si>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</si>
  <si>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</si>
  <si>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</si>
  <si>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</si>
  <si>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</si>
  <si>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</si>
  <si>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</si>
  <si>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</si>
  <si>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</si>
  <si>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</si>
  <si>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</si>
  <si>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</si>
  <si>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</si>
  <si>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</si>
  <si>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</si>
  <si>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</si>
  <si>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</si>
  <si>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</si>
  <si>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</si>
  <si>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</si>
  <si>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</si>
  <si>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</si>
  <si>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</si>
  <si>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</si>
  <si>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</si>
  <si>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</si>
  <si>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</si>
  <si>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</si>
  <si>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</si>
  <si>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</si>
  <si>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</si>
  <si>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</si>
  <si>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</si>
  <si>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</si>
  <si>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</si>
  <si>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</si>
  <si>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</si>
  <si>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</si>
  <si>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</si>
  <si>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</si>
  <si>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</si>
  <si>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</si>
  <si>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</si>
  <si>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</si>
  <si>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</si>
  <si>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</si>
  <si>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</si>
  <si>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</si>
  <si>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</si>
  <si>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</si>
  <si>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</si>
  <si>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</si>
  <si>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</si>
  <si>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</si>
  <si>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</si>
  <si>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</si>
  <si>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</si>
  <si>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</si>
  <si>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</si>
  <si>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</si>
  <si>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</si>
  <si>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</si>
  <si>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</si>
  <si>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</si>
  <si>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</si>
  <si>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</si>
  <si>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</si>
  <si>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</si>
  <si>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</si>
  <si>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</si>
  <si>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</si>
  <si>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</si>
  <si>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</si>
  <si>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</si>
  <si>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</si>
  <si>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</si>
  <si>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</si>
  <si>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</si>
  <si>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</si>
  <si>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</si>
  <si>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</si>
  <si>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</si>
  <si>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</si>
  <si>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</si>
  <si>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</si>
  <si>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</si>
  <si>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</si>
  <si>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</si>
  <si>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</si>
  <si>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</si>
  <si>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</si>
  <si>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</si>
  <si>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</si>
  <si>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</si>
  <si>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</si>
  <si>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</si>
  <si>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</si>
  <si>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</si>
  <si>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</si>
  <si>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</si>
  <si>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</si>
  <si>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</si>
  <si>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</si>
  <si>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</si>
  <si>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</si>
  <si>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</si>
  <si>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</si>
  <si>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</si>
  <si>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</si>
  <si>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</si>
  <si>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</si>
  <si>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</si>
  <si>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</si>
  <si>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</si>
  <si>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</si>
  <si>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</si>
  <si>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</si>
  <si>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</si>
  <si>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</si>
  <si>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</si>
  <si>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</si>
  <si>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</si>
  <si>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</si>
  <si>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</si>
  <si>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</si>
  <si>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</si>
  <si>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</si>
  <si>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</si>
  <si>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</si>
  <si>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</si>
  <si>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</si>
  <si>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</si>
  <si>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</si>
  <si>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</si>
  <si>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</si>
  <si>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</si>
  <si>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</si>
  <si>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</si>
  <si>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</si>
  <si>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</si>
  <si>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</si>
  <si>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</si>
  <si>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</si>
  <si>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</si>
  <si>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</si>
  <si>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</si>
  <si>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</si>
  <si>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</si>
  <si>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</si>
  <si>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</si>
  <si>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</si>
  <si>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</si>
  <si>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</si>
  <si>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</si>
  <si>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</si>
  <si>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</si>
  <si>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</si>
  <si>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</si>
  <si>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</si>
  <si>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</si>
  <si>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</si>
  <si>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</si>
  <si>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</si>
  <si>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</si>
  <si>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</si>
  <si>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</si>
  <si>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</si>
  <si>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</si>
  <si>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</si>
  <si>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</si>
  <si>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</si>
  <si>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</si>
  <si>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</si>
  <si>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</si>
  <si>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</si>
  <si>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</si>
  <si>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</si>
  <si>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</si>
  <si>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</si>
  <si>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</si>
  <si>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</si>
  <si>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</si>
  <si>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</si>
  <si>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</si>
  <si>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</si>
  <si>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</si>
  <si>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</si>
  <si>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</si>
  <si>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</si>
  <si>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</si>
  <si>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</si>
  <si>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</si>
  <si>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</si>
  <si>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</si>
  <si>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</si>
  <si>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</si>
  <si>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</si>
  <si>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</si>
  <si>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</si>
  <si>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</si>
  <si>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</si>
  <si>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</si>
  <si>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</si>
  <si>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</si>
  <si>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</si>
  <si>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</si>
  <si>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</si>
  <si>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</si>
  <si>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</si>
  <si>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</si>
  <si>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</si>
  <si>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</si>
  <si>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</si>
  <si>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</si>
  <si>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</si>
  <si>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</si>
  <si>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</si>
  <si>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</si>
  <si>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</si>
  <si>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</si>
  <si>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</si>
  <si>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</si>
  <si>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</si>
  <si>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</si>
  <si>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</si>
  <si>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</si>
  <si>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</si>
  <si>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</si>
  <si>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</si>
  <si>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</si>
  <si>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</si>
  <si>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</si>
  <si>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</si>
  <si>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</si>
  <si>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</si>
  <si>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</si>
  <si>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</si>
  <si>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</si>
  <si>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</si>
  <si>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</si>
  <si>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</si>
  <si>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</si>
  <si>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</si>
  <si>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</si>
  <si>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</si>
  <si>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</si>
  <si>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</si>
  <si>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</si>
  <si>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</si>
  <si>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</si>
  <si>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</si>
  <si>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</si>
  <si>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</si>
  <si>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</si>
  <si>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</si>
  <si>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</si>
  <si>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</si>
  <si>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</si>
  <si>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</si>
  <si>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</si>
  <si>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</si>
  <si>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</si>
  <si>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</si>
  <si>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</si>
  <si>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</si>
  <si>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</si>
  <si>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</si>
  <si>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</si>
  <si>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</si>
  <si>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</si>
  <si>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</si>
  <si>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</si>
  <si>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</si>
  <si>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</si>
  <si>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</si>
  <si>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</si>
  <si>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</si>
  <si>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</si>
  <si>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</si>
  <si>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</si>
  <si>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</si>
  <si>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</si>
  <si>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</si>
  <si>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</si>
  <si>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</si>
  <si>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</si>
  <si>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</si>
  <si>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</si>
  <si>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</si>
  <si>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</si>
  <si>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</si>
  <si>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</si>
  <si>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</si>
  <si>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</si>
  <si>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</si>
  <si>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</si>
  <si>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</si>
  <si>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</si>
  <si>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</si>
  <si>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</si>
  <si>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</si>
  <si>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</si>
  <si>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</si>
  <si>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</si>
  <si>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</si>
  <si>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</si>
  <si>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</si>
  <si>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</si>
  <si>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</si>
  <si>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</si>
  <si>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</si>
  <si>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</si>
  <si>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</si>
  <si>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</si>
  <si>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</si>
  <si>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</si>
  <si>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</si>
  <si>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</si>
  <si>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</si>
  <si>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</si>
  <si>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</si>
  <si>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</si>
  <si>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</si>
  <si>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</si>
  <si>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</si>
  <si>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</si>
  <si>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</si>
  <si>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</si>
  <si>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</si>
  <si>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</si>
  <si>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</si>
  <si>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</si>
  <si>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</si>
  <si>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</si>
  <si>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</si>
  <si>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</si>
  <si>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</si>
  <si>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</si>
  <si>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</si>
  <si>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</si>
  <si>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</si>
  <si>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</si>
  <si>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</si>
  <si>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</si>
  <si>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</si>
  <si>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</si>
  <si>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</si>
  <si>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</si>
  <si>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</si>
  <si>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</si>
  <si>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</si>
  <si>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</si>
  <si>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</si>
  <si>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</si>
  <si>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</si>
  <si>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</si>
  <si>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</si>
  <si>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</si>
  <si>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</si>
  <si>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</si>
  <si>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</si>
  <si>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</si>
  <si>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</si>
  <si>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</si>
  <si>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</si>
  <si>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</si>
  <si>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</si>
  <si>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</si>
  <si>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</si>
  <si>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</si>
  <si>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</si>
  <si>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</si>
  <si>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</si>
  <si>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</si>
  <si>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</si>
  <si>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</si>
  <si>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</si>
  <si>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</si>
  <si>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</si>
  <si>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</si>
  <si>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</si>
  <si>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</si>
  <si>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</si>
  <si>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</si>
  <si>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</si>
  <si>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</si>
  <si>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</si>
  <si>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</si>
  <si>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</si>
  <si>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</si>
  <si>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</si>
  <si>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</si>
  <si>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</si>
  <si>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</si>
  <si>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</si>
  <si>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</si>
  <si>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</si>
  <si>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</si>
  <si>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</si>
  <si>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</si>
  <si>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</si>
  <si>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</si>
  <si>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</si>
  <si>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</si>
  <si>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</si>
  <si>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</si>
  <si>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</si>
  <si>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</si>
  <si>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</si>
  <si>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</si>
  <si>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</si>
  <si>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</si>
  <si>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</si>
  <si>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</si>
  <si>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</si>
  <si>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</si>
  <si>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</si>
  <si>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</si>
  <si>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</si>
  <si>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</si>
  <si>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</si>
  <si>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</si>
  <si>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</si>
  <si>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</si>
  <si>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</si>
  <si>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</si>
  <si>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</si>
  <si>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</si>
  <si>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</si>
  <si>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</si>
  <si>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</si>
  <si>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</si>
  <si>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</si>
  <si>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</si>
  <si>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</si>
  <si>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</si>
  <si>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</si>
  <si>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</si>
  <si>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</si>
  <si>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</si>
  <si>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</si>
  <si>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</si>
  <si>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</si>
  <si>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</si>
  <si>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</si>
  <si>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</si>
  <si>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</si>
  <si>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</si>
  <si>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</si>
  <si>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</si>
  <si>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</si>
  <si>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</si>
  <si>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</si>
  <si>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</si>
  <si>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</si>
  <si>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</si>
  <si>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</si>
  <si>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</si>
  <si>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</si>
  <si>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</si>
  <si>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</si>
  <si>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</si>
  <si>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</si>
  <si>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</si>
  <si>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</si>
  <si>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</si>
  <si>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</si>
  <si>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</si>
  <si>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</si>
  <si>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</si>
  <si>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</si>
  <si>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</si>
  <si>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</si>
  <si>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</si>
  <si>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</si>
  <si>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</si>
  <si>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</si>
  <si>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</si>
  <si>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</si>
  <si>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</si>
  <si>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</si>
  <si>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</si>
  <si>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</si>
  <si>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</si>
  <si>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</si>
  <si>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</si>
  <si>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</si>
  <si>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</si>
  <si>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</si>
  <si>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</si>
  <si>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</si>
  <si>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</si>
  <si>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</si>
  <si>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</si>
  <si>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</si>
  <si>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</si>
  <si>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</si>
  <si>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</si>
  <si>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</si>
  <si>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</si>
  <si>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</si>
  <si>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</si>
  <si>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</si>
  <si>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</si>
  <si>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</si>
  <si>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</si>
  <si>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</si>
  <si>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</si>
  <si>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</si>
  <si>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</si>
  <si>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</si>
  <si>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</si>
  <si>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</si>
  <si>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</si>
  <si>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</si>
  <si>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</si>
  <si>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</si>
  <si>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</si>
  <si>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</si>
  <si>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</si>
  <si>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</si>
  <si>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</si>
  <si>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</si>
  <si>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</si>
  <si>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</si>
  <si>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</si>
  <si>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</si>
  <si>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</si>
  <si>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</si>
  <si>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</si>
  <si>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</si>
  <si>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</si>
  <si>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</si>
  <si>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</si>
  <si>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</si>
  <si>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</si>
  <si>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</si>
  <si>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</si>
  <si>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</si>
  <si>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</si>
  <si>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</si>
  <si>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</si>
  <si>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</si>
  <si>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</si>
  <si>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</si>
  <si>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</si>
  <si>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</si>
  <si>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</si>
  <si>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</si>
  <si>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</si>
  <si>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</si>
  <si>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</si>
  <si>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</si>
  <si>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</si>
  <si>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</si>
  <si>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</si>
  <si>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</si>
  <si>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</si>
  <si>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</si>
  <si>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</si>
  <si>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</si>
  <si>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</si>
  <si>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</si>
  <si>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</si>
  <si>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</si>
  <si>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</si>
  <si>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</si>
  <si>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</si>
  <si>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</si>
  <si>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</si>
  <si>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</si>
  <si>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</si>
  <si>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</si>
  <si>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</si>
  <si>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</si>
  <si>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</si>
  <si>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</si>
  <si>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</si>
  <si>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</si>
  <si>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</si>
  <si>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</si>
  <si>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</si>
  <si>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</si>
  <si>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</si>
  <si>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</si>
  <si>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</si>
  <si>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</si>
  <si>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</si>
  <si>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</si>
  <si>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</si>
  <si>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</si>
  <si>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</si>
  <si>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</si>
  <si>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</si>
  <si>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</si>
  <si>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</si>
  <si>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</si>
  <si>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</si>
  <si>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</si>
  <si>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</si>
  <si>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</si>
  <si>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</si>
  <si>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</si>
  <si>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</si>
  <si>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</si>
  <si>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</si>
  <si>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</si>
  <si>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</si>
  <si>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</si>
  <si>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</si>
  <si>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</si>
  <si>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</si>
  <si>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</si>
  <si>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</si>
  <si>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</si>
  <si>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</si>
  <si>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</si>
  <si>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</si>
  <si>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</si>
  <si>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</si>
  <si>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</si>
  <si>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</si>
  <si>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</si>
  <si>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</si>
  <si>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</si>
  <si>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</si>
  <si>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</si>
  <si>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</si>
  <si>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</si>
  <si>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</si>
  <si>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</si>
  <si>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</si>
  <si>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</si>
  <si>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</si>
  <si>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</si>
  <si>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</si>
  <si>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</si>
  <si>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</si>
  <si>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</si>
  <si>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</si>
  <si>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</si>
  <si>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</si>
  <si>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</si>
  <si>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</si>
  <si>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</si>
  <si>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</si>
  <si>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</si>
  <si>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</si>
  <si>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</si>
  <si>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</si>
  <si>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</si>
  <si>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</si>
  <si>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</si>
  <si>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</si>
  <si>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</si>
  <si>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</si>
  <si>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</si>
  <si>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</si>
  <si>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</si>
  <si>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</si>
  <si>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</si>
  <si>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</si>
  <si>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</si>
  <si>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</si>
  <si>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</si>
  <si>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</si>
  <si>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</si>
  <si>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</si>
  <si>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</si>
  <si>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</si>
  <si>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</si>
  <si>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</si>
  <si>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</si>
  <si>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</si>
  <si>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</si>
  <si>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</si>
  <si>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</si>
  <si>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</si>
  <si>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</si>
  <si>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</si>
  <si>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</si>
  <si>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</si>
  <si>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</si>
  <si>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</si>
  <si>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</si>
  <si>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</si>
  <si>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</si>
  <si>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</si>
  <si>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</si>
  <si>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</si>
  <si>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</si>
  <si>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</si>
  <si>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</si>
  <si>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</si>
  <si>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</si>
  <si>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</si>
  <si>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</si>
  <si>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</si>
  <si>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</si>
  <si>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</si>
  <si>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</si>
  <si>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</si>
  <si>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</si>
  <si>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</si>
  <si>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</si>
  <si>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</si>
  <si>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</si>
  <si>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</si>
  <si>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</si>
  <si>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</si>
  <si>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</si>
  <si>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</si>
  <si>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</si>
  <si>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</si>
  <si>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</si>
  <si>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</si>
  <si>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</si>
  <si>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</si>
  <si>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</si>
  <si>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</si>
  <si>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</si>
  <si>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</si>
  <si>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</si>
  <si>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</si>
  <si>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</si>
  <si>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</si>
  <si>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</si>
  <si>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</si>
  <si>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</si>
  <si>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</si>
  <si>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</si>
  <si>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</si>
  <si>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</si>
  <si>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</si>
  <si>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</si>
  <si>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</si>
  <si>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</si>
  <si>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</si>
  <si>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</si>
  <si>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</si>
  <si>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</si>
  <si>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</si>
  <si>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</si>
  <si>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</si>
  <si>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</si>
  <si>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</si>
  <si>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</si>
  <si>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</si>
  <si>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</si>
  <si>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</si>
  <si>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</si>
  <si>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</si>
  <si>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</si>
  <si>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</si>
  <si>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</si>
  <si>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</si>
  <si>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</si>
  <si>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</si>
  <si>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</si>
  <si>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</si>
  <si>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</si>
  <si>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</si>
  <si>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</si>
  <si>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</si>
  <si>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</si>
  <si>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</si>
  <si>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</si>
  <si>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</si>
  <si>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</si>
  <si>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</si>
  <si>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</si>
  <si>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</si>
  <si>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</si>
  <si>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</si>
  <si>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</si>
  <si>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</si>
  <si>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</si>
  <si>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</si>
  <si>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</si>
  <si>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</si>
  <si>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</si>
  <si>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</si>
  <si>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</si>
  <si>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</si>
  <si>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</si>
  <si>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</si>
  <si>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</si>
  <si>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</si>
  <si>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</si>
  <si>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</si>
  <si>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</si>
  <si>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</si>
  <si>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</si>
  <si>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</si>
  <si>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</si>
  <si>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</si>
  <si>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</si>
  <si>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</si>
  <si>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</si>
  <si>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</si>
  <si>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</si>
  <si>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</si>
  <si>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</si>
  <si>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</si>
  <si>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</si>
  <si>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</si>
  <si>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</si>
  <si>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</si>
  <si>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</si>
  <si>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</si>
  <si>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</si>
  <si>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</si>
  <si>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</si>
  <si>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</si>
  <si>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</si>
  <si>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</si>
  <si>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</si>
  <si>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</si>
  <si>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</si>
  <si>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</si>
  <si>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</si>
  <si>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</si>
  <si>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</si>
  <si>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</si>
  <si>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</si>
  <si>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</si>
  <si>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</si>
  <si>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</si>
  <si>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</si>
  <si>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</si>
  <si>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</si>
  <si>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</si>
  <si>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</si>
  <si>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</si>
  <si>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</si>
  <si>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</si>
  <si>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</si>
  <si>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</si>
  <si>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</si>
  <si>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</si>
  <si>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</si>
  <si>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</si>
  <si>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</si>
  <si>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</si>
  <si>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</si>
  <si>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</si>
  <si>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</si>
  <si>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</si>
  <si>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</si>
  <si>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</si>
  <si>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</si>
  <si>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</si>
  <si>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</si>
  <si>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</si>
  <si>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</si>
  <si>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</si>
  <si>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</si>
  <si>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</si>
  <si>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</si>
  <si>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</si>
  <si>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</si>
  <si>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</si>
  <si>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</si>
  <si>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</si>
  <si>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</si>
  <si>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</si>
  <si>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</si>
  <si>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</si>
  <si>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</si>
  <si>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</si>
  <si>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</si>
  <si>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</si>
  <si>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</si>
  <si>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</si>
  <si>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</si>
  <si>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</si>
  <si>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</si>
  <si>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</si>
  <si>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</si>
  <si>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</si>
  <si>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</si>
  <si>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</si>
  <si>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</si>
  <si>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</si>
  <si>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</si>
  <si>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</si>
  <si>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</si>
  <si>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</si>
  <si>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</si>
  <si>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</si>
  <si>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</si>
  <si>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</si>
  <si>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</si>
  <si>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</si>
  <si>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</si>
  <si>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</si>
  <si>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</si>
  <si>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</si>
  <si>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</si>
  <si>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</si>
  <si>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</si>
  <si>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</si>
  <si>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</si>
  <si>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</si>
  <si>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</si>
  <si>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</si>
  <si>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</si>
  <si>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</si>
  <si>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</si>
  <si>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</si>
  <si>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</si>
  <si>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</si>
  <si>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</si>
  <si>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</si>
  <si>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</si>
  <si>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</si>
  <si>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</si>
  <si>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</si>
  <si>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</si>
  <si>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</si>
  <si>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</si>
  <si>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</si>
  <si>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</si>
  <si>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</si>
  <si>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</si>
  <si>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</si>
  <si>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</si>
  <si>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</si>
  <si>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</si>
  <si>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</si>
  <si>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</si>
  <si>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</si>
  <si>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</si>
  <si>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</si>
  <si>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</si>
  <si>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</si>
  <si>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</si>
  <si>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</si>
  <si>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</si>
  <si>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</si>
  <si>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</si>
  <si>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</si>
  <si>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</si>
  <si>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</si>
  <si>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</si>
  <si>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</si>
  <si>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</si>
  <si>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</si>
  <si>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</si>
  <si>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</si>
  <si>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</si>
  <si>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</si>
  <si>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</si>
  <si>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</si>
  <si>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</si>
  <si>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</si>
  <si>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</si>
  <si>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</si>
  <si>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</si>
  <si>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</si>
  <si>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</si>
  <si>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</si>
  <si>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</si>
  <si>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</si>
  <si>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</si>
  <si>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</si>
  <si>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</si>
  <si>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</si>
  <si>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</si>
  <si>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</si>
  <si>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</si>
  <si>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</si>
  <si>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</si>
  <si>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</si>
  <si>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</si>
  <si>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</si>
  <si>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</si>
  <si>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</si>
  <si>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</si>
  <si>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</si>
  <si>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</si>
  <si>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</si>
  <si>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</si>
  <si>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</si>
  <si>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</si>
  <si>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</si>
  <si>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</si>
  <si>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</si>
  <si>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</si>
  <si>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</si>
  <si>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</si>
  <si>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</si>
  <si>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</si>
  <si>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</si>
  <si>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</si>
  <si>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</si>
  <si>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</si>
  <si>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</si>
  <si>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</si>
  <si>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</si>
  <si>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</si>
  <si>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</si>
  <si>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</si>
  <si>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</si>
  <si>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</si>
  <si>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</si>
  <si>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</si>
  <si>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</si>
  <si>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</si>
  <si>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</si>
  <si>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</si>
  <si>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</si>
  <si>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</si>
  <si>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</si>
  <si>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</si>
  <si>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</si>
  <si>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</si>
  <si>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</si>
  <si>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</si>
  <si>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</si>
  <si>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</si>
  <si>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</si>
  <si>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</si>
  <si>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</si>
  <si>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</si>
  <si>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</si>
  <si>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</si>
  <si>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</si>
  <si>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</si>
  <si>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</si>
  <si>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</si>
  <si>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</si>
  <si>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</si>
  <si>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</si>
  <si>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</si>
  <si>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</si>
  <si>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</si>
  <si>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</si>
  <si>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</si>
  <si>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</si>
  <si>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</si>
  <si>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</si>
  <si>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</si>
  <si>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</si>
  <si>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</si>
  <si>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</si>
  <si>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</si>
  <si>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</si>
  <si>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</si>
  <si>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</si>
  <si>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</si>
  <si>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</si>
  <si>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</si>
  <si>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</si>
  <si>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</si>
  <si>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</si>
  <si>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</si>
  <si>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</si>
  <si>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</si>
  <si>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</si>
  <si>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</si>
  <si>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</si>
  <si>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</si>
  <si>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</si>
  <si>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</si>
  <si>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</si>
  <si>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</si>
  <si>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</si>
  <si>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</si>
  <si>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</si>
  <si>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</si>
  <si>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</si>
  <si>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</si>
  <si>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</si>
  <si>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</si>
  <si>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</si>
  <si>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</si>
  <si>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</si>
  <si>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</si>
  <si>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</si>
  <si>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</si>
  <si>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</si>
  <si>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</si>
  <si>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</si>
  <si>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</si>
  <si>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</si>
  <si>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</si>
  <si>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</si>
  <si>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</si>
  <si>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</si>
  <si>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</si>
  <si>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</si>
  <si>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</si>
  <si>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</si>
  <si>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</si>
  <si>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</si>
  <si>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</si>
  <si>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</si>
  <si>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</si>
  <si>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</si>
  <si>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</si>
  <si>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</si>
  <si>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</si>
  <si>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</si>
  <si>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</si>
  <si>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</si>
  <si>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</si>
  <si>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</si>
  <si>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</si>
  <si>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</si>
  <si>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</si>
  <si>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</si>
  <si>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</si>
  <si>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</si>
  <si>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</si>
  <si>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</si>
  <si>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</si>
  <si>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</si>
  <si>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</si>
  <si>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</si>
  <si>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</si>
  <si>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</si>
  <si>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</si>
  <si>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</si>
  <si>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</si>
  <si>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</si>
  <si>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</si>
  <si>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</si>
  <si>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</si>
  <si>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</si>
  <si>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</si>
  <si>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</si>
  <si>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</si>
  <si>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</si>
  <si>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</si>
  <si>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</si>
  <si>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</si>
  <si>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</si>
  <si>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</si>
  <si>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</si>
  <si>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</si>
  <si>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</si>
  <si>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</si>
  <si>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</si>
  <si>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</si>
  <si>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</si>
  <si>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</si>
  <si>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</si>
  <si>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</si>
  <si>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</si>
  <si>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</si>
  <si>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</si>
  <si>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</si>
  <si>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</si>
  <si>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</si>
  <si>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</si>
  <si>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</si>
  <si>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</si>
  <si>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</si>
  <si>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</si>
  <si>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</si>
  <si>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</si>
  <si>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</si>
  <si>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</si>
  <si>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</si>
  <si>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</si>
  <si>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</si>
  <si>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</si>
  <si>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</si>
  <si>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</si>
  <si>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</si>
  <si>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</si>
  <si>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</si>
  <si>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</si>
  <si>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</si>
  <si>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</si>
  <si>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</si>
  <si>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</si>
  <si>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</si>
  <si>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</si>
  <si>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</si>
  <si>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</si>
  <si>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</si>
  <si>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</si>
  <si>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</si>
  <si>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</si>
  <si>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</si>
  <si>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</si>
  <si>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</si>
  <si>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</si>
  <si>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</si>
  <si>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</si>
  <si>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</si>
  <si>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</si>
  <si>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</si>
  <si>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</si>
  <si>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</si>
  <si>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</si>
  <si>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</si>
  <si>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</si>
  <si>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</si>
  <si>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</si>
  <si>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</si>
  <si>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</si>
  <si>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</si>
  <si>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</si>
  <si>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</si>
  <si>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</si>
  <si>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</si>
  <si>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</si>
  <si>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</si>
  <si>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</si>
  <si>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</si>
  <si>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</si>
  <si>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</si>
  <si>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</si>
  <si>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</si>
  <si>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</si>
  <si>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</si>
  <si>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</si>
  <si>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</si>
  <si>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</si>
  <si>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</si>
  <si>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</si>
  <si>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</si>
  <si>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</si>
  <si>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</si>
  <si>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</si>
  <si>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</si>
  <si>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</si>
  <si>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</si>
  <si>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</si>
  <si>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</si>
  <si>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</si>
  <si>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</si>
  <si>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</si>
  <si>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</si>
  <si>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</si>
  <si>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</si>
  <si>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</si>
  <si>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</si>
  <si>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</si>
  <si>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</si>
  <si>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</si>
  <si>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</si>
  <si>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</si>
  <si>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</si>
  <si>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</si>
  <si>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</si>
  <si>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</si>
  <si>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</si>
  <si>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</si>
  <si>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</si>
  <si>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</si>
  <si>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</si>
  <si>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</si>
  <si>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</si>
  <si>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</si>
  <si>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</si>
  <si>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</si>
  <si>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</si>
  <si>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</si>
  <si>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</si>
  <si>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</si>
  <si>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</si>
  <si>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</si>
  <si>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</si>
  <si>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</si>
  <si>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</si>
  <si>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</si>
  <si>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</si>
  <si>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</si>
  <si>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</si>
  <si>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</si>
  <si>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</si>
  <si>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</si>
  <si>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</si>
  <si>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</si>
  <si>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</si>
  <si>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</si>
  <si>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</si>
  <si>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</si>
  <si>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</si>
  <si>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</si>
  <si>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</si>
  <si>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</si>
  <si>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</si>
  <si>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</si>
  <si>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</si>
  <si>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</si>
  <si>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</si>
  <si>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</si>
  <si>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</si>
  <si>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</si>
  <si>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</si>
  <si>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</si>
  <si>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</si>
  <si>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</si>
  <si>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</si>
  <si>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</si>
  <si>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</si>
  <si>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</si>
  <si>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</si>
  <si>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</si>
  <si>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</si>
  <si>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</si>
  <si>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</si>
  <si>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</si>
  <si>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</si>
  <si>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</si>
  <si>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</si>
  <si>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</si>
  <si>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</si>
  <si>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</si>
  <si>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</si>
  <si>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</si>
  <si>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</si>
  <si>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</si>
  <si>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</si>
  <si>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</si>
  <si>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</si>
  <si>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</si>
  <si>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</si>
  <si>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</si>
  <si>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</si>
  <si>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</si>
  <si>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</si>
  <si>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</si>
  <si>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</si>
  <si>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</si>
  <si>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</si>
  <si>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</si>
  <si>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</si>
  <si>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</si>
  <si>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</si>
  <si>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</si>
  <si>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</si>
  <si>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</si>
  <si>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</si>
  <si>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</si>
  <si>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</si>
  <si>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</si>
  <si>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</si>
  <si>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</si>
  <si>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</si>
  <si>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</si>
  <si>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</si>
  <si>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</si>
  <si>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</si>
  <si>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</si>
  <si>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</si>
  <si>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</si>
  <si>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</si>
  <si>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</si>
  <si>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</si>
  <si>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</si>
  <si>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</si>
  <si>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</si>
  <si>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</si>
  <si>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</si>
  <si>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</si>
  <si>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</si>
  <si>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</si>
  <si>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</si>
  <si>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</si>
  <si>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</si>
  <si>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</si>
  <si>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</si>
  <si>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</si>
  <si>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</si>
  <si>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</si>
  <si>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</si>
  <si>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</si>
  <si>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</si>
  <si>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</si>
  <si>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</si>
  <si>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</si>
  <si>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</si>
  <si>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</si>
  <si>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</si>
  <si>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</si>
  <si>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</si>
  <si>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</si>
  <si>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</si>
  <si>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</si>
  <si>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</si>
  <si>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</si>
  <si>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</si>
  <si>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</si>
  <si>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</si>
  <si>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</si>
  <si>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</si>
  <si>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</si>
  <si>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</si>
  <si>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</si>
  <si>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</si>
  <si>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</si>
  <si>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</si>
  <si>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</si>
  <si>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</si>
  <si>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</si>
  <si>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</si>
  <si>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</si>
  <si>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</si>
  <si>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</si>
  <si>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</si>
  <si>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</si>
  <si>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</si>
  <si>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</si>
  <si>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</si>
  <si>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</si>
  <si>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</si>
  <si>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</si>
  <si>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</si>
  <si>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</si>
  <si>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</si>
  <si>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</si>
  <si>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</si>
  <si>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</si>
  <si>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</si>
  <si>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</si>
  <si>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</si>
  <si>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</si>
  <si>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</si>
  <si>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</si>
  <si>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</si>
  <si>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</si>
  <si>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</si>
  <si>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</si>
  <si>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</si>
  <si>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</si>
  <si>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</si>
  <si>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</si>
  <si>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</si>
  <si>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</si>
  <si>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</si>
  <si>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</si>
  <si>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</si>
  <si>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</si>
  <si>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</si>
  <si>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</si>
  <si>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</si>
  <si>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</si>
  <si>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</si>
  <si>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</si>
  <si>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</si>
  <si>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</si>
  <si>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</si>
  <si>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</si>
  <si>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</si>
  <si>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</si>
  <si>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</si>
  <si>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</si>
  <si>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</si>
  <si>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</si>
  <si>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</si>
  <si>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</si>
  <si>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</si>
  <si>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</si>
  <si>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</si>
  <si>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</si>
  <si>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</si>
  <si>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</si>
  <si>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</si>
  <si>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</si>
  <si>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</si>
  <si>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</si>
  <si>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</si>
  <si>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</si>
  <si>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</si>
  <si>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</si>
  <si>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</si>
  <si>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</si>
  <si>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</si>
  <si>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</si>
  <si>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</si>
  <si>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</si>
  <si>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</si>
  <si>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</si>
  <si>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</si>
  <si>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</si>
  <si>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</si>
  <si>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</si>
  <si>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</si>
  <si>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</si>
  <si>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</si>
  <si>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</si>
  <si>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</si>
  <si>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</si>
  <si>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</si>
  <si>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</si>
  <si>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</si>
  <si>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</si>
  <si>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</si>
  <si>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</si>
  <si>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</si>
  <si>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</si>
  <si>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</si>
  <si>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</si>
  <si>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</si>
  <si>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</si>
  <si>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</si>
  <si>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</si>
  <si>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</si>
  <si>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</si>
  <si>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</si>
  <si>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</si>
  <si>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</si>
  <si>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</si>
  <si>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</si>
  <si>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</si>
  <si>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</si>
  <si>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</si>
  <si>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</si>
  <si>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</si>
  <si>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</si>
  <si>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</si>
  <si>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</si>
  <si>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</si>
  <si>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</si>
  <si>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</si>
  <si>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</si>
  <si>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</si>
  <si>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</si>
  <si>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</si>
  <si>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</si>
  <si>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</si>
  <si>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</si>
  <si>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</si>
  <si>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</si>
  <si>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</si>
  <si>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</si>
  <si>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</si>
  <si>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</si>
  <si>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</si>
  <si>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</si>
  <si>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</si>
  <si>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</si>
  <si>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</si>
  <si>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</si>
  <si>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</si>
  <si>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</si>
  <si>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</si>
  <si>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</si>
  <si>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</si>
  <si>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</si>
  <si>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</si>
  <si>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</si>
  <si>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</si>
  <si>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</si>
  <si>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</si>
  <si>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</si>
  <si>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</si>
  <si>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</si>
  <si>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</si>
  <si>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</si>
  <si>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</si>
  <si>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</si>
  <si>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</si>
  <si>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</si>
  <si>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</si>
  <si>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</si>
  <si>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</si>
  <si>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</si>
  <si>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</si>
  <si>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</si>
  <si>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</si>
  <si>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</si>
  <si>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</si>
  <si>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</si>
  <si>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</si>
  <si>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</si>
  <si>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</si>
  <si>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</si>
  <si>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</si>
  <si>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</si>
  <si>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</si>
  <si>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</si>
  <si>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</si>
  <si>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</si>
  <si>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</si>
  <si>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</si>
  <si>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</si>
  <si>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</si>
  <si>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</si>
  <si>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</si>
  <si>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</si>
  <si>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</si>
  <si>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</si>
  <si>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</si>
  <si>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</si>
  <si>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</si>
  <si>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</si>
  <si>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</si>
  <si>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</si>
  <si>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</si>
  <si>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</si>
  <si>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</si>
  <si>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</si>
  <si>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</si>
  <si>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</si>
  <si>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</si>
  <si>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</si>
  <si>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</si>
  <si>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</si>
  <si>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</si>
  <si>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</si>
  <si>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</si>
  <si>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</si>
  <si>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</si>
  <si>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</si>
  <si>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</si>
  <si>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</si>
  <si>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</si>
  <si>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</si>
  <si>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</si>
  <si>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</si>
  <si>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</si>
  <si>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</si>
  <si>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</si>
  <si>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</si>
  <si>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</si>
  <si>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</si>
  <si>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</si>
  <si>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</si>
  <si>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</si>
  <si>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</si>
  <si>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</si>
  <si>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</si>
  <si>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</si>
  <si>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</si>
  <si>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</si>
  <si>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</si>
  <si>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</si>
  <si>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</si>
  <si>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</si>
  <si>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</si>
  <si>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</si>
  <si>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</si>
  <si>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</si>
  <si>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</si>
  <si>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</si>
  <si>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</si>
  <si>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</si>
  <si>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</si>
  <si>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</si>
  <si>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</si>
  <si>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</si>
  <si>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</si>
  <si>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</si>
  <si>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</si>
  <si>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</si>
  <si>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</si>
  <si>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</si>
  <si>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</si>
  <si>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</si>
  <si>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</si>
  <si>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</si>
  <si>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</si>
  <si>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</si>
  <si>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</si>
  <si>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</si>
  <si>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</si>
  <si>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</si>
  <si>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</si>
  <si>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</si>
  <si>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</si>
  <si>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</si>
  <si>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</si>
  <si>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</si>
  <si>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</si>
  <si>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</si>
  <si>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</si>
  <si>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</si>
  <si>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</si>
  <si>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</si>
  <si>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</si>
  <si>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</si>
  <si>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</si>
  <si>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</si>
  <si>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</si>
  <si>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</si>
  <si>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</si>
  <si>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</si>
  <si>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</si>
  <si>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</si>
  <si>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</si>
  <si>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</si>
  <si>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</si>
  <si>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</si>
  <si>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</si>
  <si>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</si>
  <si>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</si>
  <si>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</si>
  <si>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</si>
  <si>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</si>
  <si>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</si>
  <si>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</si>
  <si>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</si>
  <si>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</si>
  <si>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</si>
  <si>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</si>
  <si>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</si>
  <si>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</si>
  <si>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</si>
  <si>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</si>
  <si>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</si>
  <si>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</si>
  <si>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</si>
  <si>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</si>
  <si>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</si>
  <si>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</si>
  <si>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</si>
  <si>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</si>
  <si>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</si>
  <si>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</si>
  <si>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</si>
  <si>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</si>
  <si>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</si>
  <si>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</si>
  <si>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</si>
  <si>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</si>
  <si>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</si>
  <si>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</si>
  <si>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</si>
  <si>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</si>
  <si>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</si>
  <si>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</si>
  <si>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</si>
  <si>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</si>
  <si>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</si>
  <si>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</si>
  <si>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</si>
  <si>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</si>
  <si>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</si>
  <si>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</si>
  <si>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</si>
  <si>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</si>
  <si>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</si>
  <si>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</si>
  <si>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</si>
  <si>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</si>
  <si>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</si>
  <si>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</si>
  <si>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</si>
  <si>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</si>
  <si>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</si>
  <si>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</si>
  <si>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</si>
  <si>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</si>
  <si>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</si>
  <si>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</si>
  <si>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</si>
  <si>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</si>
  <si>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</si>
  <si>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</si>
  <si>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</si>
  <si>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</si>
  <si>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</si>
  <si>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</si>
  <si>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</si>
  <si>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</si>
  <si>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</si>
  <si>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</si>
  <si>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</si>
  <si>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</si>
  <si>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</si>
  <si>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</si>
  <si>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</si>
  <si>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</si>
  <si>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</si>
  <si>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</si>
  <si>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</si>
  <si>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</si>
  <si>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</si>
  <si>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</si>
  <si>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</si>
  <si>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</si>
  <si>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</si>
  <si>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</si>
  <si>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</si>
  <si>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</si>
  <si>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</si>
  <si>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</si>
  <si>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</si>
  <si>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</si>
  <si>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</si>
  <si>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</si>
  <si>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</si>
  <si>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</si>
  <si>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</si>
  <si>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</si>
  <si>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</si>
  <si>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</si>
  <si>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</si>
  <si>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</si>
  <si>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</si>
  <si>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</si>
  <si>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</si>
  <si>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</si>
  <si>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</si>
  <si>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</si>
  <si>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</si>
  <si>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</si>
  <si>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</si>
  <si>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</si>
  <si>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</si>
  <si>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</si>
  <si>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</si>
  <si>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</si>
  <si>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</si>
  <si>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</si>
  <si>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</si>
  <si>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</si>
  <si>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</si>
  <si>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</si>
  <si>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</si>
  <si>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</si>
  <si>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</si>
  <si>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</si>
  <si>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</si>
  <si>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</si>
  <si>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</si>
  <si>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</si>
  <si>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</si>
  <si>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</si>
  <si>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</si>
  <si>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</si>
  <si>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</si>
  <si>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</si>
  <si>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</si>
  <si>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</si>
  <si>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</si>
  <si>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</si>
  <si>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</si>
  <si>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</si>
  <si>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</si>
  <si>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</si>
  <si>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</si>
  <si>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</si>
  <si>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</si>
  <si>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</si>
  <si>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</si>
  <si>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</si>
  <si>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</si>
  <si>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</si>
  <si>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</si>
  <si>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</si>
  <si>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</si>
  <si>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</si>
  <si>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</si>
  <si>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</si>
  <si>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</si>
  <si>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</si>
  <si>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</si>
  <si>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</si>
  <si>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</si>
  <si>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</si>
  <si>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</si>
  <si>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</si>
  <si>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</si>
  <si>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</si>
  <si>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</si>
  <si>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</si>
  <si>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</si>
  <si>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</si>
  <si>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</si>
  <si>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</si>
  <si>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</si>
  <si>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</si>
  <si>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</si>
  <si>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</si>
  <si>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</si>
  <si>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</si>
  <si>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</si>
  <si>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</si>
  <si>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</si>
  <si>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</si>
  <si>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</si>
  <si>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</si>
  <si>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</si>
  <si>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</si>
  <si>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</si>
  <si>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</si>
  <si>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</si>
  <si>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</si>
  <si>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</si>
  <si>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</si>
  <si>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</si>
  <si>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</si>
  <si>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</si>
  <si>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</si>
  <si>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</si>
  <si>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</si>
  <si>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</si>
  <si>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</si>
  <si>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</si>
  <si>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</si>
  <si>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</si>
  <si>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</si>
  <si>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</si>
  <si>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</si>
  <si>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</si>
  <si>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</si>
  <si>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</si>
  <si>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</si>
  <si>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</si>
  <si>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</si>
  <si>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</si>
  <si>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</si>
  <si>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</si>
  <si>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</si>
  <si>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</si>
  <si>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</si>
  <si>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</si>
  <si>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</si>
  <si>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</si>
  <si>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</si>
  <si>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</si>
  <si>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</si>
  <si>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</si>
  <si>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</si>
  <si>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</si>
  <si>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</si>
  <si>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</si>
  <si>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</si>
  <si>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</si>
  <si>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</si>
  <si>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</si>
  <si>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</si>
  <si>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</si>
  <si>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</si>
  <si>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</si>
  <si>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</si>
  <si>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</si>
  <si>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</si>
  <si>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</si>
  <si>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</si>
  <si>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</si>
  <si>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</si>
  <si>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</si>
  <si>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</si>
  <si>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</si>
  <si>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</si>
  <si>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</si>
  <si>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</si>
  <si>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</si>
  <si>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</si>
  <si>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</si>
  <si>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</si>
  <si>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</si>
  <si>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</si>
  <si>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</si>
  <si>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</si>
  <si>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</si>
  <si>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</si>
  <si>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</si>
  <si>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</si>
  <si>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</si>
  <si>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</si>
  <si>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</si>
  <si>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</si>
  <si>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</si>
  <si>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</si>
  <si>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</si>
  <si>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</si>
  <si>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</si>
  <si>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</si>
  <si>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</si>
  <si>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</si>
  <si>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</si>
  <si>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</si>
  <si>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</si>
  <si>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</si>
  <si>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</si>
  <si>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</si>
  <si>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</si>
  <si>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</si>
  <si>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</si>
  <si>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</si>
  <si>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</si>
  <si>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</si>
  <si>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</si>
  <si>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</si>
  <si>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</si>
  <si>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</si>
  <si>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</si>
  <si>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</si>
  <si>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</si>
  <si>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</si>
  <si>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</si>
  <si>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</si>
  <si>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</si>
  <si>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</si>
  <si>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</si>
  <si>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</si>
  <si>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</si>
  <si>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</si>
  <si>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</si>
  <si>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</si>
  <si>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</si>
  <si>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</si>
  <si>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</si>
  <si>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</si>
  <si>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</si>
  <si>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</si>
  <si>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</si>
  <si>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</si>
  <si>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</si>
  <si>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</si>
  <si>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</si>
  <si>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</si>
  <si>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</si>
  <si>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</si>
  <si>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</si>
  <si>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</si>
  <si>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</si>
  <si>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</si>
  <si>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</si>
  <si>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</si>
  <si>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</si>
  <si>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</si>
  <si>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</si>
  <si>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</si>
  <si>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</si>
  <si>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</si>
  <si>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</si>
  <si>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</si>
  <si>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</si>
  <si>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</si>
  <si>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</si>
  <si>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</si>
  <si>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</si>
  <si>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</si>
  <si>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</si>
  <si>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</si>
  <si>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</si>
  <si>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</si>
  <si>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</si>
  <si>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</si>
  <si>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</si>
  <si>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</si>
  <si>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</si>
  <si>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</si>
  <si>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</si>
  <si>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</si>
  <si>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</si>
  <si>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</si>
  <si>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</si>
  <si>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</si>
  <si>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</si>
  <si>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</si>
  <si>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</si>
  <si>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</si>
  <si>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</si>
  <si>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</si>
  <si>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</si>
  <si>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</si>
  <si>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</si>
  <si>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</si>
  <si>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</si>
  <si>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</si>
  <si>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</si>
  <si>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</si>
  <si>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</si>
  <si>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</si>
  <si>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</si>
  <si>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</si>
  <si>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</si>
  <si>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</si>
  <si>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</si>
  <si>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</si>
  <si>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</si>
  <si>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</si>
  <si>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</si>
  <si>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</si>
  <si>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</si>
  <si>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</si>
  <si>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</si>
  <si>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</si>
  <si>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</si>
  <si>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</si>
  <si>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</si>
  <si>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</si>
  <si>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</si>
  <si>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</si>
  <si>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</si>
  <si>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</si>
  <si>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</si>
  <si>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</si>
  <si>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</si>
  <si>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</si>
  <si>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</si>
  <si>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</si>
  <si>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</si>
  <si>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</si>
  <si>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</si>
  <si>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</si>
  <si>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</si>
  <si>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</si>
  <si>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</si>
  <si>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</si>
  <si>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</si>
  <si>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</si>
  <si>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</si>
  <si>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</si>
  <si>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</si>
  <si>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</si>
  <si>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</si>
  <si>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</si>
  <si>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</si>
  <si>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</si>
  <si>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</si>
  <si>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</si>
  <si>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</si>
  <si>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</si>
  <si>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</si>
  <si>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</si>
  <si>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</si>
  <si>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</si>
  <si>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</si>
  <si>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</si>
  <si>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</si>
  <si>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</si>
  <si>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</si>
  <si>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</si>
  <si>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</si>
  <si>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</si>
  <si>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</si>
  <si>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</si>
  <si>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</si>
  <si>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</si>
  <si>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</si>
  <si>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</si>
  <si>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</si>
  <si>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</si>
  <si>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</si>
  <si>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</si>
  <si>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</si>
  <si>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</si>
  <si>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</si>
  <si>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</si>
  <si>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</si>
  <si>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</si>
  <si>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</si>
  <si>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</si>
  <si>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</si>
  <si>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</si>
  <si>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</si>
  <si>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</si>
  <si>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</si>
  <si>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</si>
  <si>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</si>
  <si>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</si>
  <si>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</si>
  <si>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</si>
  <si>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</si>
  <si>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</si>
  <si>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</si>
  <si>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</si>
  <si>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</si>
  <si>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</si>
  <si>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</si>
  <si>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</si>
  <si>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</si>
  <si>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</si>
  <si>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</si>
  <si>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</si>
  <si>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</si>
  <si>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</si>
  <si>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</si>
  <si>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</si>
  <si>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</si>
  <si>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</si>
  <si>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</si>
  <si>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</si>
  <si>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</si>
  <si>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</si>
  <si>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</si>
  <si>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</si>
  <si>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</si>
  <si>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</si>
  <si>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</si>
  <si>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</si>
  <si>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</si>
  <si>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</si>
  <si>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</si>
  <si>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</si>
  <si>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</si>
  <si>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</si>
  <si>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</si>
  <si>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</si>
  <si>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</si>
  <si>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</si>
  <si>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</si>
  <si>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</si>
  <si>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</si>
  <si>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</si>
  <si>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</si>
  <si>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</si>
  <si>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</si>
  <si>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</si>
  <si>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</si>
  <si>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</si>
  <si>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</si>
  <si>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</si>
  <si>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</si>
  <si>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</si>
  <si>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</si>
  <si>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</si>
  <si>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</si>
  <si>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</si>
  <si>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</si>
  <si>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</si>
  <si>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</si>
  <si>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</si>
  <si>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</si>
  <si>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</si>
  <si>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</si>
  <si>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</si>
  <si>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</si>
  <si>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</si>
  <si>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</si>
  <si>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</si>
  <si>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</si>
  <si>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</si>
  <si>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</si>
  <si>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</si>
  <si>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</si>
  <si>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</si>
  <si>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</si>
  <si>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</si>
  <si>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</si>
  <si>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</si>
  <si>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</si>
  <si>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</si>
  <si>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</si>
  <si>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</si>
  <si>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</si>
  <si>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</si>
  <si>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</si>
  <si>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</si>
  <si>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</si>
  <si>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</si>
  <si>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</si>
  <si>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</si>
  <si>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</si>
  <si>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</si>
  <si>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</si>
  <si>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</si>
  <si>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</si>
  <si>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</si>
  <si>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</si>
  <si>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</si>
  <si>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</si>
  <si>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</si>
  <si>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</si>
  <si>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</si>
  <si>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</si>
  <si>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</si>
  <si>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</si>
  <si>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</si>
  <si>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</si>
  <si>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</si>
  <si>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</si>
  <si>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</si>
  <si>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</si>
  <si>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</si>
  <si>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</si>
  <si>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</si>
  <si>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</si>
  <si>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</si>
  <si>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</si>
  <si>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</si>
  <si>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</si>
  <si>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</si>
  <si>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</si>
  <si>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</si>
  <si>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</si>
  <si>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</si>
  <si>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</si>
  <si>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</si>
  <si>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</si>
  <si>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</si>
  <si>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</si>
  <si>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</si>
  <si>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</si>
  <si>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</si>
  <si>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</si>
  <si>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</si>
  <si>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</si>
  <si>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</si>
  <si>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</si>
  <si>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</si>
  <si>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</si>
  <si>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</si>
  <si>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</si>
  <si>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</si>
  <si>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</si>
  <si>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</si>
  <si>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</si>
  <si>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</si>
  <si>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</si>
  <si>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</si>
  <si>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</si>
  <si>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</si>
  <si>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</si>
  <si>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</si>
  <si>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</si>
  <si>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</si>
  <si>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</si>
  <si>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</si>
  <si>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</si>
  <si>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</si>
  <si>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</si>
  <si>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</si>
  <si>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</si>
  <si>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</si>
  <si>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</si>
  <si>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</si>
  <si>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</si>
  <si>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</si>
  <si>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</si>
  <si>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</si>
  <si>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</si>
  <si>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</si>
  <si>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</si>
  <si>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</si>
  <si>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</si>
  <si>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</si>
  <si>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</si>
  <si>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</si>
  <si>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</si>
  <si>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</si>
  <si>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</si>
  <si>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</si>
  <si>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</si>
  <si>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</si>
  <si>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</si>
  <si>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</si>
  <si>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</si>
  <si>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</si>
  <si>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</si>
  <si>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</si>
  <si>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</si>
  <si>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</si>
  <si>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</si>
  <si>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</si>
  <si>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</si>
  <si>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</si>
  <si>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</si>
  <si>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</si>
  <si>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</si>
  <si>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</si>
  <si>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</si>
  <si>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</si>
  <si>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</si>
  <si>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</si>
  <si>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</si>
  <si>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</si>
  <si>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</si>
  <si>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</si>
  <si>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</si>
  <si>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</si>
  <si>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</si>
  <si>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</si>
  <si>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</si>
  <si>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</si>
  <si>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</si>
  <si>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</si>
  <si>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</si>
  <si>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</si>
  <si>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</si>
  <si>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</si>
  <si>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</si>
  <si>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</si>
  <si>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</si>
  <si>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</si>
  <si>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</si>
  <si>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</si>
  <si>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</si>
  <si>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</si>
  <si>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</si>
  <si>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</si>
  <si>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</si>
  <si>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</si>
  <si>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</si>
  <si>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</si>
  <si>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</si>
  <si>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</si>
  <si>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</si>
  <si>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</si>
  <si>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</si>
  <si>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</si>
  <si>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</si>
  <si>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</si>
  <si>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</si>
  <si>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</si>
  <si>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</si>
  <si>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</si>
  <si>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</si>
  <si>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</si>
  <si>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</si>
  <si>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</si>
  <si>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</si>
  <si>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</si>
  <si>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</si>
  <si>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</si>
  <si>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</si>
  <si>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</si>
  <si>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</si>
  <si>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</si>
  <si>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</si>
  <si>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</si>
  <si>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</si>
  <si>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</si>
  <si>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</si>
  <si>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</si>
  <si>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</si>
  <si>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</si>
  <si>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</si>
  <si>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</si>
  <si>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</si>
  <si>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</si>
  <si>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</si>
  <si>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</si>
  <si>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</si>
  <si>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</si>
  <si>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</si>
  <si>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</si>
  <si>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</si>
  <si>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</si>
  <si>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</si>
  <si>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</si>
  <si>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</si>
  <si>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</si>
  <si>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</si>
  <si>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</si>
  <si>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</si>
  <si>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</si>
  <si>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</si>
  <si>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</si>
  <si>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</si>
  <si>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</si>
  <si>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</si>
  <si>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</si>
  <si>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</si>
  <si>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</si>
  <si>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</si>
  <si>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</si>
  <si>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</si>
  <si>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</si>
  <si>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</si>
  <si>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</si>
  <si>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</si>
  <si>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</si>
  <si>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</si>
  <si>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</si>
  <si>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</si>
  <si>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</si>
  <si>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</si>
  <si>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</si>
  <si>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</si>
  <si>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</si>
  <si>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</si>
  <si>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</si>
  <si>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</si>
  <si>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</si>
  <si>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</si>
  <si>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</si>
  <si>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</si>
  <si>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</si>
  <si>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</si>
  <si>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</si>
  <si>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</si>
  <si>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</si>
  <si>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</si>
  <si>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</si>
  <si>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</si>
  <si>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</si>
  <si>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</si>
  <si>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</si>
  <si>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</si>
  <si>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</si>
  <si>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</si>
  <si>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</si>
  <si>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</si>
  <si>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</si>
  <si>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</si>
  <si>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</si>
  <si>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</si>
  <si>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</si>
  <si>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</si>
  <si>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</si>
  <si>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</si>
  <si>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</si>
  <si>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</si>
  <si>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</si>
  <si>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</si>
  <si>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</si>
  <si>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</si>
  <si>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</si>
  <si>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</si>
  <si>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</si>
  <si>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</si>
  <si>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</si>
  <si>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</si>
  <si>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</si>
  <si>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</si>
  <si>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</si>
  <si>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</si>
  <si>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</si>
  <si>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</si>
  <si>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</si>
  <si>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</si>
  <si>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</si>
  <si>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</si>
  <si>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</si>
  <si>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</si>
  <si>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</si>
  <si>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</si>
  <si>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</si>
  <si>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</si>
  <si>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</si>
  <si>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</si>
  <si>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</si>
  <si>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</si>
  <si>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</si>
  <si>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</si>
  <si>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</si>
  <si>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</si>
  <si>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</si>
  <si>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</si>
  <si>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</si>
  <si>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</si>
  <si>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</si>
  <si>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</si>
  <si>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</si>
  <si>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</si>
  <si>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</si>
  <si>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</si>
  <si>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</si>
  <si>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</si>
  <si>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</si>
  <si>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</si>
  <si>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</si>
  <si>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</si>
  <si>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</si>
  <si>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</si>
  <si>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</si>
  <si>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</si>
  <si>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</si>
  <si>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</si>
  <si>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</si>
  <si>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</si>
  <si>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</si>
  <si>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</si>
  <si>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</si>
  <si>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</si>
  <si>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</si>
  <si>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</si>
  <si>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</si>
  <si>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</si>
  <si>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</si>
  <si>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</si>
  <si>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</si>
  <si>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</si>
  <si>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</si>
  <si>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</si>
  <si>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</si>
  <si>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</si>
  <si>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</si>
  <si>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</si>
  <si>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</si>
  <si>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</si>
  <si>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</si>
  <si>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</si>
  <si>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</si>
  <si>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</si>
  <si>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</si>
  <si>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</si>
  <si>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</si>
  <si>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</si>
  <si>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</si>
  <si>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</si>
  <si>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</si>
  <si>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</si>
  <si>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</si>
  <si>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</si>
  <si>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</si>
  <si>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</si>
  <si>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</si>
  <si>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</si>
  <si>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</si>
  <si>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</si>
  <si>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</si>
  <si>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</si>
  <si>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</si>
  <si>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</si>
  <si>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</si>
  <si>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</si>
  <si>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</si>
  <si>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</si>
  <si>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</si>
  <si>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</si>
  <si>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</si>
  <si>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</si>
  <si>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</si>
  <si>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</si>
  <si>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</si>
  <si>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</si>
  <si>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</si>
  <si>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</si>
  <si>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</si>
  <si>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</si>
  <si>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</si>
  <si>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</si>
  <si>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</si>
  <si>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</si>
  <si>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</si>
  <si>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</si>
  <si>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</si>
  <si>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</si>
  <si>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</si>
  <si>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</si>
  <si>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</si>
  <si>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</si>
  <si>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</si>
  <si>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</si>
  <si>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</si>
  <si>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</si>
  <si>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</si>
  <si>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</si>
  <si>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</si>
  <si>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</si>
  <si>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</si>
  <si>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</si>
  <si>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</si>
  <si>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</si>
  <si>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</si>
  <si>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</si>
  <si>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</si>
  <si>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</si>
  <si>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</si>
  <si>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</si>
  <si>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</si>
  <si>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</si>
  <si>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</si>
  <si>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</si>
  <si>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</si>
  <si>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</si>
  <si>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</si>
  <si>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</si>
  <si>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</si>
  <si>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</si>
  <si>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</si>
  <si>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</si>
  <si>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</si>
  <si>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</si>
  <si>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</si>
  <si>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</si>
  <si>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</si>
  <si>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</si>
  <si>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</si>
  <si>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</si>
  <si>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</si>
  <si>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</si>
  <si>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</si>
  <si>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</si>
  <si>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</si>
  <si>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</si>
  <si>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</si>
  <si>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</si>
  <si>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</si>
  <si>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</si>
  <si>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</si>
  <si>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</si>
  <si>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</si>
  <si>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</si>
  <si>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</si>
  <si>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</si>
  <si>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</si>
  <si>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</si>
  <si>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</si>
  <si>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</si>
  <si>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</si>
  <si>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</si>
  <si>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</si>
  <si>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</si>
  <si>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</si>
  <si>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</si>
  <si>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</si>
  <si>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</si>
  <si>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</si>
  <si>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</si>
  <si>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</si>
  <si>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</si>
  <si>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</si>
  <si>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</si>
  <si>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</si>
  <si>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</si>
  <si>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</si>
  <si>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</si>
  <si>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</si>
  <si>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</si>
  <si>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</si>
  <si>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</si>
  <si>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</si>
  <si>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</si>
  <si>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</si>
  <si>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</si>
  <si>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</si>
  <si>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</si>
  <si>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</si>
  <si>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</si>
  <si>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</si>
  <si>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</si>
  <si>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</si>
  <si>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</si>
  <si>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</si>
  <si>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</si>
  <si>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</si>
  <si>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</si>
  <si>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</si>
  <si>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</si>
  <si>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</si>
  <si>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</si>
  <si>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</si>
  <si>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</si>
  <si>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</si>
  <si>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</si>
  <si>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</si>
  <si>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</si>
  <si>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</si>
  <si>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</si>
  <si>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</si>
  <si>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</si>
  <si>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</si>
  <si>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</si>
  <si>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</si>
  <si>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</si>
  <si>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</si>
  <si>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</si>
  <si>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</si>
  <si>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</si>
  <si>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</si>
  <si>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</si>
  <si>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</si>
  <si>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</si>
  <si>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</si>
  <si>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</si>
  <si>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</si>
  <si>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</si>
  <si>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</si>
  <si>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</si>
  <si>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</si>
  <si>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</si>
  <si>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</si>
  <si>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</si>
  <si>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</si>
  <si>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</si>
  <si>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</si>
  <si>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</si>
  <si>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</si>
  <si>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</si>
  <si>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</si>
  <si>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</si>
  <si>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</si>
  <si>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</si>
  <si>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</si>
  <si>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</si>
  <si>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</si>
  <si>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</si>
  <si>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</si>
  <si>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</si>
  <si>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</si>
  <si>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</si>
  <si>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</si>
  <si>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</si>
  <si>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</si>
  <si>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</si>
  <si>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</si>
  <si>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</si>
  <si>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</si>
  <si>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</si>
  <si>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</si>
  <si>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</si>
  <si>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</si>
  <si>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</si>
  <si>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</si>
  <si>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</si>
  <si>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</si>
  <si>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</si>
  <si>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</si>
  <si>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</si>
  <si>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</si>
  <si>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</si>
  <si>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</si>
  <si>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</si>
  <si>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</si>
  <si>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</si>
  <si>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</si>
  <si>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</si>
  <si>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</si>
  <si>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</si>
  <si>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</si>
  <si>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</si>
  <si>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</si>
  <si>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</si>
  <si>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</si>
  <si>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</si>
  <si>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</si>
  <si>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</si>
  <si>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</si>
  <si>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</si>
  <si>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</si>
  <si>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</si>
  <si>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</si>
  <si>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</si>
  <si>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</si>
  <si>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</si>
  <si>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</si>
  <si>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</si>
  <si>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</si>
  <si>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</si>
  <si>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</si>
  <si>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</si>
  <si>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</si>
  <si>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</si>
  <si>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</si>
  <si>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</si>
  <si>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</si>
  <si>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</si>
  <si>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</si>
  <si>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</si>
  <si>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</si>
  <si>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</si>
  <si>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</si>
  <si>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</si>
  <si>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</si>
  <si>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</si>
  <si>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</si>
  <si>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</si>
  <si>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</si>
  <si>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</si>
  <si>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</si>
  <si>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</si>
  <si>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</si>
  <si>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</si>
  <si>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</si>
  <si>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</si>
  <si>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</si>
  <si>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</si>
  <si>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</si>
  <si>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</si>
  <si>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</si>
  <si>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</si>
  <si>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</si>
  <si>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</si>
  <si>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</si>
  <si>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</si>
  <si>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</si>
  <si>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</si>
  <si>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</si>
  <si>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</si>
  <si>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</si>
  <si>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</si>
  <si>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</si>
  <si>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</si>
  <si>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</si>
  <si>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</si>
  <si>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</si>
  <si>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</si>
  <si>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</si>
  <si>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</si>
  <si>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</si>
  <si>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</si>
  <si>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</si>
  <si>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</si>
  <si>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</si>
  <si>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</si>
  <si>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</si>
  <si>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</si>
  <si>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</si>
  <si>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</si>
  <si>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</si>
  <si>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</si>
  <si>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</si>
  <si>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</si>
  <si>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</si>
  <si>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</si>
  <si>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</si>
  <si>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</si>
  <si>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</si>
  <si>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</si>
  <si>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</si>
  <si>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</si>
  <si>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</si>
  <si>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</si>
  <si>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</si>
  <si>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</si>
  <si>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</si>
  <si>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</si>
  <si>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</si>
  <si>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</si>
  <si>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</si>
  <si>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</si>
  <si>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</si>
  <si>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</si>
  <si>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</si>
  <si>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</si>
  <si>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</si>
  <si>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</si>
  <si>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</si>
  <si>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</si>
  <si>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</si>
  <si>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</si>
  <si>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</si>
  <si>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</si>
  <si>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</si>
  <si>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</si>
  <si>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</si>
  <si>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</si>
  <si>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</si>
  <si>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</si>
  <si>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</si>
  <si>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</si>
  <si>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</si>
  <si>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</si>
  <si>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</si>
  <si>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</si>
  <si>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</si>
  <si>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</si>
  <si>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</si>
  <si>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</si>
  <si>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</si>
  <si>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</si>
  <si>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</si>
  <si>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</si>
  <si>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</si>
  <si>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</si>
  <si>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</si>
  <si>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</si>
  <si>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</si>
  <si>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</si>
  <si>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</si>
  <si>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</si>
  <si>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</si>
  <si>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</si>
  <si>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</si>
  <si>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</si>
  <si>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</si>
  <si>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</si>
  <si>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</si>
  <si>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</si>
  <si>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</si>
  <si>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</si>
  <si>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</si>
  <si>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</si>
  <si>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</si>
  <si>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</si>
  <si>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</si>
  <si>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</si>
  <si>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</si>
  <si>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</si>
  <si>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</si>
  <si>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</si>
  <si>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</si>
  <si>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</si>
  <si>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</si>
  <si>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</si>
  <si>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</si>
  <si>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</si>
  <si>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</si>
  <si>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</si>
  <si>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</si>
  <si>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</si>
  <si>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</si>
  <si>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</si>
  <si>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</si>
  <si>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</si>
  <si>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</si>
  <si>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</si>
  <si>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</si>
  <si>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</si>
  <si>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</si>
  <si>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</si>
  <si>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</si>
  <si>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</si>
  <si>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</si>
  <si>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</si>
  <si>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</si>
  <si>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</si>
  <si>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</si>
  <si>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</si>
  <si>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</si>
  <si>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</si>
  <si>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</si>
  <si>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</si>
  <si>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</si>
  <si>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</si>
  <si>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</si>
  <si>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</si>
  <si>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</si>
  <si>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</si>
  <si>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</si>
  <si>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</si>
  <si>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</si>
  <si>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</si>
  <si>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</si>
  <si>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</si>
  <si>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</si>
  <si>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</si>
  <si>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</si>
  <si>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</si>
  <si>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</si>
  <si>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</si>
  <si>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</si>
  <si>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</si>
  <si>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</si>
  <si>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</si>
  <si>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</si>
  <si>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</si>
  <si>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</si>
  <si>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</si>
  <si>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</si>
  <si>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</si>
  <si>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</si>
  <si>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</si>
  <si>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</si>
  <si>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</si>
  <si>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</si>
  <si>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</si>
  <si>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</si>
  <si>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</si>
  <si>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</si>
  <si>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</si>
  <si>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</si>
  <si>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</si>
  <si>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</si>
  <si>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</si>
  <si>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</si>
  <si>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</si>
  <si>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</si>
  <si>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</si>
  <si>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</si>
  <si>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</si>
  <si>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</si>
  <si>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</si>
  <si>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</si>
  <si>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</si>
  <si>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</si>
  <si>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</si>
  <si>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</si>
  <si>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</si>
  <si>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</si>
  <si>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</si>
  <si>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</si>
  <si>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</si>
  <si>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</si>
  <si>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</si>
  <si>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</si>
  <si>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</si>
  <si>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</si>
  <si>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</si>
  <si>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</si>
  <si>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</si>
  <si>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</si>
  <si>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</si>
  <si>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</si>
  <si>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</si>
  <si>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</si>
  <si>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</si>
  <si>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</si>
  <si>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</si>
  <si>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</si>
  <si>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</si>
  <si>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</si>
  <si>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</si>
  <si>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</si>
  <si>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</si>
  <si>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</si>
  <si>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</si>
  <si>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</si>
  <si>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</si>
  <si>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</si>
  <si>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</si>
  <si>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</si>
  <si>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</si>
  <si>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</si>
  <si>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</si>
  <si>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</si>
  <si>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</si>
  <si>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</si>
  <si>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</si>
  <si>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</si>
  <si>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</si>
  <si>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</si>
  <si>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</si>
  <si>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</si>
  <si>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</si>
  <si>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</si>
  <si>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</si>
  <si>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</si>
  <si>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</si>
  <si>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</si>
  <si>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</si>
  <si>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</si>
  <si>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</si>
  <si>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</si>
  <si>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</si>
  <si>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</si>
  <si>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</si>
  <si>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</si>
  <si>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</si>
  <si>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</si>
  <si>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</si>
  <si>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</si>
  <si>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</si>
  <si>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</si>
  <si>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</si>
  <si>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</si>
  <si>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</si>
  <si>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</si>
  <si>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</si>
  <si>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</si>
  <si>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</si>
  <si>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</si>
  <si>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</si>
  <si>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</si>
  <si>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</si>
  <si>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</si>
  <si>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</si>
  <si>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</si>
  <si>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</si>
  <si>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</si>
  <si>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</si>
  <si>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</si>
  <si>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</si>
  <si>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</si>
  <si>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</si>
  <si>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</si>
  <si>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</si>
  <si>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</si>
  <si>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</si>
  <si>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</si>
  <si>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</si>
  <si>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</si>
  <si>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</si>
  <si>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</si>
  <si>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</si>
  <si>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</si>
  <si>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</si>
  <si>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</si>
  <si>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</si>
  <si>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</si>
  <si>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</si>
  <si>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</si>
  <si>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</si>
  <si>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</si>
  <si>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</si>
  <si>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</si>
  <si>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</si>
  <si>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</si>
  <si>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</si>
  <si>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</si>
  <si>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</si>
  <si>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</si>
  <si>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</si>
  <si>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</si>
  <si>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</si>
  <si>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</si>
  <si>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</si>
  <si>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</si>
  <si>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</si>
  <si>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</si>
  <si>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</si>
  <si>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</si>
  <si>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</si>
  <si>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</si>
  <si>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</si>
  <si>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</si>
  <si>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</si>
  <si>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</si>
  <si>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</si>
  <si>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</si>
  <si>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</si>
  <si>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</si>
  <si>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</si>
  <si>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</si>
  <si>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</si>
  <si>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</si>
  <si>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</si>
  <si>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</si>
  <si>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</si>
  <si>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</si>
  <si>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</si>
  <si>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</si>
  <si>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</si>
  <si>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</si>
  <si>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</si>
  <si>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</si>
  <si>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</si>
  <si>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</si>
  <si>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</si>
  <si>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</si>
  <si>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</si>
  <si>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</si>
  <si>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</si>
  <si>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</si>
  <si>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</si>
  <si>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</si>
  <si>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</si>
  <si>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</si>
  <si>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</si>
  <si>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</si>
  <si>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</si>
  <si>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</si>
  <si>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</si>
  <si>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</si>
  <si>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</si>
  <si>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</si>
  <si>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</si>
  <si>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</si>
  <si>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</si>
  <si>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</si>
  <si>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</si>
  <si>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</si>
  <si>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</si>
  <si>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</si>
  <si>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</si>
  <si>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</si>
  <si>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</si>
  <si>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</si>
  <si>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</si>
  <si>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</si>
  <si>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</si>
  <si>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</si>
  <si>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</si>
  <si>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</si>
  <si>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</si>
  <si>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</si>
  <si>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</si>
  <si>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</si>
  <si>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</si>
  <si>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</si>
  <si>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</si>
  <si>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</si>
  <si>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</si>
  <si>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</si>
  <si>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</si>
  <si>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</si>
  <si>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</si>
  <si>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</si>
  <si>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</si>
  <si>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</si>
  <si>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</si>
  <si>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</si>
  <si>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</si>
  <si>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</si>
  <si>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</si>
  <si>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</si>
  <si>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</si>
  <si>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</si>
  <si>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</si>
  <si>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</si>
  <si>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</si>
  <si>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</si>
  <si>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</si>
  <si>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</si>
  <si>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</si>
  <si>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</si>
  <si>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</si>
  <si>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</si>
  <si>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</si>
  <si>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</si>
  <si>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</si>
  <si>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</si>
  <si>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</si>
  <si>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</si>
  <si>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</si>
  <si>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</si>
  <si>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</si>
  <si>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</si>
  <si>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</si>
  <si>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</si>
  <si>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</si>
  <si>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</si>
  <si>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</si>
  <si>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</si>
  <si>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</si>
  <si>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</si>
  <si>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</si>
  <si>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</si>
  <si>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</si>
  <si>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</si>
  <si>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</si>
  <si>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</si>
  <si>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</si>
  <si>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</si>
  <si>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</si>
  <si>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</si>
  <si>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</si>
  <si>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</si>
  <si>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</si>
  <si>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</si>
  <si>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</si>
  <si>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</si>
  <si>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</si>
  <si>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</si>
  <si>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</si>
  <si>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</si>
  <si>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</si>
  <si>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</si>
  <si>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</si>
  <si>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</si>
  <si>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</si>
  <si>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</si>
  <si>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</si>
  <si>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</si>
  <si>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</si>
  <si>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</si>
  <si>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</si>
  <si>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</si>
  <si>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</si>
  <si>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</si>
  <si>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</si>
  <si>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</si>
  <si>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</si>
  <si>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</si>
  <si>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</si>
  <si>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</si>
  <si>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</si>
  <si>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</si>
  <si>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</si>
  <si>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</si>
  <si>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</si>
  <si>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</si>
  <si>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</si>
  <si>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</si>
  <si>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</si>
  <si>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</si>
  <si>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</si>
  <si>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</si>
  <si>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</si>
  <si>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</si>
  <si>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</si>
  <si>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</si>
  <si>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</si>
  <si>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</si>
  <si>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</si>
  <si>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</si>
  <si>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</si>
  <si>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</si>
  <si>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</si>
  <si>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</si>
  <si>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</si>
  <si>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</si>
  <si>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</si>
  <si>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</si>
  <si>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</si>
  <si>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</si>
  <si>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</si>
  <si>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</si>
  <si>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</si>
  <si>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</si>
  <si>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</si>
  <si>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</si>
  <si>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</si>
  <si>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</si>
  <si>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</si>
  <si>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</si>
  <si>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</si>
  <si>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</si>
  <si>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</si>
  <si>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</si>
  <si>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</si>
  <si>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</si>
  <si>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</si>
  <si>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</si>
  <si>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</si>
  <si>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</si>
  <si>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</si>
  <si>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</si>
  <si>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</si>
  <si>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</si>
  <si>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</si>
  <si>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</si>
  <si>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</si>
  <si>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</si>
  <si>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</si>
  <si>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</si>
  <si>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</si>
  <si>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</si>
  <si>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</si>
  <si>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</si>
  <si>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</si>
  <si>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</si>
  <si>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</si>
  <si>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</si>
  <si>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</si>
  <si>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</si>
  <si>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</si>
  <si>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</si>
  <si>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</si>
  <si>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</si>
  <si>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</si>
  <si>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</si>
  <si>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</si>
  <si>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</si>
  <si>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</si>
  <si>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</si>
  <si>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</si>
  <si>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</si>
  <si>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</si>
  <si>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</si>
  <si>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</si>
  <si>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</si>
  <si>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</si>
  <si>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</si>
  <si>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</si>
  <si>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</si>
  <si>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</si>
  <si>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</si>
  <si>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</si>
  <si>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</si>
  <si>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</si>
  <si>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</si>
  <si>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</si>
  <si>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</si>
  <si>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</si>
  <si>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</si>
  <si>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</si>
  <si>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</si>
  <si>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</si>
  <si>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</si>
  <si>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</si>
  <si>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</si>
  <si>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</si>
  <si>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</si>
  <si>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</si>
  <si>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</si>
  <si>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</si>
  <si>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</si>
  <si>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</si>
  <si>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</si>
  <si>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</si>
  <si>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</si>
  <si>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</si>
  <si>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</si>
  <si>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</si>
  <si>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</si>
  <si>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</si>
  <si>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</si>
  <si>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</si>
  <si>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</si>
  <si>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</si>
  <si>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</si>
  <si>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</si>
  <si>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</si>
  <si>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</si>
  <si>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</si>
  <si>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</si>
  <si>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</si>
  <si>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</si>
  <si>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</si>
  <si>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</si>
  <si>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</si>
  <si>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</si>
  <si>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</si>
  <si>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</si>
  <si>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</si>
  <si>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</si>
  <si>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</si>
  <si>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</si>
  <si>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</si>
  <si>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</si>
  <si>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</si>
  <si>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</si>
  <si>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</si>
  <si>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</si>
  <si>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</si>
  <si>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</si>
  <si>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</si>
  <si>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</si>
  <si>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</si>
  <si>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</si>
  <si>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</si>
  <si>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</si>
  <si>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</si>
  <si>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</si>
  <si>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</si>
  <si>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</si>
  <si>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</si>
  <si>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</si>
  <si>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</si>
  <si>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</si>
  <si>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</si>
  <si>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</si>
  <si>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</si>
  <si>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</si>
  <si>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</si>
  <si>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</si>
  <si>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</si>
  <si>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</si>
  <si>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</si>
  <si>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</si>
  <si>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</si>
  <si>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</si>
  <si>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</si>
  <si>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</si>
  <si>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</si>
  <si>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</si>
  <si>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</si>
  <si>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</si>
  <si>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</si>
  <si>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</si>
  <si>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</si>
  <si>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</si>
  <si>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</si>
  <si>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</si>
  <si>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</si>
  <si>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</si>
  <si>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</si>
  <si>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</si>
  <si>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</si>
  <si>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</si>
  <si>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</si>
  <si>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</si>
  <si>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</si>
  <si>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</si>
  <si>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</si>
  <si>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</si>
  <si>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</si>
  <si>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</si>
  <si>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</si>
  <si>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</si>
  <si>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</si>
  <si>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</si>
  <si>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</si>
  <si>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</si>
  <si>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</si>
  <si>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</si>
  <si>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</si>
  <si>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</si>
  <si>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</si>
  <si>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</si>
  <si>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</si>
  <si>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</si>
  <si>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</si>
  <si>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</si>
  <si>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</si>
  <si>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</si>
  <si>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</si>
  <si>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</si>
  <si>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</si>
  <si>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</si>
  <si>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</si>
  <si>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</si>
  <si>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</si>
  <si>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</si>
  <si>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</si>
  <si>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</si>
  <si>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</si>
  <si>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</si>
  <si>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</si>
  <si>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</si>
  <si>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</si>
  <si>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</si>
  <si>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</si>
  <si>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</si>
  <si>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</si>
  <si>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</si>
  <si>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</si>
  <si>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</si>
  <si>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</si>
  <si>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</si>
  <si>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</si>
  <si>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</si>
  <si>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</si>
  <si>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</si>
  <si>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</si>
  <si>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</si>
  <si>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</si>
  <si>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</si>
  <si>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</si>
  <si>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</si>
  <si>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</si>
  <si>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</si>
  <si>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</si>
  <si>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</si>
  <si>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</si>
  <si>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</si>
  <si>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</si>
  <si>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</si>
  <si>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</si>
  <si>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</si>
  <si>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</si>
  <si>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</si>
  <si>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</si>
  <si>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</si>
  <si>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</si>
  <si>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</si>
  <si>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</si>
  <si>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</si>
  <si>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</si>
  <si>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</si>
  <si>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</si>
  <si>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</si>
  <si>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</si>
  <si>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</si>
  <si>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</si>
  <si>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</si>
  <si>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</si>
  <si>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</si>
  <si>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</si>
  <si>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</si>
  <si>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</si>
  <si>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</si>
  <si>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</si>
  <si>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</si>
  <si>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</si>
  <si>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</si>
  <si>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</si>
  <si>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</si>
  <si>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</si>
  <si>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</si>
  <si>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</si>
  <si>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</si>
  <si>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</si>
  <si>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</si>
  <si>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</si>
  <si>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</si>
  <si>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</si>
  <si>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</si>
  <si>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</si>
  <si>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</si>
  <si>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</si>
  <si>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</si>
  <si>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</si>
  <si>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</si>
  <si>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</si>
  <si>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</si>
  <si>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</si>
  <si>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</si>
  <si>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</si>
  <si>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</si>
  <si>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</si>
  <si>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</si>
  <si>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</si>
  <si>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</si>
  <si>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</si>
  <si>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</si>
  <si>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</si>
  <si>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</si>
  <si>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</si>
  <si>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</si>
  <si>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</si>
  <si>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</si>
  <si>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</si>
  <si>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</si>
  <si>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</si>
  <si>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</si>
  <si>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</si>
  <si>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</si>
  <si>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</si>
  <si>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</si>
  <si>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</si>
  <si>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</si>
  <si>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</si>
  <si>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</si>
  <si>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</si>
  <si>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</si>
  <si>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</si>
  <si>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</si>
  <si>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</si>
  <si>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</si>
  <si>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</si>
  <si>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</si>
  <si>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</si>
  <si>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</si>
  <si>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</si>
  <si>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</si>
  <si>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</si>
  <si>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</si>
  <si>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</si>
  <si>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</si>
  <si>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</si>
  <si>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</si>
  <si>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</si>
  <si>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</si>
  <si>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</si>
  <si>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</si>
  <si>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</si>
  <si>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</si>
  <si>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</si>
  <si>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</si>
  <si>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</si>
  <si>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</si>
  <si>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</si>
  <si>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</si>
  <si>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</si>
  <si>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</si>
  <si>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</si>
  <si>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</si>
  <si>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</si>
  <si>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</si>
  <si>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</si>
  <si>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</si>
  <si>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</si>
  <si>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</si>
  <si>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</si>
  <si>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</si>
  <si>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</si>
  <si>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</si>
  <si>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</si>
  <si>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</si>
  <si>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</si>
  <si>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</si>
  <si>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</si>
  <si>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</si>
  <si>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</si>
  <si>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</si>
  <si>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</si>
  <si>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</si>
  <si>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</si>
  <si>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</si>
  <si>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</si>
  <si>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</si>
  <si>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</si>
  <si>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</si>
  <si>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</si>
  <si>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</si>
  <si>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</si>
  <si>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</si>
  <si>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</si>
  <si>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</si>
  <si>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</si>
  <si>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</si>
  <si>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</si>
  <si>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</si>
  <si>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</si>
  <si>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</si>
  <si>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</si>
  <si>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</si>
  <si>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</si>
  <si>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</si>
  <si>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</si>
  <si>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</si>
  <si>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</si>
  <si>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</si>
  <si>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</si>
  <si>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</si>
  <si>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</si>
  <si>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</si>
  <si>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</si>
  <si>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</si>
  <si>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</si>
  <si>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</si>
  <si>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</si>
  <si>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</si>
  <si>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</si>
  <si>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</si>
  <si>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</si>
  <si>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</si>
  <si>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</si>
  <si>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</si>
  <si>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</si>
  <si>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</si>
  <si>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</si>
  <si>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</si>
  <si>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</si>
  <si>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</si>
  <si>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</si>
  <si>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</si>
  <si>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</si>
  <si>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</si>
  <si>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</si>
  <si>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</si>
  <si>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</si>
  <si>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</si>
  <si>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</si>
  <si>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</si>
  <si>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</si>
  <si>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</si>
  <si>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</si>
  <si>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</si>
  <si>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</si>
  <si>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</si>
  <si>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</si>
  <si>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</si>
  <si>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</si>
  <si>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</si>
  <si>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</si>
  <si>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</si>
  <si>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</si>
  <si>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</si>
  <si>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</si>
  <si>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</si>
  <si>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</si>
  <si>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</si>
  <si>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</si>
  <si>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</si>
  <si>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</si>
  <si>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</si>
  <si>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</si>
  <si>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</si>
  <si>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</si>
  <si>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</si>
  <si>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</si>
  <si>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</si>
  <si>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</si>
  <si>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</si>
  <si>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</si>
  <si>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</si>
  <si>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</si>
  <si>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</si>
  <si>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</si>
  <si>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</si>
  <si>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</si>
  <si>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</si>
  <si>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</si>
  <si>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</si>
  <si>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</si>
  <si>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</si>
  <si>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</si>
  <si>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</si>
  <si>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</si>
  <si>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</si>
  <si>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</si>
  <si>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</si>
  <si>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</si>
  <si>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</si>
  <si>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</si>
  <si>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</si>
  <si>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</si>
  <si>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</si>
  <si>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</si>
  <si>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</si>
  <si>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</si>
  <si>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</si>
  <si>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</si>
  <si>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</si>
  <si>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</si>
  <si>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</si>
  <si>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</si>
  <si>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</si>
  <si>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</si>
  <si>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</si>
  <si>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</si>
  <si>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</si>
  <si>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</si>
  <si>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</si>
  <si>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</si>
  <si>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</si>
  <si>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</si>
  <si>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</si>
  <si>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</si>
  <si>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</si>
  <si>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</si>
  <si>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</si>
  <si>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</si>
  <si>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</si>
  <si>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</si>
  <si>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</si>
  <si>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</si>
  <si>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</si>
  <si>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</si>
  <si>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</si>
  <si>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</si>
  <si>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</si>
  <si>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</si>
  <si>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</si>
  <si>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</si>
  <si>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</si>
  <si>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</si>
  <si>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</si>
  <si>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</si>
  <si>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</si>
  <si>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</si>
  <si>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</si>
  <si>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</si>
  <si>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</si>
  <si>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</si>
  <si>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</si>
  <si>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</si>
  <si>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</si>
  <si>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</si>
  <si>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</si>
  <si>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</si>
  <si>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</si>
  <si>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</si>
  <si>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</si>
  <si>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</si>
  <si>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</si>
  <si>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</si>
  <si>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</si>
  <si>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</si>
  <si>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</si>
  <si>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</si>
  <si>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</si>
  <si>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</si>
  <si>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</si>
  <si>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</si>
  <si>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</si>
  <si>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</si>
  <si>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</si>
  <si>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</si>
  <si>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</si>
  <si>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</si>
  <si>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</si>
  <si>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</si>
  <si>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</si>
  <si>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</si>
  <si>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</si>
  <si>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</si>
  <si>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</si>
  <si>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</si>
  <si>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</si>
  <si>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</si>
  <si>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</si>
  <si>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</si>
  <si>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</si>
  <si>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</si>
  <si>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</si>
  <si>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</si>
  <si>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</si>
  <si>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</si>
  <si>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</si>
  <si>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</si>
  <si>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</si>
  <si>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</si>
  <si>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</si>
  <si>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</si>
  <si>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</si>
  <si>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</si>
  <si>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</si>
  <si>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</si>
  <si>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</si>
  <si>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</si>
  <si>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</si>
  <si>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</si>
  <si>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</si>
  <si>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</si>
  <si>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</si>
  <si>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</si>
  <si>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</si>
  <si>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</si>
  <si>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</si>
  <si>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</si>
  <si>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</si>
  <si>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</si>
  <si>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</si>
  <si>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</si>
  <si>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</si>
  <si>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</si>
  <si>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</si>
  <si>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</si>
  <si>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</si>
  <si>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</si>
  <si>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</si>
  <si>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</si>
  <si>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</si>
  <si>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</si>
  <si>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</si>
  <si>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</si>
  <si>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</si>
  <si>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</si>
  <si>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</si>
  <si>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</si>
  <si>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</si>
  <si>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</si>
  <si>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</si>
  <si>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</si>
  <si>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</si>
  <si>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</si>
  <si>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</si>
  <si>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</si>
  <si>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</si>
  <si>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</si>
  <si>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</si>
  <si>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</si>
  <si>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</si>
  <si>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</si>
  <si>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</si>
  <si>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</si>
  <si>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</si>
  <si>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</si>
  <si>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</si>
  <si>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</si>
  <si>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</si>
  <si>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</si>
  <si>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</si>
  <si>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</si>
  <si>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</si>
  <si>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</si>
  <si>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</si>
  <si>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</si>
  <si>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</si>
  <si>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</si>
  <si>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</si>
  <si>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</si>
  <si>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</si>
  <si>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</si>
  <si>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</si>
  <si>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</si>
  <si>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</si>
  <si>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</si>
  <si>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</si>
  <si>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</si>
  <si>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</si>
  <si>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</si>
  <si>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</si>
  <si>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</si>
  <si>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</si>
  <si>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</si>
  <si>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</si>
  <si>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</si>
  <si>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</si>
  <si>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</si>
  <si>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</si>
  <si>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</si>
  <si>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</si>
  <si>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</si>
  <si>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</si>
  <si>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</si>
  <si>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</si>
  <si>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</si>
  <si>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</si>
  <si>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</si>
  <si>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</si>
  <si>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</si>
  <si>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</si>
  <si>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</si>
  <si>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</si>
  <si>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</si>
  <si>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</si>
  <si>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</si>
  <si>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</si>
  <si>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</si>
  <si>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</si>
  <si>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</si>
  <si>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</si>
  <si>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</si>
  <si>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</si>
  <si>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</si>
  <si>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</si>
  <si>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</si>
  <si>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</si>
  <si>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</si>
  <si>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</si>
  <si>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</si>
  <si>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</si>
  <si>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</si>
  <si>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</si>
  <si>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</si>
  <si>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</si>
  <si>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</si>
  <si>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</si>
  <si>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</si>
  <si>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</si>
  <si>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</si>
  <si>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</si>
  <si>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</si>
  <si>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</si>
  <si>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</si>
  <si>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</si>
  <si>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</si>
  <si>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</si>
  <si>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</si>
  <si>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</si>
  <si>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</si>
  <si>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</si>
  <si>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</si>
  <si>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</si>
  <si>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</si>
  <si>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</si>
  <si>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</si>
  <si>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</si>
  <si>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</si>
  <si>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</si>
  <si>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</si>
  <si>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</si>
  <si>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</si>
  <si>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</si>
  <si>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</si>
  <si>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</si>
  <si>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</si>
  <si>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</si>
  <si>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</si>
  <si>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</si>
  <si>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</si>
  <si>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</si>
  <si>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</si>
  <si>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</si>
  <si>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</si>
  <si>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</si>
  <si>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</si>
  <si>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</si>
  <si>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</si>
  <si>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</si>
  <si>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</si>
  <si>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</si>
  <si>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</si>
  <si>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</si>
  <si>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</si>
  <si>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</si>
  <si>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</si>
  <si>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</si>
  <si>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</si>
  <si>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</si>
  <si>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</si>
  <si>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</si>
  <si>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</si>
  <si>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</si>
  <si>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</si>
  <si>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</si>
  <si>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</si>
  <si>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</si>
  <si>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</si>
  <si>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</si>
  <si>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</si>
  <si>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</si>
  <si>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</si>
  <si>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</si>
  <si>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</si>
  <si>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</si>
  <si>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</si>
  <si>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</si>
  <si>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</si>
  <si>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</si>
  <si>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</si>
  <si>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</si>
  <si>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</si>
  <si>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</si>
  <si>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</si>
  <si>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</si>
  <si>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</si>
  <si>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</si>
  <si>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</si>
  <si>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</si>
  <si>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</si>
  <si>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</si>
  <si>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</si>
  <si>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</si>
  <si>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</si>
  <si>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</si>
  <si>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</si>
  <si>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</si>
  <si>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</si>
  <si>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</si>
  <si>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</si>
  <si>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</si>
  <si>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</si>
  <si>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</si>
  <si>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</si>
  <si>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</si>
  <si>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</si>
  <si>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</si>
  <si>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</si>
  <si>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</si>
  <si>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</si>
  <si>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</si>
  <si>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</si>
  <si>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</si>
  <si>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</si>
  <si>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</si>
  <si>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</si>
  <si>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</si>
  <si>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</si>
  <si>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</si>
  <si>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</si>
  <si>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</si>
  <si>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</si>
  <si>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</si>
  <si>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</si>
  <si>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</si>
  <si>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</si>
  <si>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</si>
  <si>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</si>
  <si>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</si>
  <si>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</si>
  <si>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</si>
  <si>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</si>
  <si>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</si>
  <si>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</si>
  <si>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</si>
  <si>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</si>
  <si>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</si>
  <si>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</si>
  <si>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</si>
  <si>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</si>
  <si>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</si>
  <si>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</si>
  <si>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</si>
  <si>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</si>
  <si>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</si>
  <si>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</si>
  <si>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</si>
  <si>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</si>
  <si>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</si>
  <si>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</si>
  <si>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</si>
  <si>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</si>
  <si>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</si>
  <si>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</si>
  <si>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</si>
  <si>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</si>
  <si>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</si>
  <si>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</si>
  <si>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</si>
  <si>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</si>
  <si>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</si>
  <si>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</si>
  <si>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</si>
  <si>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</si>
  <si>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</si>
  <si>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</si>
  <si>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</si>
  <si>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</si>
  <si>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</si>
  <si>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</si>
  <si>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</si>
  <si>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</si>
  <si>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</si>
  <si>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</si>
  <si>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</si>
  <si>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</si>
  <si>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</si>
  <si>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</si>
  <si>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</si>
  <si>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</si>
  <si>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</si>
  <si>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</si>
  <si>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</si>
  <si>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</si>
  <si>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</si>
  <si>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</si>
  <si>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</si>
  <si>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</si>
  <si>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</si>
  <si>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</si>
  <si>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</si>
  <si>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</si>
  <si>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</si>
  <si>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</si>
  <si>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</si>
  <si>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</si>
  <si>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</si>
  <si>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</si>
  <si>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</si>
  <si>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</si>
  <si>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</si>
  <si>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</si>
  <si>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</si>
  <si>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</si>
  <si>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</si>
  <si>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</si>
  <si>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</si>
  <si>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</si>
  <si>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</si>
  <si>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</si>
  <si>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</si>
  <si>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</si>
  <si>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</si>
  <si>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</si>
  <si>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</si>
  <si>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</si>
  <si>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</si>
  <si>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</si>
  <si>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</si>
  <si>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</si>
  <si>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</si>
  <si>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</si>
  <si>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</si>
  <si>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</si>
  <si>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</si>
  <si>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</si>
  <si>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</si>
  <si>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</si>
  <si>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</si>
  <si>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</si>
  <si>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</si>
  <si>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</si>
  <si>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</si>
  <si>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</si>
  <si>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</si>
  <si>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</si>
  <si>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</si>
  <si>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</si>
  <si>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</si>
  <si>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</si>
  <si>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</si>
  <si>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</si>
  <si>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</si>
  <si>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</si>
  <si>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</si>
  <si>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</si>
  <si>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</si>
  <si>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</si>
  <si>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</si>
  <si>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</si>
  <si>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</si>
  <si>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</si>
  <si>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</si>
  <si>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</si>
  <si>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</si>
  <si>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</si>
  <si>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</si>
  <si>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</si>
  <si>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</si>
  <si>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</si>
  <si>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</si>
  <si>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</si>
  <si>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</si>
  <si>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</si>
  <si>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</si>
  <si>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</si>
  <si>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</si>
  <si>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</si>
  <si>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</si>
  <si>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</si>
  <si>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</si>
  <si>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</si>
  <si>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</si>
  <si>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</si>
  <si>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</si>
  <si>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</si>
  <si>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</si>
  <si>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</si>
  <si>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</si>
  <si>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</si>
  <si>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</si>
  <si>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</si>
  <si>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</si>
  <si>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</si>
  <si>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</si>
  <si>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</si>
  <si>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</si>
  <si>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</si>
  <si>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</si>
  <si>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</si>
  <si>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</si>
  <si>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</si>
  <si>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</si>
  <si>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</si>
  <si>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</si>
  <si>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</si>
  <si>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</si>
  <si>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</si>
  <si>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</si>
  <si>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</si>
  <si>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</si>
  <si>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</si>
  <si>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</si>
  <si>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</si>
  <si>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</si>
  <si>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</si>
  <si>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</si>
  <si>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</si>
  <si>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</si>
  <si>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</si>
  <si>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</si>
  <si>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</si>
  <si>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</si>
  <si>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</si>
  <si>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</si>
  <si>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</si>
  <si>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</si>
  <si>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</si>
  <si>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</si>
  <si>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</si>
  <si>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</si>
  <si>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</si>
  <si>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</si>
  <si>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</si>
  <si>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</si>
  <si>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</si>
  <si>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</si>
  <si>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</si>
  <si>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</si>
  <si>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</si>
  <si>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</si>
  <si>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</si>
  <si>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</si>
  <si>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</si>
  <si>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</si>
  <si>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</si>
  <si>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</si>
  <si>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</si>
  <si>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</si>
  <si>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</si>
  <si>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</si>
  <si>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</si>
  <si>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</si>
  <si>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</si>
  <si>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</si>
  <si>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</si>
  <si>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</si>
  <si>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</si>
  <si>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</si>
  <si>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</si>
  <si>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</si>
  <si>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</si>
  <si>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</si>
  <si>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</si>
  <si>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</si>
  <si>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</si>
  <si>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</si>
  <si>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</si>
  <si>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</si>
  <si>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</si>
  <si>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</si>
  <si>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</si>
  <si>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</si>
  <si>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</si>
  <si>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</si>
  <si>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</si>
  <si>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</si>
  <si>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</si>
  <si>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</si>
  <si>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</si>
  <si>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</si>
  <si>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</si>
  <si>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</si>
  <si>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</si>
  <si>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</si>
  <si>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</si>
  <si>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</si>
  <si>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</si>
  <si>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</si>
  <si>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</si>
  <si>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</si>
  <si>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</si>
  <si>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</si>
  <si>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</si>
  <si>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</si>
  <si>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</si>
  <si>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</si>
  <si>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</si>
  <si>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</si>
  <si>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</si>
  <si>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</si>
  <si>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</si>
  <si>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</si>
  <si>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</si>
  <si>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</si>
  <si>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</si>
  <si>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</si>
  <si>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</si>
  <si>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</si>
  <si>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</si>
  <si>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</si>
  <si>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</si>
  <si>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</si>
  <si>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</si>
  <si>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</si>
  <si>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</si>
  <si>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</si>
  <si>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</si>
  <si>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</si>
  <si>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</si>
  <si>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</si>
  <si>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</si>
  <si>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</si>
  <si>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</si>
  <si>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</si>
  <si>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</si>
  <si>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</si>
  <si>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</si>
  <si>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</si>
  <si>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</si>
  <si>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</si>
  <si>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</si>
  <si>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</si>
  <si>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</si>
  <si>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</si>
  <si>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</si>
  <si>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</si>
  <si>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</si>
  <si>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</si>
  <si>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</si>
  <si>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</si>
  <si>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</si>
  <si>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</si>
  <si>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</si>
  <si>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</si>
  <si>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</si>
  <si>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</si>
  <si>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</si>
  <si>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</si>
  <si>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</si>
  <si>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</si>
  <si>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</si>
  <si>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</si>
  <si>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</si>
  <si>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</si>
  <si>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</si>
  <si>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</si>
  <si>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</si>
  <si>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</si>
  <si>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</si>
  <si>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</si>
  <si>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</si>
  <si>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</si>
  <si>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</si>
  <si>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</si>
  <si>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</si>
  <si>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</si>
  <si>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</si>
  <si>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</si>
  <si>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</si>
  <si>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</si>
  <si>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</si>
  <si>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</si>
  <si>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</si>
  <si>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</si>
  <si>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</si>
  <si>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</si>
  <si>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</si>
  <si>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</si>
  <si>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</si>
  <si>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</si>
  <si>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</si>
  <si>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</si>
  <si>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</si>
  <si>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</si>
  <si>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</si>
  <si>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</si>
  <si>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</si>
  <si>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</si>
  <si>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</si>
  <si>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</si>
  <si>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</si>
  <si>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</si>
  <si>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</si>
  <si>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</si>
  <si>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</si>
  <si>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</si>
  <si>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</si>
  <si>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</si>
  <si>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</si>
  <si>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</si>
  <si>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</si>
  <si>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</si>
  <si>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</si>
  <si>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</si>
  <si>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</si>
  <si>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</si>
  <si>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</si>
  <si>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</si>
  <si>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</si>
  <si>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</si>
  <si>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</si>
  <si>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</si>
  <si>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</si>
  <si>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</si>
  <si>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</si>
  <si>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</si>
  <si>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</si>
  <si>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</si>
  <si>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</si>
  <si>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</si>
  <si>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</si>
  <si>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</si>
  <si>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</si>
  <si>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</si>
  <si>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</si>
  <si>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</si>
  <si>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</si>
  <si>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</si>
  <si>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</si>
  <si>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</si>
  <si>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</si>
  <si>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</si>
  <si>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</si>
  <si>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</si>
  <si>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</si>
  <si>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</si>
  <si>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</si>
  <si>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</si>
  <si>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</si>
  <si>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</si>
  <si>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</si>
  <si>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</si>
  <si>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</si>
  <si>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</si>
  <si>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</si>
  <si>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</si>
  <si>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</si>
  <si>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</si>
  <si>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</si>
  <si>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</si>
  <si>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</si>
  <si>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</si>
  <si>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</si>
  <si>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</si>
  <si>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</si>
  <si>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</si>
  <si>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</si>
  <si>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</si>
  <si>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</si>
  <si>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</si>
  <si>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</si>
  <si>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</si>
  <si>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</si>
  <si>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</si>
  <si>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</si>
  <si>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</si>
  <si>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</si>
  <si>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</si>
  <si>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</si>
  <si>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</si>
  <si>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</si>
  <si>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</si>
  <si>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</si>
  <si>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</si>
  <si>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</si>
  <si>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</si>
  <si>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</si>
  <si>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</si>
  <si>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</si>
  <si>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</si>
  <si>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</si>
  <si>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</si>
  <si>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</si>
  <si>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</si>
  <si>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</si>
  <si>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</si>
  <si>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</si>
  <si>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</si>
  <si>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</si>
  <si>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</si>
  <si>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</si>
  <si>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</si>
  <si>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</si>
  <si>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</si>
  <si>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</si>
  <si>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</si>
  <si>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</si>
  <si>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</si>
  <si>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</si>
  <si>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</si>
  <si>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</si>
  <si>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</si>
  <si>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</si>
  <si>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</si>
  <si>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</si>
  <si>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</si>
  <si>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</si>
  <si>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</si>
  <si>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</si>
  <si>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</si>
  <si>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</si>
  <si>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</si>
  <si>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</si>
  <si>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</si>
  <si>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</si>
  <si>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</si>
  <si>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</si>
  <si>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</si>
  <si>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</si>
  <si>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</si>
  <si>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</si>
  <si>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</si>
  <si>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</si>
  <si>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</si>
  <si>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</si>
  <si>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</si>
  <si>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</si>
  <si>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</si>
  <si>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</si>
  <si>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</si>
  <si>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</si>
  <si>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</si>
  <si>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</si>
  <si>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</si>
  <si>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</si>
  <si>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</si>
  <si>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</si>
  <si>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</si>
  <si>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</si>
  <si>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</si>
  <si>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</si>
  <si>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</si>
  <si>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</si>
  <si>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</si>
  <si>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</si>
  <si>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</si>
  <si>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</si>
  <si>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</si>
  <si>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</si>
  <si>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</si>
  <si>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</si>
  <si>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</si>
  <si>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</si>
  <si>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</si>
  <si>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</si>
  <si>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</si>
  <si>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</si>
  <si>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</si>
  <si>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</si>
  <si>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</si>
  <si>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</si>
  <si>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</si>
  <si>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</si>
  <si>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</si>
  <si>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</si>
  <si>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</si>
  <si>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</si>
  <si>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</si>
  <si>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</si>
  <si>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</si>
  <si>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</si>
  <si>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</si>
  <si>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</si>
  <si>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</si>
  <si>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</si>
  <si>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</si>
  <si>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</si>
  <si>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</si>
  <si>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</si>
  <si>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</si>
  <si>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</si>
  <si>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</si>
  <si>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</si>
  <si>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</si>
  <si>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</si>
  <si>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</si>
  <si>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</si>
  <si>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</si>
  <si>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</si>
  <si>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</si>
  <si>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</si>
  <si>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</si>
  <si>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</si>
  <si>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</si>
  <si>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</si>
  <si>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</si>
  <si>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</si>
  <si>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</si>
  <si>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</si>
  <si>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</si>
  <si>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</si>
  <si>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</si>
  <si>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</si>
  <si>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</si>
  <si>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</si>
  <si>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</si>
  <si>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</si>
  <si>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</si>
  <si>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</si>
  <si>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</si>
  <si>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</si>
  <si>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</si>
  <si>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</si>
  <si>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</si>
  <si>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</si>
  <si>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</si>
  <si>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</si>
  <si>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</si>
  <si>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</si>
  <si>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</si>
  <si>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</si>
  <si>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</si>
  <si>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</si>
  <si>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</si>
  <si>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</si>
  <si>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</si>
  <si>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</si>
  <si>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</si>
  <si>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</si>
  <si>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</si>
  <si>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</si>
  <si>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</si>
  <si>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</si>
  <si>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</si>
  <si>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</si>
  <si>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</si>
  <si>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</si>
  <si>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</si>
  <si>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</si>
  <si>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</si>
  <si>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</si>
  <si>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</si>
  <si>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</si>
  <si>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</si>
  <si>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</si>
  <si>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</si>
  <si>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</si>
  <si>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</si>
  <si>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</si>
  <si>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</si>
  <si>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</si>
  <si>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</si>
  <si>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</si>
  <si>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</si>
  <si>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</si>
  <si>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</si>
  <si>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</si>
  <si>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</si>
  <si>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</si>
  <si>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</si>
  <si>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</si>
  <si>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</si>
  <si>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</si>
  <si>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</si>
  <si>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</si>
  <si>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</si>
  <si>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</si>
  <si>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</si>
  <si>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</si>
  <si>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</si>
  <si>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</si>
  <si>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</si>
  <si>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</si>
  <si>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</si>
  <si>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</si>
  <si>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</si>
  <si>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</si>
  <si>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</si>
  <si>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</si>
  <si>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</si>
  <si>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</si>
  <si>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</si>
  <si>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</si>
  <si>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</si>
  <si>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</si>
  <si>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</si>
  <si>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</si>
  <si>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</si>
  <si>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</si>
  <si>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</si>
  <si>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</si>
  <si>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</si>
  <si>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</si>
  <si>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</si>
  <si>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</si>
  <si>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</si>
  <si>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</si>
  <si>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</si>
  <si>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</si>
  <si>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</si>
  <si>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</si>
  <si>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</si>
  <si>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</si>
  <si>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</si>
  <si>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</si>
  <si>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</si>
  <si>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</si>
  <si>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</si>
  <si>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</si>
  <si>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</si>
  <si>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</si>
  <si>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</si>
  <si>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</si>
  <si>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</si>
  <si>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</si>
  <si>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</si>
  <si>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</si>
  <si>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</si>
  <si>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</si>
  <si>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</si>
  <si>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</si>
  <si>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</si>
  <si>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</si>
  <si>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</si>
  <si>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</si>
  <si>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</si>
  <si>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</si>
  <si>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</si>
  <si>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</si>
  <si>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</si>
  <si>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</si>
  <si>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</si>
  <si>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</si>
  <si>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</si>
  <si>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</si>
  <si>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</si>
  <si>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</si>
  <si>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</si>
  <si>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</si>
  <si>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</si>
  <si>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</si>
  <si>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</si>
  <si>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</si>
  <si>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</si>
  <si>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</si>
  <si>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</si>
  <si>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</si>
  <si>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</si>
  <si>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</si>
  <si>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</si>
  <si>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</si>
  <si>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</si>
  <si>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</si>
  <si>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</si>
  <si>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</si>
  <si>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</si>
  <si>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</si>
  <si>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</si>
  <si>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</si>
  <si>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</si>
  <si>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</si>
  <si>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</si>
  <si>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</si>
  <si>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</si>
  <si>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</si>
  <si>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</si>
  <si>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</si>
  <si>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</si>
  <si>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</si>
  <si>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</si>
  <si>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</si>
  <si>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</si>
  <si>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</si>
  <si>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</si>
  <si>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</si>
  <si>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</si>
  <si>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</si>
  <si>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</si>
  <si>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</si>
  <si>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</si>
  <si>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</si>
  <si>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</si>
  <si>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</si>
  <si>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</si>
  <si>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</si>
  <si>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</si>
  <si>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</si>
  <si>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</si>
  <si>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</si>
  <si>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</si>
  <si>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</si>
  <si>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</si>
  <si>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</si>
  <si>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</si>
  <si>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</si>
  <si>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</si>
  <si>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</si>
  <si>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</si>
  <si>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</si>
  <si>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</si>
  <si>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</si>
  <si>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</si>
  <si>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</si>
  <si>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</si>
  <si>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</si>
  <si>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</si>
  <si>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</si>
  <si>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</si>
  <si>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</si>
  <si>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</si>
  <si>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</si>
  <si>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</si>
  <si>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</si>
  <si>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</si>
  <si>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</si>
  <si>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</si>
  <si>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</si>
  <si>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</si>
  <si>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</si>
  <si>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</si>
  <si>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</si>
  <si>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</si>
  <si>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</si>
  <si>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</si>
  <si>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</si>
  <si>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</si>
  <si>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</si>
  <si>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</si>
  <si>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</si>
  <si>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</si>
  <si>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</si>
  <si>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</si>
  <si>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</si>
  <si>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</si>
  <si>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</si>
  <si>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</si>
  <si>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</si>
  <si>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</si>
  <si>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</si>
  <si>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</si>
  <si>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</si>
  <si>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</si>
  <si>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</si>
  <si>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</si>
  <si>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</si>
  <si>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</si>
  <si>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</si>
  <si>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</si>
  <si>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</si>
  <si>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</si>
  <si>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</si>
  <si>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</si>
  <si>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</si>
  <si>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</si>
  <si>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</si>
  <si>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</si>
  <si>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</si>
  <si>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</si>
  <si>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</si>
  <si>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</si>
  <si>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</si>
  <si>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</si>
  <si>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</si>
  <si>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</si>
  <si>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</si>
  <si>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</si>
  <si>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</si>
  <si>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</si>
  <si>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</si>
  <si>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</si>
  <si>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</si>
  <si>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</si>
  <si>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</si>
  <si>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</si>
  <si>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</si>
  <si>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</si>
  <si>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</si>
  <si>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</si>
  <si>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</si>
  <si>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</si>
  <si>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</si>
  <si>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</si>
  <si>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</si>
  <si>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</si>
  <si>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</si>
  <si>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</si>
  <si>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</si>
  <si>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</si>
  <si>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</si>
  <si>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</si>
  <si>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</si>
  <si>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</si>
  <si>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</si>
  <si>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</si>
  <si>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</si>
  <si>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</si>
  <si>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</si>
  <si>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</si>
  <si>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</si>
  <si>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</si>
  <si>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</si>
  <si>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</si>
  <si>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</si>
  <si>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</si>
  <si>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</si>
  <si>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</si>
  <si>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</si>
  <si>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</si>
  <si>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</si>
  <si>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</si>
  <si>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</si>
  <si>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</si>
  <si>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</si>
  <si>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</si>
  <si>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</si>
  <si>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</si>
  <si>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</si>
  <si>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</si>
  <si>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</si>
  <si>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</si>
  <si>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</si>
  <si>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</si>
  <si>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</si>
  <si>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</si>
  <si>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</si>
  <si>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</si>
  <si>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</si>
  <si>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</si>
  <si>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</si>
  <si>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</si>
  <si>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</si>
  <si>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</si>
  <si>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</si>
  <si>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</si>
  <si>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</si>
  <si>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</si>
  <si>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</si>
  <si>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</si>
  <si>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</si>
  <si>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</si>
  <si>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</si>
  <si>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</si>
  <si>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</si>
  <si>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</si>
  <si>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</si>
  <si>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</si>
  <si>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</si>
  <si>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</si>
  <si>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</si>
  <si>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</si>
  <si>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</si>
  <si>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</si>
  <si>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</si>
  <si>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</si>
  <si>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</si>
  <si>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</si>
  <si>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</si>
  <si>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</si>
  <si>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</si>
  <si>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</si>
  <si>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</si>
  <si>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</si>
  <si>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</si>
  <si>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</si>
  <si>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</si>
  <si>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</si>
  <si>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</si>
  <si>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</si>
  <si>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</si>
  <si>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</si>
  <si>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</si>
  <si>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</si>
  <si>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</si>
  <si>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</si>
  <si>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</si>
  <si>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</si>
  <si>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</si>
  <si>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</si>
  <si>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</si>
  <si>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</si>
  <si>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</si>
  <si>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</si>
  <si>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</si>
  <si>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</si>
  <si>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</si>
  <si>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</si>
  <si>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</si>
  <si>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</si>
  <si>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</si>
  <si>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</si>
  <si>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</si>
  <si>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</si>
  <si>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</si>
  <si>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</si>
  <si>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</si>
  <si>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</si>
  <si>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</si>
  <si>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</si>
  <si>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</si>
  <si>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</si>
  <si>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</si>
  <si>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</si>
  <si>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</si>
  <si>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</si>
  <si>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</si>
  <si>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</si>
  <si>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</si>
  <si>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</si>
  <si>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</si>
  <si>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</si>
  <si>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</si>
  <si>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</si>
  <si>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</si>
  <si>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</si>
  <si>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</si>
  <si>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</si>
  <si>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</si>
  <si>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</si>
  <si>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</si>
  <si>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</si>
  <si>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</si>
  <si>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</si>
  <si>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</si>
  <si>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</si>
  <si>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</si>
  <si>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</si>
  <si>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</si>
  <si>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</si>
  <si>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</si>
  <si>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</si>
  <si>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</si>
  <si>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</si>
  <si>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</si>
  <si>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</si>
  <si>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</si>
  <si>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</si>
  <si>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</si>
  <si>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</si>
  <si>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</si>
  <si>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</si>
  <si>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</si>
  <si>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</si>
  <si>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</si>
  <si>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</si>
  <si>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</si>
  <si>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</si>
  <si>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</si>
  <si>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</si>
  <si>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</si>
  <si>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</si>
  <si>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</si>
  <si>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</si>
  <si>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</si>
  <si>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</si>
  <si>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</si>
  <si>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</si>
  <si>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</si>
  <si>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</si>
  <si>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</si>
  <si>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</si>
  <si>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</si>
  <si>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</si>
  <si>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</si>
  <si>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</si>
  <si>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</si>
  <si>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</si>
  <si>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</si>
  <si>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</si>
  <si>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</si>
  <si>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</si>
  <si>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</si>
  <si>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</si>
  <si>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</si>
  <si>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</si>
  <si>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</si>
  <si>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</si>
  <si>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</si>
  <si>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</si>
  <si>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</si>
  <si>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</si>
  <si>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</si>
  <si>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</si>
  <si>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</si>
  <si>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</si>
  <si>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</si>
  <si>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</si>
  <si>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</si>
  <si>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</si>
  <si>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</si>
  <si>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</si>
  <si>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</si>
  <si>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</si>
  <si>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</si>
  <si>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</si>
  <si>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</si>
  <si>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</si>
  <si>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</si>
  <si>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</si>
  <si>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</si>
  <si>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</si>
  <si>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</si>
  <si>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</si>
  <si>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</si>
  <si>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</si>
  <si>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</si>
  <si>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</si>
  <si>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</si>
  <si>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</si>
  <si>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</si>
  <si>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</si>
  <si>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</si>
  <si>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</si>
  <si>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</si>
  <si>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</si>
  <si>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</si>
  <si>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</si>
  <si>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</si>
  <si>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</si>
  <si>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</si>
  <si>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</si>
  <si>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</si>
  <si>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</si>
  <si>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</si>
  <si>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</si>
  <si>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</si>
  <si>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</si>
  <si>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</si>
  <si>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</si>
  <si>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</si>
  <si>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</si>
  <si>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</si>
  <si>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</si>
  <si>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</si>
  <si>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</si>
  <si>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</si>
  <si>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</si>
  <si>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</si>
  <si>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</si>
  <si>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</si>
  <si>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</si>
  <si>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</si>
  <si>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</si>
  <si>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</si>
  <si>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</si>
  <si>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</si>
  <si>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</si>
  <si>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</si>
  <si>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</si>
  <si>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</si>
  <si>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</si>
  <si>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</si>
  <si>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</si>
  <si>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</si>
  <si>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</si>
  <si>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</si>
  <si>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</si>
  <si>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</si>
  <si>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</si>
  <si>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</si>
  <si>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</si>
  <si>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</si>
  <si>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</si>
  <si>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</si>
  <si>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</si>
  <si>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</si>
  <si>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</si>
  <si>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</si>
  <si>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</si>
  <si>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</si>
  <si>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</si>
  <si>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</si>
  <si>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</si>
  <si>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</si>
  <si>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</si>
  <si>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</si>
  <si>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</si>
  <si>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</si>
  <si>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</si>
  <si>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</si>
  <si>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</si>
  <si>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</si>
  <si>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</si>
  <si>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</si>
  <si>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</si>
  <si>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</si>
  <si>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</si>
  <si>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</si>
  <si>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</si>
  <si>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</si>
  <si>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</si>
  <si>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</si>
  <si>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</si>
  <si>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</si>
  <si>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</si>
  <si>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</si>
  <si>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</si>
  <si>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</si>
  <si>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</si>
  <si>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</si>
  <si>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</si>
  <si>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</si>
  <si>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</si>
  <si>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</si>
  <si>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</si>
  <si>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</si>
  <si>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</si>
  <si>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</si>
  <si>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</si>
  <si>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</si>
  <si>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</si>
  <si>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</si>
  <si>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</si>
  <si>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</si>
  <si>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</si>
  <si>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</si>
  <si>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</si>
  <si>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</si>
  <si>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</si>
  <si>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</si>
  <si>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</si>
  <si>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</si>
  <si>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</si>
  <si>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</si>
  <si>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</si>
  <si>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</si>
  <si>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</si>
  <si>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</si>
  <si>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</si>
  <si>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</si>
  <si>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</si>
  <si>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</si>
  <si>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</si>
  <si>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</si>
  <si>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</si>
  <si>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</si>
  <si>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</si>
  <si>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</si>
  <si>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</si>
  <si>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</si>
  <si>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</si>
  <si>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</si>
  <si>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</si>
  <si>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</si>
  <si>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</si>
  <si>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</si>
  <si>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</si>
  <si>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</si>
  <si>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</si>
  <si>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</si>
  <si>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</si>
  <si>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</si>
  <si>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</si>
  <si>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</si>
  <si>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</si>
  <si>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</si>
  <si>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</si>
  <si>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</si>
  <si>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</si>
  <si>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</si>
  <si>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</si>
  <si>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</si>
  <si>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</si>
  <si>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</si>
  <si>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</si>
  <si>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</si>
  <si>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</si>
  <si>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</si>
  <si>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</si>
  <si>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</si>
  <si>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</si>
  <si>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</si>
  <si>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</si>
  <si>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</si>
  <si>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</si>
  <si>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</si>
  <si>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</si>
  <si>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</si>
  <si>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</si>
  <si>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</si>
  <si>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</si>
  <si>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</si>
  <si>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</si>
  <si>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</si>
  <si>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</si>
  <si>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</si>
  <si>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</si>
  <si>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</si>
  <si>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</si>
  <si>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</si>
  <si>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</si>
  <si>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</si>
  <si>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</si>
  <si>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</si>
  <si>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</si>
  <si>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</si>
  <si>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</si>
  <si>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</si>
  <si>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</si>
  <si>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</si>
  <si>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</si>
  <si>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</si>
  <si>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</si>
  <si>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</si>
  <si>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</si>
  <si>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</si>
  <si>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</si>
  <si>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</si>
  <si>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</si>
  <si>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</si>
  <si>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</si>
  <si>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</si>
  <si>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</si>
  <si>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</si>
  <si>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</si>
  <si>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</si>
  <si>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</si>
  <si>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</si>
  <si>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</si>
  <si>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</si>
  <si>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</si>
  <si>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</si>
  <si>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</si>
  <si>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</si>
  <si>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</si>
  <si>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</si>
  <si>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</si>
  <si>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</si>
  <si>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</si>
  <si>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</si>
  <si>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</si>
  <si>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</si>
  <si>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</si>
  <si>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</si>
  <si>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</si>
  <si>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</si>
  <si>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</si>
  <si>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</si>
  <si>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</si>
  <si>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</si>
  <si>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</si>
  <si>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</si>
  <si>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</si>
  <si>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</si>
  <si>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</si>
  <si>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</si>
  <si>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</si>
  <si>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</si>
  <si>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</si>
  <si>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</si>
  <si>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</si>
  <si>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</si>
  <si>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</si>
  <si>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</si>
  <si>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</si>
  <si>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</si>
  <si>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</si>
  <si>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</si>
  <si>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</si>
  <si>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</si>
  <si>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</si>
  <si>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</si>
  <si>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</si>
  <si>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</si>
  <si>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</si>
  <si>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</si>
  <si>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</si>
  <si>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</si>
  <si>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</si>
  <si>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</si>
  <si>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</si>
  <si>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</si>
  <si>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</si>
  <si>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</si>
  <si>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</si>
  <si>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</si>
  <si>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</si>
  <si>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</si>
  <si>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</si>
  <si>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</si>
  <si>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</si>
  <si>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</si>
  <si>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</si>
  <si>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</si>
  <si>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</si>
  <si>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</si>
  <si>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</si>
  <si>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</si>
  <si>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</si>
  <si>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</si>
  <si>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</si>
  <si>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</si>
  <si>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</si>
  <si>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</si>
  <si>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</si>
  <si>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</si>
  <si>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</si>
  <si>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</si>
  <si>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</si>
  <si>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</si>
  <si>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</si>
  <si>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</si>
  <si>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</si>
  <si>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</si>
  <si>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</si>
  <si>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</si>
  <si>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</si>
  <si>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</si>
  <si>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</si>
  <si>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</si>
  <si>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</si>
  <si>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</si>
  <si>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</si>
  <si>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</si>
  <si>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</si>
  <si>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</si>
  <si>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</si>
  <si>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</si>
  <si>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</si>
  <si>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</si>
  <si>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</si>
  <si>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</si>
  <si>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</si>
  <si>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</si>
  <si>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</si>
  <si>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</si>
  <si>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</si>
  <si>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</si>
  <si>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</si>
  <si>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</si>
  <si>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</si>
  <si>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</si>
  <si>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</si>
  <si>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</si>
  <si>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</si>
  <si>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</si>
  <si>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</si>
  <si>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</si>
  <si>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</si>
  <si>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</si>
  <si>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</si>
  <si>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</si>
  <si>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</si>
  <si>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</si>
  <si>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</si>
  <si>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</si>
  <si>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</si>
  <si>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</si>
  <si>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</si>
  <si>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</si>
  <si>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</si>
  <si>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</si>
  <si>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</si>
  <si>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</si>
  <si>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</si>
  <si>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</si>
  <si>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</si>
  <si>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</si>
  <si>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</si>
  <si>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</si>
  <si>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</si>
  <si>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</si>
  <si>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</si>
  <si>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</si>
  <si>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</si>
  <si>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</si>
  <si>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</si>
  <si>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</si>
  <si>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</si>
  <si>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</si>
  <si>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</si>
  <si>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</si>
  <si>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</si>
  <si>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</si>
  <si>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</si>
  <si>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</si>
  <si>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</si>
  <si>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</si>
  <si>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</si>
  <si>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</si>
  <si>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</si>
  <si>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</si>
  <si>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</si>
  <si>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</si>
  <si>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</si>
  <si>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</si>
  <si>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</si>
  <si>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</si>
  <si>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</si>
  <si>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</si>
  <si>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</si>
  <si>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</si>
  <si>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</si>
  <si>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</si>
  <si>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</si>
  <si>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</si>
  <si>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</si>
  <si>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</si>
  <si>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</si>
  <si>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</si>
  <si>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</si>
  <si>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</si>
  <si>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</si>
  <si>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</si>
  <si>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</si>
  <si>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</si>
  <si>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</si>
  <si>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</si>
  <si>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</si>
  <si>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</si>
  <si>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</si>
  <si>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</si>
  <si>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</si>
  <si>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</si>
  <si>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</si>
  <si>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</si>
  <si>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</si>
  <si>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</si>
  <si>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</si>
  <si>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</si>
  <si>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</si>
  <si>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</si>
  <si>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</si>
  <si>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</si>
  <si>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</si>
  <si>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</si>
  <si>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</si>
  <si>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</si>
  <si>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</si>
  <si>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</si>
  <si>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</si>
  <si>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</si>
  <si>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</si>
  <si>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</si>
  <si>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</si>
  <si>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</si>
  <si>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</si>
  <si>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</si>
  <si>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</si>
  <si>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</si>
  <si>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</si>
  <si>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</si>
  <si>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</si>
  <si>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</si>
  <si>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</si>
  <si>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</si>
  <si>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</si>
  <si>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</si>
  <si>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</si>
  <si>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</si>
  <si>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</si>
  <si>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</si>
  <si>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</si>
  <si>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</si>
  <si>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</si>
  <si>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</si>
  <si>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</si>
  <si>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</si>
  <si>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</si>
  <si>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</si>
  <si>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</si>
  <si>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</si>
  <si>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</si>
  <si>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</si>
  <si>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</si>
  <si>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</si>
  <si>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</si>
  <si>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</si>
  <si>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</si>
  <si>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</si>
  <si>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</si>
  <si>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</si>
  <si>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</si>
  <si>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</si>
  <si>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</si>
  <si>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</si>
  <si>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</si>
  <si>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</si>
  <si>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</si>
  <si>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</si>
  <si>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</si>
  <si>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</si>
  <si>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</si>
  <si>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</si>
  <si>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</si>
  <si>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</si>
  <si>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</si>
  <si>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</si>
  <si>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</si>
  <si>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</si>
  <si>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</si>
  <si>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</si>
  <si>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</si>
  <si>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</si>
  <si>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</si>
  <si>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</si>
  <si>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</si>
  <si>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</si>
  <si>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</si>
  <si>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</si>
  <si>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</si>
  <si>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</si>
  <si>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</si>
  <si>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</si>
  <si>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</si>
  <si>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</si>
  <si>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</si>
  <si>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</si>
  <si>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</si>
  <si>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</si>
  <si>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</si>
  <si>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</si>
  <si>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</si>
  <si>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</si>
  <si>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</si>
  <si>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</si>
  <si>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</si>
  <si>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</si>
  <si>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</si>
  <si>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</si>
  <si>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</si>
  <si>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</si>
  <si>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</si>
  <si>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</si>
  <si>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</si>
  <si>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</si>
  <si>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</si>
  <si>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</si>
  <si>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</si>
  <si>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</si>
  <si>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</si>
  <si>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</si>
  <si>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</si>
  <si>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</si>
  <si>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</si>
  <si>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</si>
  <si>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</si>
  <si>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</si>
  <si>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</si>
  <si>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</si>
  <si>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</si>
  <si>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</si>
  <si>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</si>
  <si>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</si>
  <si>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</si>
  <si>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</si>
  <si>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</si>
  <si>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</si>
  <si>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</si>
  <si>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</si>
  <si>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</si>
  <si>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</si>
  <si>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</si>
  <si>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</si>
  <si>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</si>
  <si>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</si>
  <si>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</si>
  <si>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</si>
  <si>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</si>
  <si>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</si>
  <si>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</si>
  <si>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</si>
  <si>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</si>
  <si>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</si>
  <si>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</si>
  <si>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</si>
  <si>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</si>
  <si>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</si>
  <si>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</si>
  <si>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</si>
  <si>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</si>
  <si>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</si>
  <si>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</si>
  <si>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</si>
  <si>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</si>
  <si>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</si>
  <si>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</si>
  <si>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</si>
  <si>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</si>
  <si>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</si>
  <si>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</si>
  <si>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</si>
  <si>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</si>
  <si>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</si>
  <si>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</si>
  <si>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</si>
  <si>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</si>
  <si>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</si>
  <si>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</si>
  <si>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</si>
  <si>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</si>
  <si>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</si>
  <si>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</si>
  <si>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</si>
  <si>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</si>
  <si>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</si>
  <si>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</si>
  <si>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</si>
  <si>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</si>
  <si>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</si>
  <si>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</si>
  <si>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</si>
  <si>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</si>
  <si>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</si>
  <si>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</si>
  <si>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</si>
  <si>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</si>
  <si>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</si>
  <si>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</si>
  <si>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</si>
  <si>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</si>
  <si>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</si>
  <si>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</si>
  <si>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</si>
  <si>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</si>
  <si>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</si>
  <si>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</si>
  <si>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</si>
  <si>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</si>
  <si>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</si>
  <si>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</si>
  <si>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</si>
  <si>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</si>
  <si>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</si>
  <si>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</si>
  <si>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</si>
  <si>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</si>
  <si>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</si>
  <si>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</si>
  <si>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</si>
  <si>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</si>
  <si>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</si>
  <si>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</si>
  <si>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</si>
  <si>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</si>
  <si>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</si>
  <si>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</si>
  <si>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</si>
  <si>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</si>
  <si>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</si>
  <si>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</si>
  <si>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</si>
  <si>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</si>
  <si>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</si>
  <si>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</si>
  <si>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</si>
  <si>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</si>
  <si>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</si>
  <si>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</si>
  <si>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</si>
  <si>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</si>
  <si>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</si>
  <si>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</si>
  <si>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</si>
  <si>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</si>
  <si>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</si>
  <si>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</si>
  <si>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</si>
  <si>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</si>
  <si>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</si>
  <si>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</si>
  <si>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</si>
  <si>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</si>
  <si>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</si>
  <si>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</si>
  <si>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</si>
  <si>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</si>
  <si>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</si>
  <si>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</si>
  <si>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</si>
  <si>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</si>
  <si>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</si>
  <si>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</si>
  <si>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</si>
  <si>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</si>
  <si>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</si>
  <si>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</si>
  <si>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</si>
  <si>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</si>
  <si>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</si>
  <si>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</si>
  <si>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</si>
  <si>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</si>
  <si>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</si>
  <si>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</si>
  <si>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</si>
  <si>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</si>
  <si>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</si>
  <si>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</si>
  <si>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</si>
  <si>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</si>
  <si>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</si>
  <si>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</si>
  <si>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</si>
  <si>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</si>
  <si>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</si>
  <si>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</si>
  <si>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</si>
  <si>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</si>
  <si>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</si>
  <si>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</si>
  <si>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</si>
  <si>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</si>
  <si>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</si>
  <si>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</si>
  <si>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</si>
  <si>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</si>
  <si>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</si>
  <si>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</si>
  <si>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</si>
  <si>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</si>
  <si>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</si>
  <si>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</si>
  <si>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</si>
  <si>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</si>
  <si>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</si>
  <si>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</si>
  <si>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</si>
  <si>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</si>
  <si>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</si>
  <si>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</si>
  <si>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</si>
  <si>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</si>
  <si>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</si>
  <si>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</si>
  <si>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</si>
  <si>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</si>
  <si>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</si>
  <si>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</si>
  <si>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</si>
  <si>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</si>
  <si>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</si>
  <si>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</si>
  <si>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</si>
  <si>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</si>
  <si>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</si>
  <si>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</si>
  <si>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</si>
  <si>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</si>
  <si>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</si>
  <si>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</si>
  <si>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</si>
  <si>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</si>
  <si>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</si>
  <si>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</si>
  <si>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</si>
  <si>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</si>
  <si>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</si>
  <si>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</si>
  <si>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</si>
  <si>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</si>
  <si>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</si>
  <si>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</si>
  <si>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</si>
  <si>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</si>
  <si>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</si>
  <si>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</si>
  <si>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</si>
  <si>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</si>
  <si>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</si>
  <si>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</si>
  <si>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</si>
  <si>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</si>
  <si>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</si>
  <si>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</si>
  <si>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</si>
  <si>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</si>
  <si>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</si>
  <si>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</si>
  <si>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</si>
  <si>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</si>
  <si>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</si>
  <si>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</si>
  <si>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</si>
  <si>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</si>
  <si>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</si>
  <si>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</si>
  <si>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</si>
  <si>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</si>
  <si>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</si>
  <si>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</si>
  <si>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</si>
  <si>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</si>
  <si>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</si>
  <si>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</si>
  <si>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</si>
  <si>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</si>
  <si>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</si>
  <si>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</si>
  <si>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</si>
  <si>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</si>
  <si>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</si>
  <si>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</si>
  <si>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</si>
  <si>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</si>
  <si>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</si>
  <si>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</si>
  <si>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</si>
  <si>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</si>
  <si>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</si>
  <si>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</si>
  <si>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</si>
  <si>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</si>
  <si>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</si>
  <si>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</si>
  <si>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</si>
  <si>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</si>
  <si>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</si>
  <si>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</si>
  <si>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</si>
  <si>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</si>
  <si>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</si>
  <si>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</si>
  <si>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</si>
  <si>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</si>
  <si>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</si>
  <si>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</si>
  <si>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</si>
  <si>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</si>
  <si>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</si>
  <si>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</si>
  <si>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</si>
  <si>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</si>
  <si>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</si>
  <si>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</si>
  <si>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</si>
  <si>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</si>
  <si>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</si>
  <si>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</si>
  <si>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</si>
  <si>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</si>
  <si>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</si>
  <si>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</si>
  <si>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</si>
  <si>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</si>
  <si>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</si>
  <si>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</si>
  <si>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</si>
  <si>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</si>
  <si>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</si>
  <si>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</si>
  <si>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</si>
  <si>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</si>
  <si>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</si>
  <si>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</si>
  <si>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</si>
  <si>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</si>
  <si>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</si>
  <si>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</si>
  <si>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</si>
  <si>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</si>
  <si>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</si>
  <si>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</si>
  <si>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</si>
  <si>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</si>
  <si>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</si>
  <si>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</si>
  <si>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</si>
  <si>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</si>
  <si>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</si>
  <si>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</si>
  <si>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</si>
  <si>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</si>
  <si>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</si>
  <si>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</si>
  <si>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</si>
  <si>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</si>
  <si>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</si>
  <si>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</si>
  <si>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</si>
  <si>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</si>
  <si>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</si>
  <si>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</si>
  <si>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</si>
  <si>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</si>
  <si>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</si>
  <si>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</si>
  <si>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</si>
  <si>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</si>
  <si>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</si>
  <si>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</si>
  <si>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</si>
  <si>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</si>
  <si>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</si>
  <si>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</si>
  <si>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</si>
  <si>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</si>
  <si>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</si>
  <si>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</si>
  <si>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</si>
  <si>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</si>
  <si>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</si>
  <si>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</si>
  <si>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</si>
  <si>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</si>
  <si>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</si>
  <si>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</si>
  <si>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</si>
  <si>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</si>
  <si>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</si>
  <si>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</si>
  <si>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</si>
  <si>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</si>
  <si>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</si>
  <si>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</si>
  <si>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</si>
  <si>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</si>
  <si>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</si>
  <si>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</si>
  <si>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</si>
  <si>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</si>
  <si>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</si>
  <si>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</si>
  <si>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</si>
  <si>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</si>
  <si>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</si>
  <si>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</si>
  <si>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</si>
  <si>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</si>
  <si>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</si>
  <si>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</si>
  <si>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</si>
  <si>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</si>
  <si>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</si>
  <si>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</si>
  <si>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</si>
  <si>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</si>
  <si>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</si>
  <si>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</si>
  <si>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</si>
  <si>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</si>
  <si>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</si>
  <si>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</si>
  <si>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</si>
  <si>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</si>
  <si>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</si>
  <si>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</si>
  <si>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</si>
  <si>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</si>
  <si>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</si>
  <si>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</si>
  <si>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</si>
  <si>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</si>
  <si>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</si>
  <si>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</si>
  <si>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</si>
  <si>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</si>
  <si>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</si>
  <si>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</si>
  <si>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</si>
  <si>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</si>
  <si>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</si>
  <si>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</si>
  <si>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</si>
  <si>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</si>
  <si>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</si>
  <si>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</si>
  <si>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</si>
  <si>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</si>
  <si>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</si>
  <si>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</si>
  <si>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</si>
  <si>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</si>
  <si>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</si>
  <si>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</si>
  <si>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</si>
  <si>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</si>
  <si>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</si>
  <si>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</si>
  <si>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</si>
  <si>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</si>
  <si>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</si>
  <si>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</si>
  <si>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</si>
  <si>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</si>
  <si>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</si>
  <si>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</si>
  <si>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</si>
  <si>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</si>
  <si>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</si>
  <si>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</si>
  <si>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</si>
  <si>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</si>
  <si>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</si>
  <si>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</si>
  <si>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</si>
  <si>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</si>
  <si>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</si>
  <si>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</si>
  <si>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</si>
  <si>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</si>
  <si>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</si>
  <si>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</si>
  <si>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</si>
  <si>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</si>
  <si>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</si>
  <si>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</si>
  <si>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</si>
  <si>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</si>
  <si>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</si>
  <si>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</si>
  <si>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</si>
  <si>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</si>
  <si>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</si>
  <si>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</si>
  <si>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</si>
  <si>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</si>
  <si>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</si>
  <si>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</si>
  <si>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</si>
  <si>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</si>
  <si>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</si>
  <si>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</si>
  <si>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</si>
  <si>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</si>
  <si>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</si>
  <si>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</si>
  <si>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</si>
  <si>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</si>
  <si>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</si>
  <si>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</si>
  <si>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</si>
  <si>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</si>
  <si>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</si>
  <si>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</si>
  <si>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</si>
  <si>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</si>
  <si>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</si>
  <si>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</si>
  <si>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</si>
  <si>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</si>
  <si>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</si>
  <si>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</si>
  <si>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</si>
  <si>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</si>
  <si>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</si>
  <si>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</si>
  <si>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</si>
  <si>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</si>
  <si>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</si>
  <si>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</si>
  <si>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</si>
  <si>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</si>
  <si>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</si>
  <si>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</si>
  <si>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</si>
  <si>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</si>
  <si>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</si>
  <si>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</si>
  <si>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</si>
  <si>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</si>
  <si>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</si>
  <si>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</si>
  <si>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</si>
  <si>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</si>
  <si>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</si>
  <si>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</si>
  <si>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</si>
  <si>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</si>
  <si>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</si>
  <si>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</si>
  <si>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</si>
  <si>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</si>
  <si>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</si>
  <si>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</si>
  <si>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</si>
  <si>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</si>
  <si>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</si>
  <si>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</si>
  <si>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</si>
  <si>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</si>
  <si>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</si>
  <si>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</si>
  <si>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</si>
  <si>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</si>
  <si>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</si>
  <si>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</si>
  <si>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</si>
  <si>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</si>
  <si>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</si>
  <si>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</si>
  <si>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</si>
  <si>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</si>
  <si>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</si>
  <si>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</si>
  <si>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</si>
  <si>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</si>
  <si>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</si>
  <si>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</si>
  <si>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</si>
  <si>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</si>
  <si>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</si>
  <si>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</si>
  <si>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</si>
  <si>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</si>
  <si>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</si>
  <si>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</si>
  <si>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</si>
  <si>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</si>
  <si>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</si>
  <si>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</si>
  <si>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</si>
  <si>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</si>
  <si>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</si>
  <si>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</si>
  <si>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</si>
  <si>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</si>
  <si>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</si>
  <si>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</si>
  <si>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</si>
  <si>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</si>
  <si>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</si>
  <si>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</si>
  <si>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</si>
  <si>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</si>
  <si>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</si>
  <si>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</si>
  <si>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</si>
  <si>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</si>
  <si>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</si>
  <si>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</si>
  <si>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</si>
  <si>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</si>
  <si>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</si>
  <si>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</si>
  <si>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</si>
  <si>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</si>
  <si>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</si>
  <si>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</si>
  <si>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</si>
  <si>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</si>
  <si>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</si>
  <si>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</si>
  <si>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</si>
  <si>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</si>
  <si>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</si>
  <si>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</si>
  <si>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</si>
  <si>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</si>
  <si>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</si>
  <si>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</si>
  <si>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</si>
  <si>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</si>
  <si>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</si>
  <si>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</si>
  <si>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</si>
  <si>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</si>
  <si>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</si>
  <si>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</si>
  <si>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</si>
  <si>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</si>
  <si>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</si>
  <si>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</si>
  <si>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</si>
  <si>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</si>
  <si>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</si>
  <si>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</si>
  <si>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</si>
  <si>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</si>
  <si>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</si>
  <si>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</si>
  <si>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</si>
  <si>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</si>
  <si>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</si>
  <si>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</si>
  <si>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</si>
  <si>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</si>
  <si>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</si>
  <si>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</si>
  <si>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</si>
  <si>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</si>
  <si>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</si>
  <si>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</si>
  <si>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</si>
  <si>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</si>
  <si>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</si>
  <si>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</si>
  <si>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</si>
  <si>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</si>
  <si>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</si>
  <si>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</si>
  <si>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</si>
  <si>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</si>
  <si>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</si>
  <si>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</si>
  <si>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</si>
  <si>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</si>
  <si>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</si>
  <si>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</si>
  <si>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</si>
  <si>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</si>
  <si>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</si>
  <si>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</si>
  <si>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</si>
  <si>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</si>
  <si>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</si>
  <si>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</si>
  <si>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</si>
  <si>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</si>
  <si>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</si>
  <si>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</si>
  <si>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</si>
  <si>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</si>
  <si>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</si>
  <si>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</si>
  <si>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</si>
  <si>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</si>
  <si>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</si>
  <si>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</si>
  <si>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</si>
  <si>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</si>
  <si>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</si>
  <si>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</si>
  <si>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</si>
  <si>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</si>
  <si>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</si>
  <si>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</si>
  <si>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</si>
  <si>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</si>
  <si>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</si>
  <si>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</si>
  <si>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</si>
  <si>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</si>
  <si>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</si>
  <si>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</si>
  <si>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</si>
  <si>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</si>
  <si>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</si>
  <si>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</si>
  <si>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</si>
  <si>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</si>
  <si>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</si>
  <si>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</si>
  <si>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</si>
  <si>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</si>
  <si>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</si>
  <si>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</si>
  <si>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</si>
  <si>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</si>
  <si>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</si>
  <si>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</si>
  <si>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</si>
  <si>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</si>
  <si>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</si>
  <si>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</si>
  <si>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</si>
  <si>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</si>
  <si>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</si>
  <si>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</si>
  <si>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</si>
  <si>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</si>
  <si>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</si>
  <si>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</si>
  <si>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</si>
  <si>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</si>
  <si>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</si>
  <si>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</si>
  <si>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</si>
  <si>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</si>
  <si>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</si>
  <si>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</si>
  <si>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</si>
  <si>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</si>
  <si>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</si>
  <si>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</si>
  <si>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</si>
  <si>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</si>
  <si>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</si>
  <si>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</si>
  <si>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</si>
  <si>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</si>
  <si>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</si>
  <si>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</si>
  <si>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</si>
  <si>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</si>
  <si>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</si>
  <si>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</si>
  <si>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</si>
  <si>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</si>
  <si>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</si>
  <si>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</si>
  <si>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</si>
  <si>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</si>
  <si>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</si>
  <si>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</si>
  <si>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</si>
  <si>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</si>
  <si>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</si>
  <si>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</si>
  <si>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</si>
  <si>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</si>
  <si>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</si>
  <si>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</si>
  <si>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</si>
  <si>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</si>
  <si>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</si>
  <si>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</si>
  <si>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</si>
  <si>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</si>
  <si>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</si>
  <si>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</si>
  <si>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</si>
  <si>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</si>
  <si>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</si>
  <si>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</si>
  <si>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</si>
  <si>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</si>
  <si>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</si>
  <si>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</si>
  <si>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</si>
  <si>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</si>
  <si>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</si>
  <si>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</si>
  <si>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</si>
  <si>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</si>
  <si>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</si>
  <si>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</si>
  <si>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</si>
  <si>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</si>
  <si>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</si>
  <si>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</si>
  <si>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</si>
  <si>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</si>
  <si>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</si>
  <si>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</si>
  <si>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</si>
  <si>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</si>
  <si>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</si>
  <si>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</si>
  <si>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</si>
  <si>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</si>
  <si>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</si>
  <si>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</si>
  <si>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</si>
  <si>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</si>
  <si>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</si>
  <si>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</si>
  <si>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</si>
  <si>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</si>
  <si>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</si>
  <si>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</si>
  <si>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</si>
  <si>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</si>
  <si>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</si>
  <si>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</si>
  <si>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</si>
  <si>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</si>
  <si>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</si>
  <si>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</si>
  <si>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</si>
  <si>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</si>
  <si>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</si>
  <si>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</si>
  <si>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</si>
  <si>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</si>
  <si>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</si>
  <si>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</si>
  <si>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</si>
  <si>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</si>
  <si>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</si>
  <si>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</si>
  <si>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</si>
  <si>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</si>
  <si>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</si>
  <si>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</si>
  <si>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</si>
  <si>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</si>
  <si>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</si>
  <si>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</si>
  <si>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</si>
  <si>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</si>
  <si>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</si>
  <si>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</si>
  <si>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</si>
  <si>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</si>
  <si>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</si>
  <si>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</si>
  <si>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</si>
  <si>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</si>
  <si>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</si>
  <si>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</si>
  <si>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</si>
  <si>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</si>
  <si>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</si>
  <si>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</si>
  <si>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</si>
  <si>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</si>
  <si>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</si>
  <si>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</si>
  <si>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</si>
  <si>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</si>
  <si>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</si>
  <si>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</si>
  <si>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</si>
  <si>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</si>
  <si>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</si>
  <si>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</si>
  <si>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</si>
  <si>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</si>
  <si>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</si>
  <si>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</si>
  <si>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</si>
  <si>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</si>
  <si>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</si>
  <si>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</si>
  <si>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</si>
  <si>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</si>
  <si>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</si>
  <si>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</si>
  <si>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</si>
  <si>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</si>
  <si>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</si>
  <si>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</si>
  <si>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</si>
  <si>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</si>
  <si>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</si>
  <si>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</si>
  <si>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</si>
  <si>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</si>
  <si>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</si>
  <si>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</si>
  <si>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</si>
  <si>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</si>
  <si>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</si>
  <si>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</si>
  <si>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</si>
  <si>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</si>
  <si>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</si>
  <si>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</si>
  <si>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</si>
  <si>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</si>
  <si>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</si>
  <si>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</si>
  <si>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</si>
  <si>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</si>
  <si>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</si>
  <si>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</si>
  <si>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</si>
  <si>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</si>
  <si>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</si>
  <si>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</si>
  <si>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</si>
  <si>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</si>
  <si>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</si>
  <si>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</si>
  <si>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</si>
  <si>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</si>
  <si>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</si>
  <si>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</si>
  <si>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</si>
  <si>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</si>
  <si>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</si>
  <si>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</si>
  <si>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</si>
  <si>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</si>
  <si>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</si>
  <si>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</si>
  <si>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</si>
  <si>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</si>
  <si>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</si>
  <si>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</si>
  <si>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</si>
  <si>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</si>
  <si>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</si>
  <si>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</si>
  <si>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</si>
  <si>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</si>
  <si>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</si>
  <si>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</si>
  <si>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</si>
  <si>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</si>
  <si>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</si>
  <si>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</si>
  <si>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</si>
  <si>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</si>
  <si>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</si>
  <si>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</si>
  <si>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</si>
  <si>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</si>
  <si>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</si>
  <si>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</si>
  <si>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</si>
  <si>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</si>
  <si>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</si>
  <si>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</si>
  <si>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</si>
  <si>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</si>
  <si>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</si>
  <si>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</si>
  <si>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</si>
  <si>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</si>
  <si>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</si>
  <si>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</si>
  <si>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</si>
  <si>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</si>
  <si>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</si>
  <si>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</si>
  <si>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</si>
  <si>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</si>
  <si>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</si>
  <si>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</si>
  <si>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</si>
  <si>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</si>
  <si>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</si>
  <si>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</si>
  <si>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</si>
  <si>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</si>
  <si>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</si>
  <si>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</si>
  <si>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</si>
  <si>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</si>
  <si>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</si>
  <si>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</si>
  <si>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</si>
  <si>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</si>
  <si>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</si>
  <si>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</si>
  <si>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</si>
  <si>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</si>
  <si>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</si>
  <si>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</si>
  <si>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</si>
  <si>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</si>
  <si>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</si>
  <si>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</si>
  <si>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</si>
  <si>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</si>
  <si>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</si>
  <si>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</si>
  <si>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</si>
  <si>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</si>
  <si>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</si>
  <si>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</si>
  <si>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</si>
  <si>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</si>
  <si>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</si>
  <si>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</si>
  <si>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</si>
  <si>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</si>
  <si>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</si>
  <si>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</si>
  <si>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</si>
  <si>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</si>
  <si>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</si>
  <si>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</si>
  <si>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</si>
  <si>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</si>
  <si>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</si>
  <si>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</si>
  <si>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</si>
  <si>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</si>
  <si>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</si>
  <si>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</si>
  <si>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</si>
  <si>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</si>
  <si>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</si>
  <si>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</si>
  <si>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</si>
  <si>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</si>
  <si>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</si>
  <si>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</si>
  <si>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</si>
  <si>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</si>
  <si>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</si>
  <si>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</si>
  <si>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</si>
  <si>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</si>
  <si>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</si>
  <si>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</si>
  <si>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</si>
  <si>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</si>
  <si>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</si>
  <si>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</si>
  <si>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</si>
  <si>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</si>
  <si>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</si>
  <si>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</si>
  <si>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</si>
  <si>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</si>
  <si>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</si>
  <si>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</si>
  <si>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</si>
  <si>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</si>
  <si>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</si>
  <si>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</si>
  <si>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</si>
  <si>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</si>
  <si>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</si>
  <si>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</si>
  <si>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</si>
  <si>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</si>
  <si>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</si>
  <si>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</si>
  <si>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</si>
  <si>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</si>
  <si>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</si>
  <si>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</si>
  <si>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</si>
  <si>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</si>
  <si>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</si>
  <si>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</si>
  <si>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</si>
  <si>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</si>
  <si>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</si>
  <si>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</si>
  <si>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</si>
  <si>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</si>
  <si>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</si>
  <si>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</si>
  <si>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</si>
  <si>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</si>
  <si>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</si>
  <si>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</si>
  <si>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</si>
  <si>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</si>
  <si>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</si>
  <si>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</si>
  <si>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</si>
  <si>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</si>
  <si>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</si>
  <si>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</si>
  <si>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</si>
  <si>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</si>
  <si>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</si>
  <si>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</si>
  <si>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</si>
  <si>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</si>
  <si>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</si>
  <si>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</si>
  <si>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</si>
  <si>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</si>
  <si>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</si>
  <si>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</si>
  <si>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</si>
  <si>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</si>
  <si>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</si>
  <si>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</si>
  <si>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</si>
  <si>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</si>
  <si>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</si>
  <si>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</si>
  <si>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</si>
  <si>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</si>
  <si>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</si>
  <si>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</si>
  <si>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</si>
  <si>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</si>
  <si>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</si>
  <si>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</si>
  <si>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</si>
  <si>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</si>
  <si>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</si>
  <si>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</si>
  <si>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</si>
  <si>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</si>
  <si>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</si>
  <si>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</si>
  <si>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</si>
  <si>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</si>
  <si>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</si>
  <si>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</si>
  <si>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</si>
  <si>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</si>
  <si>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</si>
  <si>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</si>
  <si>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</si>
  <si>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</si>
  <si>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</si>
  <si>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</si>
  <si>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</si>
  <si>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</si>
  <si>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</si>
  <si>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</si>
  <si>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</si>
  <si>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</si>
  <si>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</si>
  <si>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</si>
  <si>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</si>
  <si>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</si>
  <si>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</si>
  <si>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</si>
  <si>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</si>
  <si>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</si>
  <si>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</si>
  <si>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</si>
  <si>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</si>
  <si>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</si>
  <si>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</si>
  <si>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</si>
  <si>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</si>
  <si>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</si>
  <si>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</si>
  <si>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</si>
  <si>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</si>
  <si>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</si>
  <si>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</si>
  <si>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</si>
  <si>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</si>
  <si>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</si>
  <si>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</si>
  <si>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</si>
  <si>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</si>
  <si>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</si>
  <si>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</si>
  <si>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</si>
  <si>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</si>
  <si>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</si>
  <si>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</si>
  <si>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</si>
  <si>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</si>
  <si>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</si>
  <si>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</si>
  <si>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</si>
  <si>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</si>
  <si>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</si>
  <si>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</si>
  <si>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</si>
  <si>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</si>
  <si>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</si>
  <si>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</si>
  <si>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</si>
  <si>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</si>
  <si>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</si>
  <si>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</si>
  <si>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</si>
  <si>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</si>
  <si>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</si>
  <si>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</si>
  <si>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</si>
  <si>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</si>
  <si>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</si>
  <si>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</si>
  <si>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</si>
  <si>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</si>
  <si>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</si>
  <si>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</si>
  <si>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</si>
  <si>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</si>
  <si>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</si>
  <si>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</si>
  <si>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</si>
  <si>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</si>
  <si>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</si>
  <si>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</si>
  <si>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</si>
  <si>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</si>
  <si>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</si>
  <si>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</si>
  <si>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</si>
  <si>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</si>
  <si>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</si>
  <si>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</si>
  <si>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</si>
  <si>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</si>
  <si>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</si>
  <si>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</si>
  <si>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</si>
  <si>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</si>
  <si>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</si>
  <si>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</si>
  <si>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</si>
  <si>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</si>
  <si>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</si>
  <si>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</si>
  <si>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</si>
  <si>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</si>
  <si>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</si>
  <si>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</si>
  <si>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</si>
  <si>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</si>
  <si>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</si>
  <si>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</si>
  <si>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</si>
  <si>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</si>
  <si>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</si>
  <si>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</si>
  <si>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</si>
  <si>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</si>
  <si>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</si>
  <si>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</si>
  <si>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</si>
  <si>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</si>
  <si>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</si>
  <si>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</si>
  <si>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</si>
  <si>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</si>
  <si>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</si>
  <si>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</si>
  <si>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</si>
  <si>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</si>
  <si>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</si>
  <si>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</si>
  <si>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</si>
  <si>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</si>
  <si>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</si>
  <si>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</si>
  <si>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</si>
  <si>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</si>
  <si>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</si>
  <si>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</si>
  <si>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</si>
  <si>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</si>
  <si>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</si>
  <si>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</si>
  <si>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</si>
  <si>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</si>
  <si>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</si>
  <si>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</si>
  <si>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</si>
  <si>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</si>
  <si>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</si>
  <si>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</si>
  <si>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</si>
  <si>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</si>
  <si>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</si>
  <si>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</si>
  <si>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</si>
  <si>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</si>
  <si>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</si>
  <si>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</si>
  <si>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</si>
  <si>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</si>
  <si>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</si>
  <si>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</si>
  <si>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</si>
  <si>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</si>
  <si>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</si>
  <si>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</si>
  <si>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</si>
  <si>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</si>
  <si>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</si>
  <si>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</si>
  <si>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</si>
  <si>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</si>
  <si>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</si>
  <si>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</si>
  <si>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</si>
  <si>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</si>
  <si>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</si>
  <si>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</si>
  <si>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</si>
  <si>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</si>
  <si>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</si>
  <si>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</si>
  <si>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</si>
  <si>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</si>
  <si>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</si>
  <si>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</si>
  <si>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</si>
  <si>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</si>
  <si>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</si>
  <si>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</si>
  <si>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</si>
  <si>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</si>
  <si>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</si>
  <si>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</si>
  <si>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</si>
  <si>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</si>
  <si>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</si>
  <si>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</si>
  <si>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</si>
  <si>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</si>
  <si>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</si>
  <si>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</si>
  <si>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</si>
  <si>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</si>
  <si>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</si>
  <si>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</si>
  <si>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</si>
  <si>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</si>
  <si>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</si>
  <si>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</si>
  <si>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</si>
  <si>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</si>
  <si>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</si>
  <si>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</si>
  <si>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</si>
  <si>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</si>
  <si>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</si>
  <si>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</si>
  <si>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</si>
  <si>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</si>
  <si>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</si>
  <si>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</si>
  <si>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</si>
  <si>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</si>
  <si>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</si>
  <si>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</si>
  <si>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</si>
  <si>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</si>
  <si>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</si>
  <si>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</si>
  <si>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</si>
  <si>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</si>
  <si>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</si>
  <si>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</si>
  <si>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</si>
  <si>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</si>
  <si>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</si>
  <si>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</si>
  <si>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</si>
  <si>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</si>
  <si>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</si>
  <si>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</si>
  <si>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</si>
  <si>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</si>
  <si>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</si>
  <si>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</si>
  <si>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</si>
  <si>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</si>
  <si>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</si>
  <si>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</si>
  <si>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</si>
  <si>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</si>
  <si>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</si>
  <si>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</si>
  <si>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</si>
  <si>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</si>
  <si>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</si>
  <si>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</si>
  <si>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</si>
  <si>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</si>
  <si>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</si>
  <si>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</si>
  <si>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</si>
  <si>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</si>
  <si>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</si>
  <si>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</si>
  <si>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</si>
  <si>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</si>
  <si>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</si>
  <si>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</si>
  <si>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</si>
  <si>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</si>
  <si>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</si>
  <si>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</si>
  <si>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</si>
  <si>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</si>
  <si>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</si>
  <si>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</si>
  <si>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</si>
  <si>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</si>
  <si>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</si>
  <si>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</si>
  <si>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</si>
  <si>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</si>
  <si>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</si>
  <si>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</si>
  <si>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</si>
  <si>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</si>
  <si>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</si>
  <si>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</si>
  <si>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</si>
  <si>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</si>
  <si>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</si>
  <si>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</si>
  <si>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</si>
  <si>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</si>
  <si>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</si>
  <si>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</si>
  <si>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</si>
  <si>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</si>
  <si>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</si>
  <si>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</si>
  <si>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</si>
  <si>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</si>
  <si>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</si>
  <si>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</si>
  <si>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</si>
  <si>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</si>
  <si>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</si>
  <si>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</si>
  <si>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</si>
  <si>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</si>
  <si>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</si>
  <si>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</si>
  <si>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</si>
  <si>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</si>
  <si>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</si>
  <si>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</si>
  <si>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</si>
  <si>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</si>
  <si>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</si>
  <si>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</si>
  <si>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</si>
  <si>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</si>
  <si>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</si>
  <si>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</si>
  <si>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</si>
  <si>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</si>
  <si>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</si>
  <si>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</si>
  <si>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</si>
  <si>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</si>
  <si>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</si>
  <si>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</si>
  <si>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</si>
  <si>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</si>
  <si>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</si>
  <si>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</si>
  <si>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</si>
  <si>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</si>
  <si>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</si>
  <si>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</si>
  <si>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</si>
  <si>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</si>
  <si>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</si>
  <si>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</si>
  <si>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</si>
  <si>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</si>
  <si>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</si>
  <si>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</si>
  <si>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</si>
  <si>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</si>
  <si>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</si>
  <si>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</si>
  <si>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</si>
  <si>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</si>
  <si>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</si>
  <si>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</si>
  <si>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</si>
  <si>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</si>
  <si>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</si>
  <si>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</si>
  <si>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</si>
  <si>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</si>
  <si>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</si>
  <si>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</si>
  <si>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</si>
  <si>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</si>
  <si>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</si>
  <si>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</si>
  <si>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</si>
  <si>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</si>
  <si>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</si>
  <si>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</si>
  <si>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</si>
  <si>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</si>
  <si>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</si>
  <si>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</si>
  <si>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</si>
  <si>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</si>
  <si>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</si>
  <si>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</si>
  <si>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</si>
  <si>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</si>
  <si>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</si>
  <si>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</si>
  <si>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</si>
  <si>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</si>
  <si>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</si>
  <si>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</si>
  <si>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</si>
  <si>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</si>
  <si>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</si>
  <si>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</si>
  <si>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</si>
  <si>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</si>
  <si>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</si>
  <si>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</si>
  <si>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</si>
  <si>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</si>
  <si>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</si>
  <si>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</si>
  <si>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</si>
  <si>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</si>
  <si>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</si>
  <si>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</si>
  <si>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</si>
  <si>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</si>
  <si>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</si>
  <si>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</si>
  <si>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</si>
  <si>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</si>
  <si>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</si>
  <si>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</si>
  <si>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</si>
  <si>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</si>
  <si>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</si>
  <si>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</si>
  <si>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</si>
  <si>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</si>
  <si>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</si>
  <si>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</si>
  <si>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</si>
  <si>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</si>
  <si>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</si>
  <si>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</si>
  <si>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</si>
  <si>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</si>
  <si>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</si>
  <si>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</si>
  <si>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</si>
  <si>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</si>
  <si>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</si>
  <si>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</si>
  <si>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</si>
  <si>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</si>
  <si>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</si>
  <si>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</si>
  <si>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</si>
  <si>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</si>
  <si>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</si>
  <si>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</si>
  <si>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</si>
  <si>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</si>
  <si>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</si>
  <si>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</si>
  <si>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</si>
  <si>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</si>
  <si>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</si>
  <si>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</si>
  <si>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</si>
  <si>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</si>
  <si>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</si>
  <si>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</si>
  <si>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</si>
  <si>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</si>
  <si>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</si>
  <si>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</si>
  <si>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</si>
  <si>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</si>
  <si>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</si>
  <si>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</si>
  <si>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</si>
  <si>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</si>
  <si>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</si>
  <si>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</si>
  <si>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</si>
  <si>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</si>
  <si>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</si>
  <si>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</si>
  <si>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</si>
  <si>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</si>
  <si>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</si>
  <si>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</si>
  <si>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</si>
  <si>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</si>
  <si>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</si>
  <si>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</si>
  <si>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</si>
  <si>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</si>
  <si>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</si>
  <si>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</si>
  <si>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</si>
  <si>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</si>
  <si>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</si>
  <si>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</si>
  <si>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</si>
  <si>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</si>
  <si>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</si>
  <si>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</si>
  <si>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</si>
  <si>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</si>
  <si>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</si>
  <si>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</si>
  <si>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</si>
  <si>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</si>
  <si>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</si>
  <si>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</si>
  <si>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</si>
  <si>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</si>
  <si>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</si>
  <si>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</si>
  <si>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</si>
  <si>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</si>
  <si>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</si>
  <si>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</si>
  <si>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</si>
  <si>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</si>
  <si>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</si>
  <si>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</si>
  <si>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</si>
  <si>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</si>
  <si>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</si>
  <si>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</si>
  <si>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</si>
  <si>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</si>
  <si>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</si>
  <si>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</si>
  <si>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</si>
  <si>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</si>
  <si>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</si>
  <si>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</si>
  <si>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</si>
  <si>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</si>
  <si>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</si>
  <si>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</si>
  <si>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</si>
  <si>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</si>
  <si>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</si>
  <si>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</si>
  <si>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</si>
  <si>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</si>
  <si>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</si>
  <si>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</si>
  <si>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</si>
  <si>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</si>
  <si>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</si>
  <si>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</si>
  <si>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</si>
  <si>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</si>
  <si>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</si>
  <si>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</si>
  <si>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</si>
  <si>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</si>
  <si>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</si>
  <si>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</si>
  <si>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</si>
  <si>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</si>
  <si>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</si>
  <si>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</si>
  <si>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</si>
  <si>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</si>
  <si>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</si>
  <si>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</si>
  <si>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</si>
  <si>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</si>
  <si>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</si>
  <si>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</si>
  <si>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</si>
  <si>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</si>
  <si>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</si>
  <si>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</si>
  <si>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</si>
  <si>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</si>
  <si>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</si>
  <si>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</si>
  <si>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</si>
  <si>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</si>
  <si>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</si>
  <si>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</si>
  <si>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</si>
  <si>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</si>
  <si>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</si>
  <si>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</si>
  <si>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</si>
  <si>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</si>
  <si>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</si>
  <si>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</si>
  <si>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</si>
  <si>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</si>
  <si>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</si>
  <si>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</si>
  <si>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</si>
  <si>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</si>
  <si>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</si>
  <si>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</si>
  <si>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</si>
  <si>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</si>
  <si>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</si>
  <si>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</si>
  <si>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</si>
  <si>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</si>
  <si>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</si>
  <si>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</si>
  <si>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</si>
  <si>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</si>
  <si>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</si>
  <si>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</si>
  <si>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</si>
  <si>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</si>
  <si>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</si>
  <si>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</si>
  <si>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</si>
  <si>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</si>
  <si>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</si>
  <si>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</si>
  <si>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</si>
  <si>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</si>
  <si>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</si>
  <si>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</si>
  <si>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</si>
  <si>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</si>
  <si>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</si>
  <si>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</si>
  <si>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</si>
  <si>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</si>
  <si>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</si>
  <si>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</si>
  <si>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</si>
  <si>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</si>
  <si>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</si>
  <si>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</si>
  <si>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</si>
  <si>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</si>
  <si>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</si>
  <si>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</si>
  <si>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</si>
  <si>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</si>
  <si>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</si>
  <si>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</si>
  <si>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</si>
  <si>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</si>
  <si>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</si>
  <si>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</si>
  <si>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</si>
  <si>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</si>
  <si>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</si>
  <si>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</si>
  <si>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</si>
  <si>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</si>
  <si>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</si>
  <si>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</si>
  <si>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</si>
  <si>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</si>
  <si>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</si>
  <si>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</si>
  <si>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</si>
  <si>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</si>
  <si>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</si>
  <si>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</si>
  <si>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</si>
  <si>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</si>
  <si>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</si>
  <si>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</si>
  <si>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</si>
  <si>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</si>
  <si>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</si>
  <si>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</si>
  <si>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</si>
  <si>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</si>
  <si>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</si>
  <si>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</si>
  <si>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</si>
  <si>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</si>
  <si>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</si>
  <si>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</si>
  <si>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</si>
  <si>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</si>
  <si>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</si>
  <si>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</si>
  <si>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</si>
  <si>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</si>
  <si>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</si>
  <si>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</si>
  <si>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</si>
  <si>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</si>
  <si>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</si>
  <si>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</si>
  <si>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</si>
  <si>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</si>
  <si>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</si>
  <si>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</si>
  <si>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</si>
  <si>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</si>
  <si>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</si>
  <si>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</si>
  <si>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</si>
  <si>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</si>
  <si>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</si>
  <si>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</si>
  <si>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</si>
  <si>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</si>
  <si>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</si>
  <si>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</si>
  <si>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</si>
  <si>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</si>
  <si>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</si>
  <si>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</si>
  <si>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</si>
  <si>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</si>
  <si>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</si>
  <si>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</si>
  <si>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</si>
  <si>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</si>
  <si>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</si>
  <si>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</si>
  <si>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</si>
  <si>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</si>
  <si>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</si>
  <si>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</si>
  <si>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</si>
  <si>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</si>
  <si>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</si>
  <si>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</si>
  <si>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</si>
  <si>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</si>
  <si>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</si>
  <si>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</si>
  <si>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</si>
  <si>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</si>
  <si>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</si>
  <si>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</si>
  <si>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</si>
  <si>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</si>
  <si>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</si>
  <si>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</si>
  <si>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</si>
  <si>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</si>
  <si>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</si>
  <si>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</si>
  <si>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</si>
  <si>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</si>
  <si>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</si>
  <si>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</si>
  <si>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</si>
  <si>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</si>
  <si>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</si>
  <si>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</si>
  <si>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</si>
  <si>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</si>
  <si>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</si>
  <si>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</si>
  <si>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</si>
  <si>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</si>
  <si>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</si>
  <si>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</si>
  <si>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</si>
  <si>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</si>
  <si>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</si>
  <si>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</si>
  <si>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</si>
  <si>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</si>
  <si>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</si>
  <si>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</si>
  <si>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</si>
  <si>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</si>
  <si>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</si>
  <si>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</si>
  <si>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</si>
  <si>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</si>
  <si>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</si>
  <si>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</si>
  <si>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</si>
  <si>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</si>
  <si>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</si>
  <si>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</si>
  <si>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</si>
  <si>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</si>
  <si>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</si>
  <si>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</si>
  <si>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</si>
  <si>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</si>
  <si>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</si>
  <si>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</si>
  <si>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</si>
  <si>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</si>
  <si>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</si>
  <si>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</si>
  <si>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</si>
  <si>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</si>
  <si>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</si>
  <si>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</si>
  <si>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</si>
  <si>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</si>
  <si>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</si>
  <si>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</si>
  <si>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</si>
  <si>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</si>
  <si>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</si>
  <si>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</si>
  <si>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</si>
  <si>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</si>
  <si>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</si>
  <si>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</si>
  <si>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</si>
  <si>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</si>
  <si>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</si>
  <si>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</si>
  <si>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</si>
  <si>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</si>
  <si>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</si>
  <si>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</si>
  <si>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</si>
  <si>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</si>
  <si>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</si>
  <si>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</si>
  <si>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</si>
  <si>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</si>
  <si>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</si>
  <si>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</si>
  <si>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</si>
  <si>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</si>
  <si>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</si>
  <si>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</si>
  <si>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</si>
  <si>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</si>
  <si>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</si>
  <si>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</si>
  <si>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</si>
  <si>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</si>
  <si>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</si>
  <si>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</si>
  <si>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</si>
  <si>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</si>
  <si>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</si>
  <si>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</si>
  <si>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</si>
  <si>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</si>
  <si>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</si>
  <si>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</si>
  <si>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</si>
  <si>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</si>
  <si>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</si>
  <si>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</si>
  <si>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</si>
  <si>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</si>
  <si>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</si>
  <si>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</si>
  <si>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</si>
  <si>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</si>
  <si>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</si>
  <si>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</si>
  <si>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</si>
  <si>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</si>
  <si>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</si>
  <si>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</si>
  <si>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</si>
  <si>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</si>
  <si>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</si>
  <si>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</si>
  <si>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</si>
  <si>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</si>
  <si>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</si>
  <si>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</si>
  <si>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</si>
  <si>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</si>
  <si>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</si>
  <si>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</si>
  <si>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</si>
  <si>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</si>
  <si>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</si>
  <si>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</si>
  <si>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</si>
  <si>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</si>
  <si>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</si>
  <si>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</si>
  <si>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</si>
  <si>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</si>
  <si>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</si>
  <si>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</si>
  <si>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</si>
  <si>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</si>
  <si>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</si>
  <si>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</si>
  <si>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</si>
  <si>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</si>
  <si>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</si>
  <si>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</si>
  <si>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</si>
  <si>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</si>
  <si>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</si>
  <si>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</si>
  <si>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</si>
  <si>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</si>
  <si>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</si>
  <si>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</si>
  <si>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</si>
  <si>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</si>
  <si>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</si>
  <si>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</si>
  <si>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</si>
  <si>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</si>
  <si>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</si>
  <si>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</si>
  <si>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</si>
  <si>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</si>
  <si>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</si>
  <si>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</si>
  <si>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</si>
  <si>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</si>
  <si>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</si>
  <si>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</si>
  <si>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</si>
  <si>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</si>
  <si>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</si>
  <si>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</si>
  <si>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</si>
  <si>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</si>
  <si>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</si>
  <si>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</si>
  <si>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</si>
  <si>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</si>
  <si>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</si>
  <si>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</si>
  <si>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</si>
  <si>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</si>
  <si>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</si>
  <si>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</si>
  <si>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</si>
  <si>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</si>
  <si>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</si>
  <si>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</si>
  <si>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</si>
  <si>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</si>
  <si>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</si>
  <si>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</si>
  <si>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</si>
  <si>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</si>
  <si>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</si>
  <si>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</si>
  <si>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</si>
  <si>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</si>
  <si>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</si>
  <si>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</si>
  <si>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</si>
  <si>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</si>
  <si>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</si>
  <si>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</si>
  <si>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</si>
  <si>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</si>
  <si>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</si>
  <si>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</si>
  <si>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</si>
  <si>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</si>
  <si>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</si>
  <si>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</si>
  <si>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</si>
  <si>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</si>
  <si>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</si>
  <si>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</si>
  <si>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</si>
  <si>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</si>
  <si>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</si>
  <si>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</si>
  <si>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</si>
  <si>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</si>
  <si>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</si>
  <si>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</si>
  <si>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</si>
  <si>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</si>
  <si>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</si>
  <si>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</si>
  <si>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</si>
  <si>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</si>
  <si>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</si>
  <si>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</si>
  <si>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</si>
  <si>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</si>
  <si>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</si>
  <si>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</si>
  <si>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</si>
  <si>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</si>
  <si>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</si>
  <si>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</si>
  <si>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</si>
  <si>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</si>
  <si>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</si>
  <si>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</si>
  <si>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</si>
  <si>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</si>
  <si>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</si>
  <si>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</si>
  <si>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</si>
  <si>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</si>
  <si>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</si>
  <si>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</si>
  <si>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</si>
  <si>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</si>
  <si>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</si>
  <si>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</si>
  <si>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</si>
  <si>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</si>
  <si>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</si>
  <si>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</si>
  <si>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</si>
  <si>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</si>
  <si>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</si>
  <si>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</si>
  <si>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</si>
  <si>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</si>
  <si>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</si>
  <si>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</si>
  <si>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</si>
  <si>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</si>
  <si>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</si>
  <si>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</si>
  <si>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</si>
  <si>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</si>
  <si>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</si>
  <si>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</si>
  <si>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</si>
  <si>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</si>
  <si>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</si>
  <si>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</si>
  <si>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</si>
  <si>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</si>
  <si>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</si>
  <si>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</si>
  <si>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</si>
  <si>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</si>
  <si>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</si>
  <si>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</si>
  <si>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</si>
  <si>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</si>
  <si>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</si>
  <si>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</si>
  <si>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</si>
  <si>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</si>
  <si>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</si>
  <si>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</si>
  <si>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</si>
  <si>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</si>
  <si>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</si>
  <si>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</si>
  <si>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</si>
  <si>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</si>
  <si>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</si>
  <si>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</si>
  <si>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</si>
  <si>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</si>
  <si>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</si>
  <si>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</si>
  <si>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</si>
  <si>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</si>
  <si>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</si>
  <si>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</si>
  <si>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</si>
  <si>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</si>
  <si>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</si>
  <si>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</si>
  <si>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</si>
  <si>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</si>
  <si>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</si>
  <si>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</si>
  <si>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</si>
  <si>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</si>
  <si>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</si>
  <si>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</si>
  <si>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</si>
  <si>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</si>
  <si>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</si>
  <si>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</si>
  <si>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</si>
  <si>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</si>
  <si>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</si>
  <si>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</si>
  <si>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</si>
  <si>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</si>
  <si>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</si>
  <si>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</si>
  <si>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</si>
  <si>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</si>
  <si>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</si>
  <si>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</si>
  <si>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</si>
  <si>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</si>
  <si>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</si>
  <si>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</si>
  <si>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</si>
  <si>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</si>
  <si>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</si>
  <si>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</si>
  <si>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</si>
  <si>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</si>
  <si>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</si>
  <si>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</si>
  <si>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</si>
  <si>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</si>
  <si>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</si>
  <si>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</si>
  <si>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</si>
  <si>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</si>
  <si>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</si>
  <si>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</si>
  <si>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</si>
  <si>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</si>
  <si>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</si>
  <si>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</si>
  <si>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</si>
  <si>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</si>
  <si>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</si>
  <si>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</si>
  <si>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</si>
  <si>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</si>
  <si>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</si>
  <si>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</si>
  <si>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</si>
  <si>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</si>
  <si>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</si>
  <si>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</si>
  <si>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</si>
  <si>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</si>
  <si>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</si>
  <si>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</si>
  <si>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</si>
  <si>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</si>
  <si>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</si>
  <si>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</si>
  <si>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</si>
  <si>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</si>
  <si>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</si>
  <si>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</si>
  <si>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</si>
  <si>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</si>
  <si>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</si>
  <si>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</si>
  <si>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</si>
  <si>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</si>
  <si>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</si>
  <si>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</si>
  <si>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</si>
  <si>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</si>
  <si>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</si>
  <si>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</si>
  <si>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</si>
  <si>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</si>
  <si>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</si>
  <si>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</si>
  <si>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</si>
  <si>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</si>
  <si>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</si>
  <si>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</si>
  <si>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</si>
  <si>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</si>
  <si>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</si>
  <si>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</si>
  <si>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</si>
  <si>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</si>
  <si>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</si>
  <si>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</si>
  <si>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</si>
  <si>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</si>
  <si>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</si>
  <si>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</si>
  <si>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</si>
  <si>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</si>
  <si>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</si>
  <si>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</si>
  <si>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</si>
  <si>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</si>
  <si>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</si>
  <si>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</si>
  <si>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</si>
  <si>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</si>
  <si>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</si>
  <si>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</si>
  <si>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</si>
  <si>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</si>
  <si>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</si>
  <si>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</si>
  <si>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</si>
  <si>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</si>
  <si>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</si>
  <si>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</si>
  <si>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</si>
  <si>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</si>
  <si>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</si>
  <si>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</si>
  <si>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</si>
  <si>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</si>
  <si>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</si>
  <si>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</si>
  <si>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</si>
  <si>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</si>
  <si>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</si>
  <si>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</si>
  <si>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</si>
  <si>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</si>
  <si>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</si>
  <si>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</si>
  <si>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</si>
  <si>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</si>
  <si>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</si>
  <si>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</si>
  <si>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</si>
  <si>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</si>
  <si>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</si>
  <si>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</si>
  <si>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</si>
  <si>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</si>
  <si>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</si>
  <si>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</si>
  <si>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</si>
  <si>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</si>
  <si>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</si>
  <si>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</si>
  <si>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</si>
  <si>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</si>
  <si>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</si>
  <si>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</si>
  <si>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</si>
  <si>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</si>
  <si>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</si>
  <si>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</si>
  <si>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</si>
  <si>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</si>
  <si>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</si>
  <si>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</si>
  <si>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</si>
  <si>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</si>
  <si>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</si>
  <si>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</si>
  <si>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</si>
  <si>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</si>
  <si>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</si>
  <si>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</si>
  <si>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</si>
  <si>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</si>
  <si>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</si>
  <si>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</si>
  <si>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</si>
  <si>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</si>
  <si>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</si>
  <si>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</si>
  <si>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</si>
  <si>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</si>
  <si>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</si>
  <si>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</si>
  <si>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</si>
  <si>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</si>
  <si>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</si>
  <si>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</si>
  <si>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</si>
  <si>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</si>
  <si>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</si>
  <si>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</si>
  <si>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</si>
  <si>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</si>
  <si>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</si>
  <si>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</si>
  <si>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</si>
  <si>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</si>
  <si>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</si>
  <si>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</si>
  <si>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</si>
  <si>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</si>
  <si>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</si>
  <si>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</si>
  <si>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</si>
  <si>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</si>
  <si>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</si>
  <si>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</si>
  <si>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</si>
  <si>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</si>
  <si>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</si>
  <si>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</si>
  <si>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</si>
  <si>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</si>
  <si>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</si>
  <si>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</si>
  <si>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</si>
  <si>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</si>
  <si>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</si>
  <si>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</si>
  <si>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</si>
  <si>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</si>
  <si>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</si>
  <si>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</si>
  <si>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</si>
  <si>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</si>
  <si>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</si>
  <si>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</si>
  <si>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</si>
  <si>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</si>
  <si>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</si>
  <si>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</si>
  <si>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</si>
  <si>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</si>
  <si>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</si>
  <si>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</si>
  <si>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</si>
  <si>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</si>
  <si>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</si>
  <si>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</si>
  <si>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</si>
  <si>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</si>
  <si>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</si>
  <si>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</si>
  <si>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</si>
  <si>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</si>
  <si>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</si>
  <si>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</si>
  <si>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</si>
  <si>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</si>
  <si>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</si>
  <si>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</si>
  <si>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</si>
  <si>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</si>
  <si>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</si>
  <si>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</si>
  <si>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</si>
  <si>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</si>
  <si>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</si>
  <si>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</si>
  <si>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</si>
  <si>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</si>
  <si>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</si>
  <si>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</si>
  <si>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</si>
  <si>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</si>
  <si>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</si>
  <si>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</si>
  <si>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</si>
  <si>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</si>
  <si>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</si>
  <si>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</si>
  <si>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</si>
  <si>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</si>
  <si>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</si>
  <si>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</si>
  <si>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</si>
  <si>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</si>
  <si>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</si>
  <si>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</si>
  <si>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</si>
  <si>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</si>
  <si>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</si>
  <si>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</si>
  <si>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</si>
  <si>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</si>
  <si>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</si>
  <si>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</si>
  <si>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</si>
  <si>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</si>
  <si>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</si>
  <si>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</si>
  <si>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</si>
  <si>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</si>
  <si>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</si>
  <si>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</si>
  <si>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</si>
  <si>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</si>
  <si>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</si>
  <si>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</si>
  <si>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</si>
  <si>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</si>
  <si>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</si>
  <si>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</si>
  <si>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</si>
  <si>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</si>
  <si>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</si>
  <si>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</si>
  <si>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</si>
  <si>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</si>
  <si>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</si>
  <si>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</si>
  <si>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</si>
  <si>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</si>
  <si>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</si>
  <si>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</si>
  <si>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</si>
  <si>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</si>
  <si>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</si>
  <si>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</si>
  <si>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</si>
  <si>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</si>
  <si>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</si>
  <si>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</si>
  <si>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</si>
  <si>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</si>
  <si>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</si>
  <si>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</si>
  <si>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</si>
  <si>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</si>
  <si>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</si>
  <si>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</si>
  <si>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</si>
  <si>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</si>
  <si>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</si>
  <si>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</si>
  <si>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</si>
  <si>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</si>
  <si>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</si>
  <si>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</si>
  <si>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</si>
  <si>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</si>
  <si>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</si>
  <si>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</si>
  <si>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</si>
  <si>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</si>
  <si>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</si>
  <si>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</si>
  <si>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</si>
  <si>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</si>
  <si>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</si>
  <si>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</si>
  <si>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</si>
  <si>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</si>
  <si>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</si>
  <si>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</si>
  <si>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</si>
  <si>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</si>
  <si>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</si>
  <si>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</si>
  <si>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</si>
  <si>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</si>
  <si>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</si>
  <si>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</si>
  <si>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</si>
  <si>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</si>
  <si>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</si>
  <si>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</si>
  <si>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</si>
  <si>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</si>
  <si>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</si>
  <si>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</si>
  <si>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</si>
  <si>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</si>
  <si>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</si>
  <si>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</si>
  <si>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</si>
  <si>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</si>
  <si>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</si>
  <si>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</si>
  <si>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</si>
  <si>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</si>
  <si>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</si>
  <si>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</si>
  <si>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</si>
  <si>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</si>
  <si>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</si>
  <si>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</si>
  <si>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</si>
  <si>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</si>
  <si>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</si>
  <si>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</si>
  <si>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</si>
  <si>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</si>
  <si>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</si>
  <si>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</si>
  <si>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</si>
  <si>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</si>
  <si>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</si>
  <si>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</si>
  <si>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</si>
  <si>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</si>
  <si>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</si>
  <si>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</si>
  <si>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</si>
  <si>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</si>
  <si>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</si>
  <si>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</si>
  <si>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</si>
  <si>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</si>
  <si>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</si>
  <si>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</si>
  <si>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</si>
  <si>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</si>
  <si>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</si>
  <si>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</si>
  <si>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</si>
  <si>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</si>
  <si>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</si>
  <si>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</si>
  <si>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</si>
  <si>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</si>
  <si>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</si>
  <si>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</si>
  <si>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</si>
  <si>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</si>
  <si>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</si>
  <si>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</si>
  <si>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</si>
  <si>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</si>
  <si>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</si>
  <si>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</si>
  <si>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</si>
  <si>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</si>
  <si>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</si>
  <si>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</si>
  <si>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</si>
  <si>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</si>
  <si>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</si>
  <si>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</si>
  <si>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</si>
  <si>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</si>
  <si>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</si>
  <si>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</si>
  <si>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</si>
  <si>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</si>
  <si>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</si>
  <si>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</si>
  <si>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</si>
  <si>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</si>
  <si>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</si>
  <si>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</si>
  <si>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</si>
  <si>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</si>
  <si>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</si>
  <si>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</si>
  <si>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</si>
  <si>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</si>
  <si>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</si>
  <si>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</si>
  <si>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</si>
  <si>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</si>
  <si>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</si>
  <si>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</si>
  <si>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</si>
  <si>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</si>
  <si>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</si>
  <si>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</si>
  <si>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</si>
  <si>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</si>
  <si>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</si>
  <si>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</si>
  <si>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</si>
  <si>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</si>
  <si>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</si>
  <si>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</si>
  <si>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</si>
  <si>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</si>
  <si>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</si>
  <si>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</si>
  <si>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</si>
  <si>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</si>
  <si>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</si>
  <si>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</si>
  <si>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</si>
  <si>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</si>
  <si>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</si>
  <si>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</si>
  <si>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</si>
  <si>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</si>
  <si>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</si>
  <si>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</si>
  <si>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</si>
  <si>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</si>
  <si>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</si>
  <si>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</si>
  <si>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</si>
  <si>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</si>
  <si>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</si>
  <si>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</si>
  <si>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</si>
  <si>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</si>
  <si>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</si>
  <si>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</si>
  <si>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</si>
  <si>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</si>
  <si>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</si>
  <si>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</si>
  <si>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</si>
  <si>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</si>
  <si>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</si>
  <si>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</si>
  <si>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</si>
  <si>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</si>
  <si>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</si>
  <si>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</si>
  <si>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</si>
  <si>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</si>
  <si>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</si>
  <si>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</si>
  <si>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</si>
  <si>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</si>
  <si>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</si>
  <si>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</si>
  <si>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</si>
  <si>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</si>
  <si>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</si>
  <si>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</si>
  <si>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</si>
  <si>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</si>
  <si>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</si>
  <si>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</si>
  <si>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</si>
  <si>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</si>
  <si>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</si>
  <si>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</si>
  <si>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</si>
  <si>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</si>
  <si>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</si>
  <si>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</si>
  <si>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</si>
  <si>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</si>
  <si>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</si>
  <si>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</si>
  <si>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</si>
  <si>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</si>
  <si>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</si>
  <si>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</si>
  <si>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</si>
  <si>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</si>
  <si>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</si>
  <si>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</si>
  <si>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</si>
  <si>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</si>
  <si>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</si>
  <si>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</si>
  <si>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</si>
  <si>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</si>
  <si>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</si>
  <si>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</si>
  <si>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</si>
  <si>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</si>
  <si>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</si>
  <si>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</si>
  <si>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</si>
  <si>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</si>
  <si>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</si>
  <si>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</si>
  <si>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</si>
  <si>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</si>
  <si>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</si>
  <si>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</si>
  <si>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</si>
  <si>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</si>
  <si>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</si>
  <si>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</si>
  <si>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</si>
  <si>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</si>
  <si>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</si>
  <si>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</si>
  <si>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</si>
  <si>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</si>
  <si>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</si>
  <si>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</si>
  <si>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</si>
  <si>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</si>
  <si>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</si>
  <si>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</si>
  <si>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</si>
  <si>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</si>
  <si>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</si>
  <si>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</si>
  <si>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</si>
  <si>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</si>
  <si>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</si>
  <si>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</si>
  <si>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</si>
  <si>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</si>
  <si>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</si>
  <si>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</si>
  <si>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</si>
  <si>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</si>
  <si>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</si>
  <si>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</si>
  <si>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</si>
  <si>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</si>
  <si>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</si>
  <si>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</si>
  <si>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</si>
  <si>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</si>
  <si>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</si>
  <si>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</si>
  <si>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</si>
  <si>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</si>
  <si>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</si>
  <si>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</si>
  <si>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</si>
  <si>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</si>
  <si>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</si>
  <si>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</si>
  <si>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</si>
  <si>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</si>
  <si>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</si>
  <si>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</si>
  <si>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</si>
  <si>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</si>
  <si>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</si>
  <si>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</si>
  <si>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</si>
  <si>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</si>
  <si>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</si>
  <si>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</si>
  <si>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</si>
  <si>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</si>
  <si>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</si>
  <si>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</si>
  <si>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</si>
  <si>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</si>
  <si>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</si>
  <si>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</si>
  <si>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</si>
  <si>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</si>
  <si>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</si>
  <si>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</si>
  <si>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</si>
  <si>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</si>
  <si>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</si>
  <si>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</si>
  <si>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</si>
  <si>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</si>
  <si>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</si>
  <si>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</si>
  <si>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</si>
  <si>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</si>
  <si>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</si>
  <si>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</si>
  <si>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</si>
  <si>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</si>
  <si>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</si>
  <si>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</si>
  <si>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</si>
  <si>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</si>
  <si>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</si>
  <si>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</si>
  <si>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</si>
  <si>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</si>
  <si>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</si>
  <si>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</si>
  <si>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</si>
  <si>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</si>
  <si>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</si>
  <si>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</si>
  <si>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</si>
  <si>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</si>
  <si>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</si>
  <si>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</si>
  <si>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</si>
  <si>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</si>
  <si>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</si>
  <si>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</si>
  <si>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</si>
  <si>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</si>
  <si>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</si>
  <si>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</si>
  <si>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</si>
  <si>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</si>
  <si>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</si>
  <si>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</si>
  <si>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</si>
  <si>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</si>
  <si>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</si>
  <si>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</si>
  <si>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</si>
  <si>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</si>
  <si>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</si>
  <si>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</si>
  <si>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</si>
  <si>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</si>
  <si>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</si>
  <si>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</si>
  <si>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</si>
  <si>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</si>
  <si>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</si>
  <si>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</si>
  <si>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</si>
  <si>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</si>
  <si>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</si>
  <si>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</si>
  <si>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</si>
  <si>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</si>
  <si>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</si>
  <si>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</si>
  <si>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</si>
  <si>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</si>
  <si>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</si>
  <si>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</si>
  <si>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</si>
  <si>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</si>
  <si>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</si>
  <si>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</si>
  <si>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</si>
  <si>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</si>
  <si>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</si>
  <si>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</si>
  <si>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</si>
  <si>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</si>
  <si>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</si>
  <si>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</si>
  <si>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</si>
  <si>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</si>
  <si>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</si>
  <si>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</si>
  <si>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</si>
  <si>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</si>
  <si>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</si>
  <si>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</si>
  <si>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</si>
  <si>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</si>
  <si>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</si>
  <si>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</si>
  <si>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</si>
  <si>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</si>
  <si>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</si>
  <si>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</si>
  <si>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</si>
  <si>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</si>
  <si>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</si>
  <si>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</si>
  <si>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</si>
  <si>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</si>
  <si>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</si>
  <si>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</si>
  <si>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</si>
  <si>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</si>
  <si>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</si>
  <si>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</si>
  <si>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</si>
  <si>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</si>
  <si>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</si>
  <si>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</si>
  <si>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</si>
  <si>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</si>
  <si>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</si>
  <si>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</si>
  <si>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</si>
  <si>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</si>
  <si>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</si>
  <si>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</si>
  <si>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</si>
  <si>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</si>
  <si>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</si>
  <si>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</si>
  <si>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</si>
  <si>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</si>
  <si>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</si>
  <si>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</si>
  <si>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</si>
  <si>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</si>
  <si>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</si>
  <si>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</si>
  <si>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</si>
  <si>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</si>
  <si>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</si>
  <si>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</si>
  <si>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</si>
  <si>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</si>
  <si>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</si>
  <si>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</si>
  <si>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</si>
  <si>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</si>
  <si>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</si>
  <si>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</si>
  <si>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</si>
  <si>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</si>
  <si>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</si>
  <si>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</si>
  <si>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</si>
  <si>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</si>
  <si>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</si>
  <si>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</si>
  <si>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</si>
  <si>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</si>
  <si>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</si>
  <si>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</si>
  <si>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</si>
  <si>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</si>
  <si>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</si>
  <si>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</si>
  <si>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</si>
  <si>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</si>
  <si>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</si>
  <si>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</si>
  <si>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</si>
  <si>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</si>
  <si>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</si>
  <si>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</si>
  <si>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</si>
  <si>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</si>
  <si>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</si>
  <si>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</si>
  <si>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</si>
  <si>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</si>
  <si>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</si>
  <si>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</si>
  <si>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</si>
  <si>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</si>
  <si>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</si>
  <si>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</si>
  <si>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</si>
  <si>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</si>
  <si>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</si>
  <si>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</si>
  <si>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</si>
  <si>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</si>
  <si>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</si>
  <si>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</si>
  <si>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</si>
  <si>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</si>
  <si>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</si>
  <si>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</si>
  <si>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</si>
  <si>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</si>
  <si>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</si>
  <si>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</si>
  <si>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</si>
  <si>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</si>
  <si>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</si>
  <si>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</si>
  <si>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</si>
  <si>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</si>
  <si>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</si>
  <si>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</si>
  <si>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</si>
  <si>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</si>
  <si>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</si>
  <si>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</si>
  <si>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</si>
  <si>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</si>
  <si>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</si>
  <si>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</si>
  <si>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</si>
  <si>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</si>
  <si>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</si>
  <si>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</si>
  <si>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</si>
  <si>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</si>
  <si>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</si>
  <si>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</si>
  <si>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</si>
  <si>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</si>
  <si>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</si>
  <si>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</si>
  <si>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</si>
  <si>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</si>
  <si>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</si>
  <si>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</si>
  <si>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</si>
  <si>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</si>
  <si>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</si>
  <si>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</si>
  <si>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</si>
  <si>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</si>
  <si>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</si>
  <si>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</si>
  <si>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</si>
  <si>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</si>
  <si>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</si>
  <si>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</si>
  <si>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</si>
  <si>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</si>
  <si>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</si>
  <si>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</si>
  <si>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</si>
  <si>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</si>
  <si>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</si>
  <si>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</si>
  <si>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</si>
  <si>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</si>
  <si>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</si>
  <si>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</si>
  <si>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</si>
  <si>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</si>
  <si>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</si>
  <si>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</si>
  <si>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</si>
  <si>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</si>
  <si>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</si>
  <si>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</si>
  <si>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</si>
  <si>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</si>
  <si>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</si>
  <si>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</si>
  <si>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</si>
  <si>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</si>
  <si>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</si>
  <si>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</si>
  <si>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</si>
  <si>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</si>
  <si>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</si>
  <si>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</si>
  <si>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</si>
  <si>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</si>
  <si>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</si>
  <si>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</si>
  <si>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</si>
  <si>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</si>
  <si>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</si>
  <si>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</si>
  <si>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</si>
  <si>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</si>
  <si>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</si>
  <si>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</si>
  <si>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</si>
  <si>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</si>
  <si>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</si>
  <si>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</si>
  <si>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</si>
  <si>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</si>
  <si>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</si>
  <si>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</si>
  <si>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</si>
  <si>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</si>
  <si>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</si>
  <si>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</si>
  <si>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</si>
  <si>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</si>
  <si>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</si>
  <si>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</si>
  <si>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</si>
  <si>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</si>
  <si>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</si>
  <si>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</si>
  <si>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</si>
  <si>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</si>
  <si>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</si>
  <si>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</si>
  <si>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</si>
  <si>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</si>
  <si>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</si>
  <si>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</si>
  <si>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</si>
  <si>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</si>
  <si>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</si>
  <si>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</si>
  <si>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</si>
  <si>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</si>
  <si>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</si>
  <si>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</si>
  <si>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</si>
  <si>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</si>
  <si>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</si>
  <si>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</si>
  <si>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</si>
  <si>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</si>
  <si>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</si>
  <si>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</si>
  <si>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</si>
  <si>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</si>
  <si>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</si>
  <si>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</si>
  <si>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</si>
  <si>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</si>
  <si>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</si>
  <si>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</si>
  <si>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</si>
  <si>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</si>
  <si>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</si>
  <si>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</si>
  <si>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</si>
  <si>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</si>
  <si>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</si>
  <si>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</si>
  <si>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</si>
  <si>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</si>
  <si>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</si>
  <si>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</si>
  <si>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</si>
  <si>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</si>
  <si>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</si>
  <si>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</si>
  <si>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</si>
  <si>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</si>
  <si>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</si>
  <si>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</si>
  <si>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</si>
  <si>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</si>
  <si>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</si>
  <si>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</si>
  <si>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</si>
  <si>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</si>
  <si>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</si>
  <si>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</si>
  <si>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</si>
  <si>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</si>
  <si>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</si>
  <si>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</si>
  <si>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</si>
  <si>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</si>
  <si>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</si>
  <si>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</si>
  <si>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</si>
  <si>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</si>
  <si>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</si>
  <si>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</si>
  <si>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</si>
  <si>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</si>
  <si>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</si>
  <si>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</si>
  <si>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</si>
  <si>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</si>
  <si>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</si>
  <si>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</si>
  <si>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</si>
  <si>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</si>
  <si>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</si>
  <si>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</si>
  <si>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</si>
  <si>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</si>
  <si>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</si>
  <si>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</si>
  <si>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</si>
  <si>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</si>
  <si>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</si>
  <si>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</si>
  <si>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</si>
  <si>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</si>
  <si>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</si>
  <si>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</si>
  <si>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</si>
  <si>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</si>
  <si>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</si>
  <si>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</si>
  <si>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</si>
  <si>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</si>
  <si>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</si>
  <si>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</si>
  <si>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</si>
  <si>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</si>
  <si>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</si>
  <si>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</si>
  <si>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</si>
  <si>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</si>
  <si>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</si>
  <si>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</si>
  <si>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</si>
  <si>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</si>
  <si>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</si>
  <si>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</si>
  <si>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</si>
  <si>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</si>
  <si>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</si>
  <si>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</si>
  <si>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</si>
  <si>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</si>
  <si>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</si>
  <si>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</si>
  <si>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</si>
  <si>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</si>
  <si>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</si>
  <si>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</si>
  <si>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</si>
  <si>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</si>
  <si>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</si>
  <si>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</si>
  <si>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</si>
  <si>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</si>
  <si>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</si>
  <si>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</si>
  <si>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</si>
  <si>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</si>
  <si>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</si>
  <si>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</si>
  <si>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</si>
  <si>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</si>
  <si>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</si>
  <si>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</si>
  <si>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</si>
  <si>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</si>
  <si>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</si>
  <si>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</si>
  <si>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</si>
  <si>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</si>
  <si>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</si>
  <si>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</si>
  <si>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</si>
  <si>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</si>
  <si>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</si>
  <si>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</si>
  <si>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</si>
  <si>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</si>
  <si>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</si>
  <si>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</si>
  <si>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</si>
  <si>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</si>
  <si>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</si>
  <si>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</si>
  <si>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</si>
  <si>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</si>
  <si>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</si>
  <si>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</si>
  <si>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</si>
  <si>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</si>
  <si>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</si>
  <si>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</si>
  <si>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</si>
  <si>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</si>
  <si>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</si>
  <si>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</si>
  <si>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</si>
  <si>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</si>
  <si>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</si>
  <si>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</si>
  <si>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</si>
  <si>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</si>
  <si>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</si>
  <si>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</si>
  <si>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</si>
  <si>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</si>
  <si>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</si>
  <si>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</si>
  <si>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</si>
  <si>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</si>
  <si>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</si>
  <si>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</si>
  <si>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</si>
  <si>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</si>
  <si>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</si>
  <si>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</si>
  <si>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</si>
  <si>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</si>
  <si>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</si>
  <si>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</si>
  <si>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</si>
  <si>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</si>
  <si>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</si>
  <si>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</si>
  <si>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</si>
  <si>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</si>
  <si>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</si>
  <si>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</si>
  <si>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</si>
  <si>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</si>
  <si>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</si>
  <si>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</si>
  <si>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</si>
  <si>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</si>
  <si>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</si>
  <si>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</si>
  <si>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</si>
  <si>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</si>
  <si>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</si>
  <si>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</si>
  <si>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</si>
  <si>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</si>
  <si>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</si>
  <si>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</si>
  <si>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</si>
  <si>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</si>
  <si>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</si>
  <si>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</si>
  <si>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</si>
  <si>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</si>
  <si>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</si>
  <si>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</si>
  <si>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</si>
  <si>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</si>
  <si>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</si>
  <si>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</si>
  <si>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</si>
  <si>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</si>
  <si>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</si>
  <si>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</si>
  <si>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</si>
  <si>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</si>
  <si>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</si>
  <si>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</si>
  <si>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</si>
  <si>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</si>
  <si>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</si>
  <si>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</si>
  <si>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</si>
  <si>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</si>
  <si>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</si>
  <si>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</si>
  <si>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</si>
  <si>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</si>
  <si>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</si>
  <si>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</si>
  <si>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</si>
  <si>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</si>
  <si>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</si>
  <si>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</si>
  <si>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</si>
  <si>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</si>
  <si>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</si>
  <si>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</si>
  <si>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</si>
  <si>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</si>
  <si>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</si>
  <si>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</si>
  <si>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</si>
  <si>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</si>
  <si>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</si>
  <si>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</si>
  <si>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</si>
  <si>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</si>
  <si>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</si>
  <si>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</si>
  <si>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</si>
  <si>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</si>
  <si>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</si>
  <si>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</si>
  <si>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</si>
  <si>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</si>
  <si>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</si>
  <si>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</si>
  <si>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</si>
  <si>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</si>
  <si>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</si>
  <si>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</si>
  <si>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</si>
  <si>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</si>
  <si>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</si>
  <si>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</si>
  <si>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</si>
  <si>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</si>
  <si>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</si>
  <si>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</si>
  <si>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</si>
  <si>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</si>
  <si>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</si>
  <si>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</si>
  <si>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</si>
  <si>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</si>
  <si>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</si>
  <si>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</si>
  <si>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</si>
  <si>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</si>
  <si>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</si>
  <si>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</si>
  <si>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</si>
  <si>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</si>
  <si>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</si>
  <si>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</si>
  <si>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</si>
  <si>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</si>
  <si>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</si>
  <si>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</si>
  <si>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</si>
  <si>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</si>
  <si>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</si>
  <si>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</si>
  <si>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</si>
  <si>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</si>
  <si>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</si>
  <si>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</si>
  <si>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</si>
  <si>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</si>
  <si>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</si>
  <si>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</si>
  <si>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</si>
  <si>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</si>
  <si>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</si>
  <si>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</si>
  <si>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</si>
  <si>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</si>
  <si>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</si>
  <si>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</si>
  <si>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</si>
  <si>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</si>
  <si>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</si>
  <si>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</si>
  <si>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</si>
  <si>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</si>
  <si>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</si>
  <si>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</si>
  <si>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</si>
  <si>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</si>
  <si>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</si>
  <si>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</si>
  <si>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</si>
  <si>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</si>
  <si>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</si>
  <si>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</si>
  <si>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</si>
  <si>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</si>
  <si>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</si>
  <si>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</si>
  <si>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</si>
  <si>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</si>
  <si>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</si>
  <si>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</si>
  <si>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</si>
  <si>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</si>
  <si>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</si>
  <si>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</si>
  <si>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</si>
  <si>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</si>
  <si>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</si>
  <si>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</si>
  <si>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</si>
  <si>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</si>
  <si>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</si>
  <si>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</si>
  <si>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</si>
  <si>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</si>
  <si>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</si>
  <si>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</si>
  <si>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</si>
  <si>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</si>
  <si>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</si>
  <si>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</si>
  <si>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</si>
  <si>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</si>
  <si>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</si>
  <si>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</si>
  <si>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</si>
  <si>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</si>
  <si>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</si>
  <si>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</si>
  <si>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</si>
  <si>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</si>
  <si>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</si>
  <si>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</si>
  <si>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</si>
  <si>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</si>
  <si>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</si>
  <si>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</si>
  <si>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</si>
  <si>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</si>
  <si>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</si>
  <si>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</si>
  <si>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</si>
  <si>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</si>
  <si>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</si>
  <si>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</si>
  <si>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</si>
  <si>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</si>
  <si>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</si>
  <si>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</si>
  <si>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</si>
  <si>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</si>
  <si>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</si>
  <si>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</si>
  <si>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</si>
  <si>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</si>
  <si>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</si>
  <si>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</si>
  <si>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</si>
  <si>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</si>
  <si>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</si>
  <si>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</si>
  <si>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</si>
  <si>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</si>
  <si>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</si>
  <si>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</si>
  <si>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</si>
  <si>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</si>
  <si>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</si>
  <si>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</si>
  <si>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</si>
  <si>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</si>
  <si>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</si>
  <si>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</si>
  <si>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</si>
  <si>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</si>
  <si>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</si>
  <si>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</si>
  <si>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</si>
  <si>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</si>
  <si>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</si>
  <si>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</si>
  <si>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</si>
  <si>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</si>
  <si>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</si>
  <si>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</si>
  <si>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</si>
  <si>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</si>
  <si>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</si>
  <si>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</si>
  <si>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</si>
  <si>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</si>
  <si>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</si>
  <si>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</si>
  <si>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</si>
  <si>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</si>
  <si>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</si>
  <si>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</si>
  <si>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</si>
  <si>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</si>
  <si>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</si>
  <si>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</si>
  <si>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</si>
  <si>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</si>
  <si>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</si>
  <si>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</si>
  <si>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</si>
  <si>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</si>
  <si>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</si>
  <si>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</si>
  <si>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</si>
  <si>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</si>
  <si>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</si>
  <si>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</si>
  <si>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</si>
  <si>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</si>
  <si>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</si>
  <si>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</si>
  <si>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</si>
  <si>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</si>
  <si>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</si>
  <si>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</si>
  <si>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</si>
  <si>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</si>
  <si>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</si>
  <si>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</si>
  <si>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</si>
  <si>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</si>
  <si>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</si>
  <si>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</si>
  <si>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</si>
  <si>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</si>
  <si>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</si>
  <si>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</si>
  <si>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</si>
  <si>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</si>
  <si>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</si>
  <si>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</si>
  <si>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</si>
  <si>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</si>
  <si>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</si>
  <si>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</si>
  <si>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</si>
  <si>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</si>
  <si>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</si>
  <si>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</si>
  <si>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</si>
  <si>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</si>
  <si>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</si>
  <si>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</si>
  <si>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</si>
  <si>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</si>
  <si>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</si>
  <si>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</si>
  <si>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</si>
  <si>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</si>
  <si>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</si>
  <si>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</si>
  <si>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</si>
  <si>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</si>
  <si>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</si>
  <si>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</si>
  <si>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</si>
  <si>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</si>
  <si>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</si>
  <si>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</si>
  <si>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</si>
  <si>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</si>
  <si>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</si>
  <si>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</si>
  <si>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</si>
  <si>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</si>
  <si>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</si>
  <si>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</si>
  <si>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</si>
  <si>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</si>
  <si>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</si>
  <si>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</si>
  <si>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</si>
  <si>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</si>
  <si>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</si>
  <si>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</si>
  <si>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</si>
  <si>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</si>
  <si>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</si>
  <si>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</si>
  <si>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</si>
  <si>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</si>
  <si>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</si>
  <si>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</si>
  <si>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</si>
  <si>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</si>
  <si>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</si>
  <si>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</si>
  <si>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</si>
  <si>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</si>
  <si>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</si>
  <si>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</si>
  <si>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</si>
  <si>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</si>
  <si>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</si>
  <si>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</si>
  <si>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</si>
  <si>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</si>
  <si>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</si>
  <si>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</si>
  <si>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</si>
  <si>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</si>
  <si>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</si>
  <si>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</si>
  <si>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</si>
  <si>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</si>
  <si>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</si>
  <si>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</si>
  <si>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</si>
  <si>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</si>
  <si>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</si>
  <si>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</si>
  <si>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</si>
  <si>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</si>
  <si>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</si>
  <si>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</si>
  <si>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</si>
  <si>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</si>
  <si>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</si>
  <si>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</si>
  <si>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</si>
  <si>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</si>
  <si>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</si>
  <si>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</si>
  <si>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</si>
  <si>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</si>
  <si>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</si>
  <si>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</si>
  <si>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</si>
  <si>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</si>
  <si>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</si>
  <si>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</si>
  <si>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</si>
  <si>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</si>
  <si>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</si>
  <si>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</si>
  <si>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</si>
  <si>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</si>
  <si>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</si>
  <si>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</si>
  <si>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</si>
  <si>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</si>
  <si>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</si>
  <si>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</si>
  <si>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</si>
  <si>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</si>
  <si>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</si>
  <si>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</si>
  <si>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</si>
  <si>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</si>
  <si>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</si>
  <si>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</si>
  <si>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</si>
  <si>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</si>
  <si>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</si>
  <si>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</si>
  <si>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</si>
  <si>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</si>
  <si>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</si>
  <si>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</si>
  <si>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</si>
  <si>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</si>
  <si>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</si>
  <si>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</si>
  <si>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</si>
  <si>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</si>
  <si>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</si>
  <si>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</si>
  <si>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</si>
  <si>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</si>
  <si>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</si>
  <si>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</si>
  <si>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</si>
  <si>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</si>
  <si>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</si>
  <si>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</si>
  <si>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</si>
  <si>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</si>
  <si>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</si>
  <si>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</si>
  <si>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</si>
  <si>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</si>
  <si>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</si>
  <si>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</si>
  <si>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</si>
  <si>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</si>
  <si>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</si>
  <si>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</si>
  <si>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</si>
  <si>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</si>
  <si>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</si>
  <si>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</si>
  <si>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</si>
  <si>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</si>
  <si>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</si>
  <si>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</si>
  <si>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</si>
  <si>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</si>
  <si>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</si>
  <si>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</si>
  <si>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</si>
  <si>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</si>
  <si>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</si>
  <si>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</si>
  <si>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</si>
  <si>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</si>
  <si>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</si>
  <si>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</si>
  <si>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</si>
  <si>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</si>
  <si>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</si>
  <si>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</si>
  <si>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</si>
  <si>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</si>
  <si>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</si>
  <si>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</si>
  <si>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</si>
  <si>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</si>
  <si>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</si>
  <si>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</si>
  <si>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</si>
  <si>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</si>
  <si>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</si>
  <si>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</si>
  <si>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</si>
  <si>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</si>
  <si>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</si>
  <si>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</si>
  <si>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</si>
  <si>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</si>
  <si>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</si>
  <si>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</si>
  <si>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</si>
  <si>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</si>
  <si>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</si>
  <si>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</si>
  <si>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</si>
  <si>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</si>
  <si>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</si>
  <si>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</si>
  <si>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</si>
  <si>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</si>
  <si>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</si>
  <si>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</si>
  <si>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</si>
  <si>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</si>
  <si>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</si>
  <si>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</si>
  <si>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</si>
  <si>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</si>
  <si>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</si>
  <si>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</si>
  <si>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</si>
  <si>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</si>
  <si>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</si>
  <si>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</si>
  <si>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</si>
  <si>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</si>
  <si>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</si>
  <si>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</si>
  <si>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</si>
  <si>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</si>
  <si>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</si>
  <si>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</si>
  <si>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</si>
  <si>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</si>
  <si>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</si>
  <si>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</si>
  <si>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</si>
  <si>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</si>
  <si>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</si>
  <si>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</si>
  <si>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</si>
  <si>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</si>
  <si>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</si>
  <si>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</si>
  <si>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</si>
  <si>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</si>
  <si>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</si>
  <si>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</si>
  <si>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</si>
  <si>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</si>
  <si>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</si>
  <si>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</si>
  <si>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</si>
  <si>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</si>
  <si>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</si>
  <si>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</si>
  <si>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</si>
  <si>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</si>
  <si>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</si>
  <si>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</si>
  <si>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</si>
  <si>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</si>
  <si>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</si>
  <si>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</si>
  <si>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</si>
  <si>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</si>
  <si>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</si>
  <si>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</si>
  <si>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</si>
  <si>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</si>
  <si>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</si>
  <si>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</si>
  <si>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</si>
  <si>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</si>
  <si>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</si>
  <si>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</si>
  <si>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</si>
  <si>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</si>
  <si>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</si>
  <si>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</si>
  <si>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</si>
  <si>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</si>
  <si>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</si>
  <si>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</si>
  <si>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</si>
  <si>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</si>
  <si>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</si>
  <si>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</si>
  <si>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</si>
  <si>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</si>
  <si>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</si>
  <si>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</si>
  <si>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</si>
  <si>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</si>
  <si>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</si>
  <si>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</si>
  <si>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</si>
  <si>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</si>
  <si>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</si>
  <si>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</si>
  <si>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</si>
  <si>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</si>
  <si>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</si>
  <si>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</si>
  <si>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</si>
  <si>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</si>
  <si>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</si>
  <si>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</si>
  <si>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</si>
  <si>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</si>
  <si>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</si>
  <si>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</si>
  <si>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</si>
  <si>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</si>
  <si>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</si>
  <si>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</si>
  <si>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</si>
  <si>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</si>
  <si>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</si>
  <si>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</si>
  <si>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</si>
  <si>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</si>
  <si>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</si>
  <si>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</si>
  <si>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</si>
  <si>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</si>
  <si>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</si>
  <si>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</si>
  <si>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</si>
  <si>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</si>
  <si>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</si>
  <si>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</si>
  <si>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</si>
  <si>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</si>
  <si>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</si>
  <si>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</si>
  <si>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</si>
  <si>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</si>
  <si>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</si>
  <si>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</si>
  <si>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</si>
  <si>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</si>
  <si>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</si>
  <si>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</si>
  <si>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</si>
  <si>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</si>
  <si>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</si>
  <si>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</si>
  <si>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</si>
  <si>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</si>
  <si>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</si>
  <si>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</si>
  <si>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</si>
  <si>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</si>
  <si>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</si>
  <si>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</si>
  <si>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</si>
  <si>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</si>
  <si>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</si>
  <si>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</si>
  <si>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</si>
  <si>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</si>
  <si>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</si>
  <si>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</si>
  <si>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</si>
  <si>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</si>
  <si>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</si>
  <si>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</si>
  <si>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</si>
  <si>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</si>
  <si>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</si>
  <si>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</si>
  <si>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</si>
  <si>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</si>
  <si>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</si>
  <si>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</si>
  <si>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</si>
  <si>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</si>
  <si>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</si>
  <si>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</si>
  <si>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</si>
  <si>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</si>
  <si>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</si>
  <si>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</si>
  <si>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</si>
  <si>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</si>
  <si>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</si>
  <si>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</si>
  <si>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</si>
  <si>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</si>
  <si>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</si>
  <si>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</si>
  <si>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</si>
  <si>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</si>
  <si>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</si>
  <si>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</si>
  <si>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</si>
  <si>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</si>
  <si>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</si>
  <si>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</si>
  <si>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</si>
  <si>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</si>
  <si>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</si>
  <si>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</si>
  <si>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</si>
  <si>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</si>
  <si>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</si>
  <si>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</si>
  <si>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</si>
  <si>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</si>
  <si>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</si>
  <si>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</si>
  <si>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</si>
  <si>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</si>
  <si>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</si>
  <si>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</si>
  <si>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</si>
  <si>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</si>
  <si>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</si>
  <si>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</si>
  <si>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</si>
  <si>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</si>
  <si>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</si>
  <si>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</si>
  <si>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</si>
  <si>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</si>
  <si>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</si>
  <si>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</si>
  <si>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</si>
  <si>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</si>
  <si>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</si>
  <si>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</si>
  <si>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</si>
  <si>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</si>
  <si>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</si>
  <si>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</si>
  <si>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</si>
  <si>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</si>
  <si>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</si>
  <si>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</si>
  <si>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</si>
  <si>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</si>
  <si>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</si>
  <si>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</si>
  <si>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</si>
  <si>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</si>
  <si>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</si>
  <si>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</si>
  <si>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</si>
  <si>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</si>
  <si>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</si>
  <si>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</si>
  <si>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</si>
  <si>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</si>
  <si>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</si>
  <si>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</si>
  <si>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</si>
  <si>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</si>
  <si>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</si>
  <si>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</si>
  <si>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</si>
  <si>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</si>
  <si>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</si>
  <si>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</si>
  <si>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</si>
  <si>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</si>
  <si>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</si>
  <si>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</si>
  <si>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</si>
  <si>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</si>
  <si>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</si>
  <si>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</si>
  <si>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</si>
  <si>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</si>
  <si>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</si>
  <si>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</si>
  <si>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</si>
  <si>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</si>
  <si>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</si>
  <si>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</si>
  <si>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</si>
  <si>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</si>
  <si>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</si>
  <si>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</si>
  <si>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</si>
  <si>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</si>
  <si>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</si>
  <si>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</si>
  <si>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</si>
  <si>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</si>
  <si>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</si>
  <si>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</si>
  <si>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</si>
  <si>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</si>
  <si>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</si>
  <si>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</si>
  <si>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</si>
  <si>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</si>
  <si>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</si>
  <si>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</si>
  <si>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</si>
  <si>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</si>
  <si>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</si>
  <si>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</si>
  <si>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</si>
  <si>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</si>
  <si>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</si>
  <si>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</si>
  <si>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</si>
  <si>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</si>
  <si>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</si>
  <si>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</si>
  <si>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</si>
  <si>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</si>
  <si>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</si>
  <si>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</si>
  <si>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</si>
  <si>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</si>
  <si>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</si>
  <si>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</si>
  <si>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</si>
  <si>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</si>
  <si>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</si>
  <si>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</si>
  <si>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</si>
  <si>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</si>
  <si>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</si>
  <si>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</si>
  <si>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</si>
  <si>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</si>
  <si>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</si>
  <si>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</si>
  <si>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</si>
  <si>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</si>
  <si>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</si>
  <si>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</si>
  <si>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</si>
  <si>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</si>
  <si>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</si>
  <si>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</si>
  <si>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</si>
  <si>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</si>
  <si>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</si>
  <si>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</si>
  <si>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</si>
  <si>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</si>
  <si>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</si>
  <si>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</si>
  <si>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</si>
  <si>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</si>
  <si>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</si>
  <si>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</si>
  <si>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</si>
  <si>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</si>
  <si>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</si>
  <si>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</si>
  <si>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</si>
  <si>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</si>
  <si>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</si>
  <si>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</si>
  <si>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</si>
  <si>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</si>
  <si>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</si>
  <si>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</si>
  <si>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</si>
  <si>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</si>
  <si>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</si>
  <si>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</si>
  <si>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</si>
  <si>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</si>
  <si>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</si>
  <si>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</si>
  <si>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</si>
  <si>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</si>
  <si>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</si>
  <si>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</si>
  <si>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</si>
  <si>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</si>
  <si>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</si>
  <si>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</si>
  <si>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</si>
  <si>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</si>
  <si>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</si>
  <si>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</si>
  <si>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</si>
  <si>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</si>
  <si>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</si>
  <si>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</si>
  <si>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</si>
  <si>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</si>
  <si>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</si>
  <si>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</si>
  <si>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</si>
  <si>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</si>
  <si>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</si>
  <si>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</si>
  <si>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</si>
  <si>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</si>
  <si>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</si>
  <si>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</si>
  <si>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</si>
  <si>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</si>
  <si>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</si>
  <si>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</si>
  <si>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</si>
  <si>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</si>
  <si>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</si>
  <si>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</si>
  <si>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</si>
  <si>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</si>
  <si>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</si>
  <si>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</si>
  <si>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</si>
  <si>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</si>
  <si>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</si>
  <si>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</si>
  <si>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</si>
  <si>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</si>
  <si>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</si>
  <si>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</si>
  <si>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</si>
  <si>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</si>
  <si>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</si>
  <si>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</si>
  <si>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</si>
  <si>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</si>
  <si>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</si>
  <si>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</si>
  <si>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</si>
  <si>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</si>
  <si>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</si>
  <si>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</si>
  <si>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</si>
  <si>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</si>
  <si>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</si>
  <si>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</si>
  <si>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</si>
  <si>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</si>
  <si>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</si>
  <si>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</si>
  <si>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</si>
  <si>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</si>
  <si>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</si>
  <si>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</si>
  <si>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</si>
  <si>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</si>
  <si>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</si>
  <si>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</si>
  <si>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</si>
  <si>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</si>
  <si>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</si>
  <si>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</si>
  <si>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</si>
  <si>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</si>
  <si>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</si>
  <si>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</si>
  <si>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</si>
  <si>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</si>
  <si>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</si>
  <si>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</si>
  <si>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</si>
  <si>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</si>
  <si>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</si>
  <si>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</si>
  <si>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</si>
  <si>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</si>
  <si>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</si>
  <si>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</si>
  <si>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</si>
  <si>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</si>
  <si>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</si>
  <si>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</si>
  <si>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</si>
  <si>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</si>
  <si>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</si>
  <si>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</si>
  <si>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</si>
  <si>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</si>
  <si>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</si>
  <si>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</si>
  <si>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</si>
  <si>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</si>
  <si>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</si>
  <si>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</si>
  <si>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</si>
  <si>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</si>
  <si>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</si>
  <si>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</si>
  <si>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</si>
  <si>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</si>
  <si>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</si>
  <si>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</si>
  <si>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</si>
  <si>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</si>
  <si>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</si>
  <si>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</si>
  <si>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</si>
  <si>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</si>
  <si>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</si>
  <si>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</si>
  <si>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</si>
  <si>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</si>
  <si>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</si>
  <si>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</si>
  <si>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</si>
  <si>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</si>
  <si>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</si>
  <si>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</si>
  <si>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</si>
  <si>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</si>
  <si>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</si>
  <si>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</si>
  <si>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</si>
  <si>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</si>
  <si>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</si>
  <si>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</si>
  <si>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</si>
  <si>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</si>
  <si>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</si>
  <si>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</si>
  <si>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</si>
  <si>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</si>
  <si>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</si>
  <si>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</si>
  <si>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</si>
  <si>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</si>
  <si>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</si>
  <si>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</si>
  <si>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</si>
  <si>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</si>
  <si>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</si>
  <si>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</si>
  <si>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</si>
  <si>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</si>
  <si>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</si>
  <si>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</si>
  <si>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</si>
  <si>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</si>
  <si>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</si>
  <si>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</si>
  <si>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</si>
  <si>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</si>
  <si>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</si>
  <si>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</si>
  <si>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</si>
  <si>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</si>
  <si>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</si>
  <si>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</si>
  <si>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</si>
  <si>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</si>
  <si>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</si>
  <si>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</si>
  <si>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</si>
  <si>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</si>
  <si>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</si>
  <si>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</si>
  <si>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</si>
  <si>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</si>
  <si>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</si>
  <si>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</si>
  <si>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</si>
  <si>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</si>
  <si>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</si>
  <si>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</si>
  <si>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</si>
  <si>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</si>
  <si>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</si>
  <si>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</si>
  <si>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</si>
  <si>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</si>
  <si>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</si>
  <si>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</si>
  <si>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</si>
  <si>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</si>
  <si>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</si>
  <si>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</si>
  <si>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</si>
  <si>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</si>
  <si>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</si>
  <si>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</si>
  <si>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</si>
  <si>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</si>
  <si>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</si>
  <si>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</si>
  <si>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</si>
  <si>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</si>
  <si>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</si>
  <si>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</si>
  <si>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</si>
  <si>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</si>
  <si>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</si>
  <si>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</si>
  <si>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</si>
  <si>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</si>
  <si>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</si>
  <si>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</si>
  <si>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</si>
  <si>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</si>
  <si>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</si>
  <si>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</si>
  <si>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</si>
  <si>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</si>
  <si>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</si>
  <si>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</si>
  <si>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</si>
  <si>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</si>
  <si>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</si>
  <si>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</si>
  <si>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</si>
  <si>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</si>
  <si>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</si>
  <si>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</si>
  <si>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</si>
  <si>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</si>
  <si>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</si>
  <si>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</si>
  <si>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</si>
  <si>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</si>
  <si>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</si>
  <si>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</si>
  <si>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</si>
  <si>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</si>
  <si>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</si>
  <si>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</si>
  <si>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</si>
  <si>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</si>
  <si>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</si>
  <si>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</si>
  <si>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</si>
  <si>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</si>
  <si>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</si>
  <si>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</si>
  <si>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</si>
  <si>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</si>
  <si>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</si>
  <si>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</si>
  <si>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</si>
  <si>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</si>
  <si>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</si>
  <si>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</si>
  <si>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</si>
  <si>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</si>
  <si>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</si>
  <si>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</si>
  <si>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</si>
  <si>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</si>
  <si>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</si>
  <si>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</si>
  <si>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</si>
  <si>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</si>
  <si>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</si>
  <si>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</si>
  <si>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</si>
  <si>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</si>
  <si>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</si>
  <si>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</si>
  <si>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</si>
  <si>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</si>
  <si>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</si>
  <si>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</si>
  <si>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</si>
  <si>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</si>
  <si>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</si>
  <si>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</si>
  <si>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</si>
  <si>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</si>
  <si>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</si>
  <si>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</si>
  <si>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</si>
  <si>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</si>
  <si>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</si>
  <si>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</si>
  <si>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</si>
  <si>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</si>
  <si>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</si>
  <si>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</si>
  <si>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</si>
  <si>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</si>
  <si>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</si>
  <si>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</si>
  <si>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</si>
  <si>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</si>
  <si>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</si>
  <si>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</si>
  <si>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</si>
  <si>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</si>
  <si>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</si>
  <si>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</si>
  <si>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</si>
  <si>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</si>
  <si>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</si>
  <si>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</si>
  <si>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</si>
  <si>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</si>
  <si>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</si>
  <si>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</si>
  <si>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</si>
  <si>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</si>
  <si>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</si>
  <si>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</si>
  <si>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</si>
  <si>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</si>
  <si>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</si>
  <si>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</si>
  <si>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</si>
  <si>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</si>
  <si>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</si>
  <si>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</si>
  <si>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</si>
  <si>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</si>
  <si>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</si>
  <si>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</si>
  <si>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</si>
  <si>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</si>
  <si>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</si>
  <si>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</si>
  <si>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</si>
  <si>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</si>
  <si>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</si>
  <si>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</si>
  <si>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</si>
  <si>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</si>
  <si>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</si>
  <si>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</si>
  <si>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</si>
  <si>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</si>
  <si>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</si>
  <si>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</si>
  <si>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</si>
  <si>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</si>
  <si>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</si>
  <si>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</si>
  <si>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</si>
  <si>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</si>
  <si>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</si>
  <si>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</si>
  <si>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</si>
  <si>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</si>
  <si>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</si>
  <si>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</si>
  <si>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</si>
  <si>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</si>
  <si>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</si>
  <si>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</si>
  <si>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</si>
  <si>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</si>
  <si>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</si>
  <si>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</si>
  <si>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</si>
  <si>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</si>
  <si>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</si>
  <si>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</si>
  <si>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</si>
  <si>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</si>
  <si>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</si>
  <si>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</si>
  <si>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</si>
  <si>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</si>
  <si>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</si>
  <si>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</si>
  <si>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</si>
  <si>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</si>
  <si>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</si>
  <si>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</si>
  <si>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</si>
  <si>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</si>
  <si>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</si>
  <si>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</si>
  <si>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</si>
  <si>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</si>
  <si>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</si>
  <si>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</si>
  <si>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</si>
  <si>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</si>
  <si>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</si>
  <si>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</si>
  <si>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</si>
  <si>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</si>
  <si>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</si>
  <si>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</si>
  <si>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</si>
  <si>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</si>
  <si>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</si>
  <si>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</si>
  <si>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</si>
  <si>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</si>
  <si>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</si>
  <si>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</si>
  <si>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</si>
  <si>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</si>
  <si>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</si>
  <si>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</si>
  <si>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</si>
  <si>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</si>
  <si>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</si>
  <si>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</si>
  <si>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</si>
  <si>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</si>
  <si>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</si>
  <si>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</si>
  <si>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</si>
  <si>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</si>
  <si>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</si>
  <si>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</si>
  <si>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</si>
  <si>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</si>
  <si>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</si>
  <si>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</si>
  <si>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</si>
  <si>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</si>
  <si>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</si>
  <si>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</si>
  <si>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</si>
  <si>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</si>
  <si>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</si>
  <si>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</si>
  <si>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</si>
  <si>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</si>
  <si>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</si>
  <si>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</si>
  <si>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</si>
  <si>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</si>
  <si>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</si>
  <si>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</si>
  <si>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</si>
  <si>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</si>
  <si>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</si>
  <si>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</si>
  <si>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</si>
  <si>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</si>
  <si>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</si>
  <si>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</si>
  <si>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</si>
  <si>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</si>
  <si>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</si>
  <si>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</si>
  <si>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</si>
  <si>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</si>
  <si>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</si>
  <si>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</si>
  <si>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</si>
  <si>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</si>
  <si>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</si>
  <si>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</si>
  <si>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</si>
  <si>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</si>
  <si>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</si>
  <si>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</si>
  <si>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</si>
  <si>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</si>
  <si>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</si>
  <si>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</si>
  <si>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</si>
  <si>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</si>
  <si>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</si>
  <si>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</si>
  <si>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</si>
  <si>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</si>
  <si>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</si>
  <si>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</si>
  <si>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</si>
  <si>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</si>
  <si>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</si>
  <si>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</si>
  <si>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</si>
  <si>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</si>
  <si>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</si>
  <si>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</si>
  <si>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</si>
  <si>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</si>
  <si>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</si>
  <si>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</si>
  <si>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</si>
  <si>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</si>
  <si>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</si>
  <si>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</si>
  <si>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</si>
  <si>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</si>
  <si>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</si>
  <si>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</si>
  <si>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</si>
  <si>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</si>
  <si>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</si>
  <si>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</si>
  <si>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</si>
  <si>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</si>
  <si>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</si>
  <si>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</si>
  <si>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</si>
  <si>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</si>
  <si>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</si>
  <si>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</si>
  <si>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</si>
  <si>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</si>
  <si>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</si>
  <si>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</si>
  <si>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</si>
  <si>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</si>
  <si>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</si>
  <si>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</si>
  <si>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</si>
  <si>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</si>
  <si>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</si>
  <si>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</si>
  <si>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</si>
  <si>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</si>
  <si>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</si>
  <si>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</si>
  <si>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</si>
  <si>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</si>
  <si>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</si>
  <si>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</si>
  <si>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</si>
  <si>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</si>
  <si>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</si>
  <si>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</si>
  <si>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</si>
  <si>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</si>
  <si>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</si>
  <si>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</si>
  <si>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</si>
  <si>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</si>
  <si>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</si>
  <si>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</si>
  <si>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</si>
  <si>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</si>
  <si>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</si>
  <si>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</si>
  <si>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</si>
  <si>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</si>
  <si>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</si>
  <si>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</si>
  <si>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</si>
  <si>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</si>
  <si>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</si>
  <si>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</si>
  <si>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</si>
  <si>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</si>
  <si>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</si>
  <si>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</si>
  <si>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</si>
  <si>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</si>
  <si>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</si>
  <si>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</si>
  <si>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</si>
  <si>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</si>
  <si>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</si>
  <si>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</si>
  <si>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</si>
  <si>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</si>
  <si>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</si>
  <si>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</si>
  <si>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</si>
  <si>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</si>
  <si>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</si>
  <si>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</si>
  <si>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</si>
  <si>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</si>
  <si>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</si>
  <si>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</si>
  <si>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</si>
  <si>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</si>
  <si>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</si>
  <si>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</si>
  <si>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</si>
  <si>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</si>
  <si>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</si>
  <si>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</si>
  <si>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</si>
  <si>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</si>
  <si>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</si>
  <si>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</si>
  <si>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</si>
  <si>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</si>
  <si>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</si>
  <si>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</si>
  <si>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</si>
  <si>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</si>
  <si>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</si>
  <si>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</si>
  <si>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</si>
  <si>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</si>
  <si>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</si>
  <si>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</si>
  <si>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</si>
  <si>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</si>
  <si>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</si>
  <si>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</si>
  <si>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</si>
  <si>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</si>
  <si>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</si>
  <si>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</si>
  <si>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</si>
  <si>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</si>
  <si>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</si>
  <si>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</si>
  <si>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</si>
  <si>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</si>
  <si>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</si>
  <si>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</si>
  <si>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</si>
  <si>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</si>
  <si>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</si>
  <si>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</si>
  <si>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</si>
  <si>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</si>
  <si>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</si>
  <si>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</si>
  <si>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</si>
  <si>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</si>
  <si>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</si>
  <si>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</si>
  <si>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</si>
  <si>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</si>
  <si>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</si>
  <si>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</si>
  <si>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</si>
  <si>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</si>
  <si>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</si>
  <si>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</si>
  <si>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</si>
  <si>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</si>
  <si>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</si>
  <si>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</si>
  <si>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</si>
  <si>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</si>
  <si>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</si>
  <si>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</si>
  <si>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</si>
  <si>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</si>
  <si>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</si>
  <si>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</si>
  <si>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</si>
  <si>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</si>
  <si>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</si>
  <si>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</si>
  <si>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</si>
  <si>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</si>
  <si>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</si>
  <si>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</si>
  <si>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</si>
  <si>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</si>
  <si>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</si>
  <si>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</si>
  <si>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</si>
  <si>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</si>
  <si>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</si>
  <si>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</si>
  <si>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</si>
  <si>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</si>
  <si>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</si>
  <si>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</si>
  <si>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</si>
  <si>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</si>
  <si>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</si>
  <si>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</si>
  <si>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</si>
  <si>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</si>
  <si>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</si>
  <si>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</si>
  <si>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</si>
  <si>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</si>
  <si>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</si>
  <si>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</si>
  <si>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</si>
  <si>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</si>
  <si>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</si>
  <si>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</si>
  <si>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</si>
  <si>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</si>
  <si>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</si>
  <si>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</si>
  <si>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</si>
  <si>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</si>
  <si>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</si>
  <si>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</si>
  <si>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</si>
  <si>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</si>
  <si>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</si>
  <si>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</si>
  <si>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</si>
  <si>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</si>
  <si>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</si>
  <si>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</si>
  <si>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</si>
  <si>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</si>
  <si>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</si>
  <si>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</si>
  <si>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</si>
  <si>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</si>
  <si>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</si>
  <si>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</si>
  <si>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</si>
  <si>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</si>
  <si>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</si>
  <si>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</si>
  <si>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</si>
  <si>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</si>
  <si>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</si>
  <si>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</si>
  <si>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</si>
  <si>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</si>
  <si>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</si>
  <si>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</si>
  <si>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</si>
  <si>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</si>
  <si>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</si>
  <si>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</si>
  <si>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</si>
  <si>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</si>
  <si>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</si>
  <si>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</si>
  <si>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</si>
  <si>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</si>
  <si>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</si>
  <si>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</si>
  <si>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</si>
  <si>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</si>
  <si>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</si>
  <si>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</si>
  <si>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</si>
  <si>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</si>
  <si>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</si>
  <si>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</si>
  <si>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</si>
  <si>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</si>
  <si>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</si>
  <si>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</si>
  <si>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</si>
  <si>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</si>
  <si>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</si>
  <si>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</si>
  <si>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</si>
  <si>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</si>
  <si>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</si>
  <si>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</si>
  <si>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</si>
  <si>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</si>
  <si>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</si>
  <si>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</si>
  <si>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</si>
  <si>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</si>
  <si>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</si>
  <si>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</si>
  <si>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</si>
  <si>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</si>
  <si>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</si>
  <si>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</si>
  <si>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</si>
  <si>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</si>
  <si>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</si>
  <si>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</si>
  <si>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</si>
  <si>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</si>
  <si>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</si>
  <si>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</si>
  <si>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</si>
  <si>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</si>
  <si>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</si>
  <si>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</si>
  <si>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</si>
  <si>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</si>
  <si>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</si>
  <si>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</si>
  <si>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</si>
  <si>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</si>
  <si>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</si>
  <si>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</si>
  <si>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</si>
  <si>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</si>
  <si>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</si>
  <si>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</si>
  <si>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</si>
  <si>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</si>
  <si>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</si>
  <si>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</si>
  <si>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</si>
  <si>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</si>
  <si>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</si>
  <si>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</si>
  <si>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</si>
  <si>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</si>
  <si>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</si>
  <si>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</si>
  <si>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</si>
  <si>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</si>
  <si>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</si>
  <si>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</si>
  <si>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</si>
  <si>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</si>
  <si>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</si>
  <si>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</si>
  <si>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</si>
  <si>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</si>
  <si>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</si>
  <si>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</si>
  <si>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</si>
  <si>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</si>
  <si>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</si>
  <si>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</si>
  <si>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</si>
  <si>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</si>
  <si>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</si>
  <si>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</si>
  <si>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</si>
  <si>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</si>
  <si>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</si>
  <si>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</si>
  <si>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</si>
  <si>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</si>
  <si>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</si>
  <si>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</si>
  <si>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</si>
  <si>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</si>
  <si>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</si>
  <si>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</si>
  <si>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</si>
  <si>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</si>
  <si>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</si>
  <si>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</si>
  <si>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</si>
  <si>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</si>
  <si>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</si>
  <si>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</si>
  <si>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</si>
  <si>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</si>
  <si>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</si>
  <si>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</si>
  <si>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</si>
  <si>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</si>
  <si>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</si>
  <si>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</si>
  <si>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</si>
  <si>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</si>
  <si>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</si>
  <si>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</si>
  <si>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</si>
  <si>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</si>
  <si>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</si>
  <si>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</si>
  <si>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</si>
  <si>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</si>
  <si>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</si>
  <si>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</si>
  <si>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</si>
  <si>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</si>
  <si>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</si>
  <si>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</si>
  <si>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</si>
  <si>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</si>
  <si>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</si>
  <si>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</si>
  <si>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</si>
  <si>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</si>
  <si>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</si>
  <si>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</si>
  <si>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</si>
  <si>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</si>
  <si>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</si>
  <si>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</si>
  <si>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</si>
  <si>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</si>
  <si>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</si>
  <si>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</si>
  <si>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</si>
  <si>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</si>
  <si>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</si>
  <si>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</si>
  <si>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</si>
  <si>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</si>
  <si>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</si>
  <si>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</si>
  <si>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</si>
  <si>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</si>
  <si>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</si>
  <si>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</si>
  <si>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</si>
  <si>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</si>
  <si>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</si>
  <si>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</si>
  <si>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</si>
  <si>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</si>
  <si>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</si>
  <si>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</si>
  <si>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</si>
  <si>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</si>
  <si>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</si>
  <si>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</si>
  <si>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</si>
  <si>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</si>
  <si>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</si>
  <si>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</si>
  <si>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</si>
  <si>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</si>
  <si>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</si>
  <si>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</si>
  <si>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</si>
  <si>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</si>
  <si>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</si>
  <si>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</si>
  <si>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</si>
  <si>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</si>
  <si>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</si>
  <si>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</si>
  <si>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</si>
  <si>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</si>
  <si>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</si>
  <si>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</si>
  <si>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</si>
  <si>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</si>
  <si>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</si>
  <si>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</si>
  <si>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</si>
  <si>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</si>
  <si>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</si>
  <si>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</si>
  <si>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</si>
  <si>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</si>
  <si>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</si>
  <si>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</si>
  <si>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</si>
  <si>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</si>
  <si>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</si>
  <si>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</si>
  <si>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</si>
  <si>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</si>
  <si>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</si>
  <si>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</si>
  <si>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</si>
  <si>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</si>
  <si>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</si>
  <si>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</si>
  <si>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</si>
  <si>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</si>
  <si>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</si>
  <si>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</si>
  <si>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</si>
  <si>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</si>
  <si>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</si>
  <si>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</si>
  <si>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</si>
  <si>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</si>
  <si>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</si>
  <si>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</si>
  <si>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</si>
  <si>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</si>
  <si>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</si>
  <si>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</si>
  <si>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</si>
  <si>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</si>
  <si>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</si>
  <si>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</si>
  <si>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</si>
  <si>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</si>
  <si>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</si>
  <si>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</si>
  <si>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</si>
  <si>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</si>
  <si>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</si>
  <si>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</si>
  <si>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</si>
  <si>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</si>
  <si>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</si>
  <si>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</si>
  <si>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</si>
  <si>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</si>
  <si>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</si>
  <si>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</si>
  <si>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</si>
  <si>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</si>
  <si>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</si>
  <si>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</si>
  <si>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</si>
  <si>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</si>
  <si>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</si>
  <si>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</si>
  <si>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</si>
  <si>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</si>
  <si>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</si>
  <si>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</si>
  <si>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</si>
  <si>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</si>
  <si>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</si>
  <si>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</si>
  <si>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</si>
  <si>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</si>
  <si>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</si>
  <si>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</si>
  <si>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</si>
  <si>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</si>
  <si>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</si>
  <si>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</si>
  <si>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</si>
  <si>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</si>
  <si>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</si>
  <si>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</si>
  <si>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</si>
  <si>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</si>
  <si>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</si>
  <si>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</si>
  <si>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</si>
  <si>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</si>
  <si>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</si>
  <si>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</si>
  <si>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</si>
  <si>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</si>
  <si>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</si>
  <si>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</si>
  <si>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</si>
  <si>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</si>
  <si>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</si>
  <si>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</si>
  <si>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</si>
  <si>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</si>
  <si>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</si>
  <si>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</si>
  <si>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</si>
  <si>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</si>
  <si>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</si>
  <si>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</si>
  <si>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</si>
  <si>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</si>
  <si>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</si>
  <si>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</si>
  <si>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</si>
  <si>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</si>
  <si>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</si>
  <si>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</si>
  <si>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</si>
  <si>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</si>
  <si>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</si>
  <si>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</si>
  <si>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</si>
  <si>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</si>
  <si>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</si>
  <si>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</si>
  <si>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</si>
  <si>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</si>
  <si>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</si>
  <si>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</si>
  <si>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</si>
  <si>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</si>
  <si>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</si>
  <si>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</si>
  <si>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</si>
  <si>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</si>
  <si>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</si>
  <si>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</si>
  <si>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</si>
  <si>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</si>
  <si>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</si>
  <si>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</si>
  <si>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</si>
  <si>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</si>
  <si>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</si>
  <si>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</si>
  <si>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</si>
  <si>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</si>
  <si>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</si>
  <si>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</si>
  <si>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</si>
  <si>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</si>
  <si>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</si>
  <si>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</si>
  <si>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</si>
  <si>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</si>
  <si>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</si>
  <si>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</si>
  <si>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</si>
  <si>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</si>
  <si>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</si>
  <si>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</si>
  <si>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</si>
  <si>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</si>
  <si>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</si>
  <si>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</si>
  <si>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</si>
  <si>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</si>
  <si>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</si>
  <si>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</si>
  <si>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</si>
  <si>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</si>
  <si>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</si>
  <si>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</si>
  <si>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</si>
  <si>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</si>
  <si>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</si>
  <si>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</si>
  <si>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</si>
  <si>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</si>
  <si>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</si>
  <si>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</si>
  <si>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</si>
  <si>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</si>
  <si>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</si>
  <si>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</si>
  <si>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</si>
  <si>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</si>
  <si>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</si>
  <si>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</si>
  <si>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</si>
  <si>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</si>
  <si>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</si>
  <si>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</si>
  <si>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</si>
  <si>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</si>
  <si>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</si>
  <si>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</si>
  <si>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</si>
  <si>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</si>
  <si>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</si>
  <si>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</si>
  <si>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</si>
  <si>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</si>
  <si>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</si>
  <si>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</si>
  <si>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</si>
  <si>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</si>
  <si>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</si>
  <si>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</si>
  <si>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</si>
  <si>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</si>
  <si>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</si>
  <si>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</si>
  <si>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</si>
  <si>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</si>
  <si>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</si>
  <si>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</si>
  <si>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</si>
  <si>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</si>
  <si>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</si>
  <si>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</si>
  <si>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</si>
  <si>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</si>
  <si>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</si>
  <si>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</si>
  <si>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</si>
  <si>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</si>
  <si>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</si>
  <si>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</si>
  <si>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</si>
  <si>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</si>
  <si>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</si>
  <si>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</si>
  <si>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</si>
  <si>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</si>
  <si>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</si>
  <si>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</si>
  <si>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</si>
  <si>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</si>
  <si>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</si>
  <si>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</si>
  <si>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</si>
  <si>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</si>
  <si>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</si>
  <si>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</si>
  <si>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</si>
  <si>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</si>
  <si>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</si>
  <si>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</si>
  <si>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</si>
  <si>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</si>
  <si>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</si>
  <si>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</si>
  <si>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</si>
  <si>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</si>
  <si>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</si>
  <si>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</si>
  <si>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</si>
  <si>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</si>
  <si>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</si>
  <si>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</si>
  <si>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</si>
  <si>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</si>
  <si>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</si>
  <si>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</si>
  <si>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</si>
  <si>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</si>
  <si>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</si>
  <si>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</si>
  <si>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</si>
  <si>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</si>
  <si>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</si>
  <si>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</si>
  <si>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</si>
  <si>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</si>
  <si>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</si>
  <si>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</si>
  <si>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</si>
  <si>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</si>
  <si>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</si>
  <si>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</si>
  <si>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</si>
  <si>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</si>
  <si>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</si>
  <si>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</si>
  <si>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</si>
  <si>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</si>
  <si>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</si>
  <si>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</si>
  <si>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</si>
  <si>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</si>
  <si>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</si>
  <si>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</si>
  <si>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</si>
  <si>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</si>
  <si>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</si>
  <si>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</si>
  <si>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</si>
  <si>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</si>
  <si>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</si>
  <si>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</si>
  <si>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</si>
  <si>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</si>
  <si>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</si>
  <si>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</si>
  <si>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</si>
  <si>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</si>
  <si>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</si>
  <si>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</si>
  <si>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</si>
  <si>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</si>
  <si>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</si>
  <si>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</si>
  <si>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</si>
  <si>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</si>
  <si>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</si>
  <si>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</si>
  <si>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</si>
  <si>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</si>
  <si>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</si>
  <si>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</si>
  <si>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</si>
  <si>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</si>
  <si>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</si>
  <si>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</si>
  <si>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</si>
  <si>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</si>
  <si>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</si>
  <si>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</si>
  <si>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</si>
  <si>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</si>
  <si>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</si>
  <si>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</si>
  <si>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</si>
  <si>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</si>
  <si>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</si>
  <si>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</si>
  <si>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</si>
  <si>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</si>
  <si>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</si>
  <si>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</si>
  <si>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</si>
  <si>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</si>
  <si>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</si>
  <si>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</si>
  <si>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</si>
  <si>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</si>
  <si>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</si>
  <si>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</si>
  <si>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</si>
  <si>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</si>
  <si>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</si>
  <si>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</si>
  <si>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</si>
  <si>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</si>
  <si>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</si>
  <si>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</si>
  <si>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</si>
  <si>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</si>
  <si>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</si>
  <si>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</si>
  <si>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</si>
  <si>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</si>
  <si>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</si>
  <si>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</si>
  <si>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</si>
  <si>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</si>
  <si>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</si>
  <si>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</si>
  <si>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</si>
  <si>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</si>
  <si>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</si>
  <si>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</si>
  <si>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</si>
  <si>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</si>
  <si>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</si>
  <si>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</si>
  <si>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</si>
  <si>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</si>
  <si>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</si>
  <si>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</si>
  <si>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</si>
  <si>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</si>
  <si>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</si>
  <si>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</si>
  <si>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</si>
  <si>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</si>
  <si>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</si>
  <si>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</si>
  <si>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</si>
  <si>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</si>
  <si>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</si>
  <si>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</si>
  <si>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</si>
  <si>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</si>
  <si>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</si>
  <si>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</si>
  <si>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</si>
  <si>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</si>
  <si>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</si>
  <si>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</si>
  <si>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</si>
  <si>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</si>
  <si>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</si>
  <si>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</si>
  <si>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</si>
  <si>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</si>
  <si>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</si>
  <si>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</si>
  <si>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</si>
  <si>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</si>
  <si>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</si>
  <si>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</si>
  <si>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</si>
  <si>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</si>
  <si>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</si>
  <si>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</si>
  <si>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</si>
  <si>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</si>
  <si>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</si>
  <si>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</si>
  <si>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</si>
  <si>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</si>
  <si>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</si>
  <si>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</si>
  <si>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</si>
  <si>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</si>
  <si>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</si>
  <si>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</si>
  <si>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</si>
  <si>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</si>
  <si>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</si>
  <si>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</si>
  <si>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</si>
  <si>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</si>
  <si>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</si>
  <si>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</si>
  <si>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</si>
  <si>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</si>
  <si>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</si>
  <si>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</si>
  <si>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</si>
  <si>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</si>
  <si>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</si>
  <si>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</si>
  <si>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</si>
  <si>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</si>
  <si>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</si>
  <si>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</si>
  <si>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</si>
  <si>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</si>
  <si>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</si>
  <si>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</si>
  <si>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</si>
  <si>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</si>
  <si>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</si>
  <si>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</si>
  <si>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</si>
  <si>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</si>
  <si>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</si>
  <si>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</si>
  <si>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</si>
  <si>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</si>
  <si>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</si>
  <si>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</si>
  <si>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</si>
  <si>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</si>
  <si>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</si>
  <si>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</si>
  <si>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</si>
  <si>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</si>
  <si>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</si>
  <si>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</si>
  <si>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</si>
  <si>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</si>
  <si>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</si>
  <si>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</si>
  <si>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</si>
  <si>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</si>
  <si>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</si>
  <si>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</si>
  <si>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</si>
  <si>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</si>
  <si>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</si>
  <si>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</si>
  <si>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</si>
  <si>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</si>
  <si>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</si>
  <si>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</si>
  <si>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</si>
  <si>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</si>
  <si>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</si>
  <si>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</si>
  <si>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</si>
  <si>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</si>
  <si>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</si>
  <si>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</si>
  <si>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</si>
  <si>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</si>
  <si>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</si>
  <si>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</si>
  <si>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</si>
  <si>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</si>
  <si>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</si>
  <si>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</si>
  <si>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</si>
  <si>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</si>
  <si>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</si>
  <si>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</si>
  <si>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</si>
  <si>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</si>
  <si>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</si>
  <si>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</si>
  <si>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</si>
  <si>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</si>
  <si>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</si>
  <si>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</si>
  <si>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</si>
  <si>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</si>
  <si>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</si>
  <si>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</si>
  <si>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</si>
  <si>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</si>
  <si>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</si>
  <si>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</si>
  <si>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</si>
  <si>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</si>
  <si>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</si>
  <si>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</si>
  <si>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</si>
  <si>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</si>
  <si>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</si>
  <si>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</si>
  <si>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</si>
  <si>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</si>
  <si>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</si>
  <si>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</si>
  <si>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</si>
  <si>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</si>
  <si>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</si>
  <si>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</si>
  <si>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</si>
  <si>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</si>
  <si>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</si>
  <si>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</si>
  <si>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</si>
  <si>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</si>
  <si>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</si>
  <si>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</si>
  <si>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</si>
  <si>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</si>
  <si>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</si>
  <si>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</si>
  <si>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</si>
  <si>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</si>
  <si>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</si>
  <si>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</si>
  <si>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</si>
  <si>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</si>
  <si>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</si>
  <si>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</si>
  <si>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</si>
  <si>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</si>
  <si>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</si>
  <si>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</si>
  <si>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</si>
  <si>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</si>
  <si>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</si>
  <si>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</si>
  <si>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</si>
  <si>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</si>
  <si>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</si>
  <si>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</si>
  <si>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</si>
  <si>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</si>
  <si>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</si>
  <si>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</si>
  <si>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</si>
  <si>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</si>
  <si>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</si>
  <si>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</si>
  <si>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</si>
  <si>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</si>
  <si>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</si>
  <si>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</si>
  <si>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</si>
  <si>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</si>
  <si>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</si>
  <si>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</si>
  <si>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</si>
  <si>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</si>
  <si>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</si>
  <si>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</si>
  <si>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</si>
  <si>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</si>
  <si>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</si>
  <si>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</si>
  <si>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</si>
  <si>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</si>
  <si>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</si>
  <si>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</si>
  <si>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</si>
  <si>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</si>
  <si>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</si>
  <si>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</si>
  <si>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</si>
  <si>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</si>
  <si>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</si>
  <si>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</si>
  <si>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</si>
  <si>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</si>
  <si>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</si>
  <si>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</si>
  <si>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</si>
  <si>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</si>
  <si>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</si>
  <si>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</si>
  <si>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</si>
  <si>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</si>
  <si>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</si>
  <si>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</si>
  <si>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</si>
  <si>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</si>
  <si>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</si>
  <si>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</si>
  <si>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</si>
  <si>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</si>
  <si>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</si>
  <si>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</si>
  <si>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</si>
  <si>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</si>
  <si>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</si>
  <si>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</si>
  <si>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</si>
  <si>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</si>
  <si>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</si>
  <si>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</si>
  <si>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</si>
  <si>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</si>
  <si>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</si>
  <si>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</si>
  <si>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</si>
  <si>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</si>
  <si>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</si>
  <si>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</si>
  <si>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</si>
  <si>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</si>
  <si>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</si>
  <si>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</si>
  <si>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</si>
  <si>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</si>
  <si>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</si>
  <si>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</si>
  <si>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</si>
  <si>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</si>
  <si>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</si>
  <si>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</si>
  <si>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</si>
  <si>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</si>
  <si>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</si>
  <si>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</si>
  <si>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</si>
  <si>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</si>
  <si>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</si>
  <si>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</si>
  <si>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</si>
  <si>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</si>
  <si>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</si>
  <si>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</si>
  <si>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</si>
  <si>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</si>
  <si>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</si>
  <si>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</si>
  <si>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</si>
  <si>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</si>
  <si>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</si>
  <si>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</si>
  <si>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</si>
  <si>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</si>
  <si>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</si>
  <si>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</si>
  <si>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</si>
  <si>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</si>
  <si>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</si>
  <si>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</si>
  <si>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</si>
  <si>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</si>
  <si>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</si>
  <si>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</si>
  <si>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</si>
  <si>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</si>
  <si>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</si>
  <si>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</si>
  <si>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</si>
  <si>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</si>
  <si>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</si>
  <si>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</si>
  <si>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</si>
  <si>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</si>
  <si>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</si>
  <si>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</si>
  <si>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</si>
  <si>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</si>
  <si>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</si>
  <si>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</si>
  <si>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</si>
  <si>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</si>
  <si>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</si>
  <si>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</si>
  <si>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</si>
  <si>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</si>
  <si>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</si>
  <si>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</si>
  <si>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</si>
  <si>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</si>
  <si>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</si>
  <si>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</si>
  <si>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</si>
  <si>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</si>
  <si>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</si>
  <si>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</si>
  <si>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</si>
  <si>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</si>
  <si>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</si>
  <si>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</si>
  <si>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</si>
  <si>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</si>
  <si>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</si>
  <si>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</si>
  <si>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</si>
  <si>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</si>
  <si>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</si>
  <si>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</si>
  <si>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</si>
  <si>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</si>
  <si>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</si>
  <si>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</si>
  <si>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</si>
  <si>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</si>
  <si>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</si>
  <si>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</si>
  <si>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</si>
  <si>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</si>
  <si>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</si>
  <si>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</si>
  <si>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</si>
  <si>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</si>
  <si>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</si>
  <si>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</si>
  <si>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</si>
  <si>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</si>
  <si>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</si>
  <si>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</si>
  <si>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</si>
  <si>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</si>
  <si>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</si>
  <si>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</si>
  <si>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</si>
  <si>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</si>
  <si>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</si>
  <si>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</si>
  <si>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</si>
  <si>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</si>
  <si>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</si>
  <si>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</si>
  <si>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</si>
  <si>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</si>
  <si>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</si>
  <si>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</si>
  <si>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</si>
  <si>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</si>
  <si>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</si>
  <si>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</si>
  <si>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</si>
  <si>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</si>
  <si>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</si>
  <si>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</si>
  <si>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</si>
  <si>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</si>
  <si>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</si>
  <si>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</si>
  <si>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</si>
  <si>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</si>
  <si>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</si>
  <si>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</si>
  <si>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</si>
  <si>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</si>
  <si>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</si>
  <si>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</si>
  <si>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</si>
  <si>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</si>
  <si>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</si>
  <si>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</si>
  <si>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</si>
  <si>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</si>
  <si>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</si>
  <si>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</si>
  <si>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</si>
  <si>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</si>
  <si>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</si>
  <si>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</si>
  <si>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</si>
  <si>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</si>
  <si>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</si>
  <si>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</si>
  <si>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</si>
  <si>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</si>
  <si>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</si>
  <si>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</si>
  <si>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</si>
  <si>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</si>
  <si>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</si>
  <si>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</si>
  <si>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</si>
  <si>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</si>
  <si>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</si>
  <si>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</si>
  <si>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</si>
  <si>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</si>
  <si>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</si>
  <si>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</si>
  <si>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</si>
  <si>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</si>
  <si>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</si>
  <si>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</si>
  <si>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</si>
  <si>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</si>
  <si>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</si>
  <si>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</si>
  <si>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</si>
  <si>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</si>
  <si>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</si>
  <si>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</si>
  <si>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</si>
  <si>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</si>
  <si>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</si>
  <si>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</si>
  <si>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</si>
  <si>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</si>
  <si>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</si>
  <si>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</si>
  <si>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</si>
  <si>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</si>
  <si>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</si>
  <si>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</si>
  <si>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</si>
  <si>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</si>
  <si>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</si>
  <si>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</si>
  <si>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</si>
  <si>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</si>
  <si>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</si>
  <si>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</si>
  <si>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</si>
  <si>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</si>
  <si>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</si>
  <si>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</si>
  <si>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</si>
  <si>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</si>
  <si>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</si>
  <si>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</si>
  <si>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</si>
  <si>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</si>
  <si>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</si>
  <si>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</si>
  <si>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</si>
  <si>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</si>
  <si>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</si>
  <si>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</si>
  <si>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</si>
  <si>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</si>
  <si>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</si>
  <si>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</si>
  <si>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</si>
  <si>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</si>
  <si>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</si>
  <si>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</si>
  <si>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</si>
  <si>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</si>
  <si>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</si>
  <si>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</si>
  <si>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</si>
  <si>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</si>
  <si>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</si>
  <si>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</si>
  <si>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</si>
  <si>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</si>
  <si>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</si>
  <si>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</si>
  <si>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</si>
  <si>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</si>
  <si>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</si>
  <si>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</si>
  <si>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</si>
  <si>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</si>
  <si>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</si>
  <si>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</si>
  <si>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</si>
  <si>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</si>
  <si>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</si>
  <si>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</si>
  <si>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</si>
  <si>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</si>
  <si>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</si>
  <si>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</si>
  <si>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</si>
  <si>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</si>
  <si>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</si>
  <si>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</si>
  <si>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</si>
  <si>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</si>
  <si>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</si>
  <si>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</si>
  <si>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</si>
  <si>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</si>
  <si>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</si>
  <si>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</si>
  <si>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</si>
  <si>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</si>
  <si>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</si>
  <si>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</si>
  <si>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</si>
  <si>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</si>
  <si>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</si>
  <si>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</si>
  <si>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</si>
  <si>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</si>
  <si>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</si>
  <si>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</si>
  <si>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</si>
  <si>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</si>
  <si>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</si>
  <si>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</si>
  <si>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</si>
  <si>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</si>
  <si>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</si>
  <si>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</si>
  <si>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</si>
  <si>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</si>
  <si>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</si>
  <si>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</si>
  <si>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</si>
  <si>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</si>
  <si>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</si>
  <si>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</si>
  <si>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</si>
  <si>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</si>
  <si>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</si>
  <si>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</si>
  <si>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</si>
  <si>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</si>
  <si>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</si>
  <si>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</si>
  <si>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</si>
  <si>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</si>
  <si>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</si>
  <si>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</si>
  <si>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</si>
  <si>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</si>
  <si>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</si>
  <si>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</si>
  <si>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</si>
  <si>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</si>
  <si>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</si>
  <si>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</si>
  <si>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</si>
  <si>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</si>
  <si>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</si>
  <si>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</si>
  <si>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</si>
  <si>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</si>
  <si>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</si>
  <si>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</si>
  <si>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</si>
  <si>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</si>
  <si>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</si>
  <si>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</si>
  <si>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</si>
  <si>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</si>
  <si>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</si>
  <si>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</si>
  <si>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</si>
  <si>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</si>
  <si>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</si>
  <si>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</si>
  <si>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</si>
  <si>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</si>
  <si>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</si>
  <si>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</si>
  <si>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</si>
  <si>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</si>
  <si>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</si>
  <si>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</si>
  <si>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</si>
  <si>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</si>
  <si>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</si>
  <si>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</si>
  <si>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</si>
  <si>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</si>
  <si>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</si>
  <si>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</si>
  <si>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</si>
  <si>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</si>
  <si>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</si>
  <si>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</si>
  <si>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</si>
  <si>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</si>
  <si>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</si>
  <si>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</si>
  <si>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</si>
  <si>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</si>
  <si>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</si>
  <si>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</si>
  <si>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</si>
  <si>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</si>
  <si>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</si>
  <si>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</si>
  <si>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</si>
  <si>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</si>
  <si>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</si>
  <si>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</si>
  <si>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</si>
  <si>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</si>
  <si>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</si>
  <si>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</si>
  <si>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</si>
  <si>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</si>
  <si>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</si>
  <si>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</si>
  <si>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</si>
  <si>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</si>
  <si>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</si>
  <si>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</si>
  <si>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</si>
  <si>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</si>
  <si>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</si>
  <si>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</si>
  <si>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</si>
  <si>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</si>
  <si>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</si>
  <si>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</si>
  <si>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</si>
  <si>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</si>
  <si>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</si>
  <si>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</si>
  <si>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</si>
  <si>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</si>
  <si>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</si>
  <si>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</si>
  <si>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</si>
  <si>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</si>
  <si>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</si>
  <si>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</si>
  <si>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</si>
  <si>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</si>
  <si>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</si>
  <si>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</si>
  <si>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</si>
  <si>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</si>
  <si>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</si>
  <si>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</si>
  <si>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</si>
  <si>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</si>
  <si>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</si>
  <si>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</si>
  <si>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</si>
  <si>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</si>
  <si>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</si>
  <si>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</si>
  <si>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</si>
  <si>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</si>
  <si>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</si>
  <si>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</si>
  <si>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</si>
  <si>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</si>
  <si>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</si>
  <si>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</si>
  <si>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</si>
  <si>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</si>
  <si>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</si>
  <si>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</si>
  <si>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</si>
  <si>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</si>
  <si>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</si>
  <si>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</si>
  <si>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</si>
  <si>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</si>
  <si>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</si>
  <si>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</si>
  <si>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</si>
  <si>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</si>
  <si>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</si>
  <si>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</si>
  <si>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</si>
  <si>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</si>
  <si>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</si>
  <si>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</si>
  <si>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</si>
  <si>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</si>
  <si>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</si>
  <si>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</si>
  <si>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</si>
  <si>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</si>
  <si>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</si>
  <si>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</si>
  <si>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</si>
  <si>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</si>
  <si>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</si>
  <si>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</si>
  <si>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</si>
  <si>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</si>
  <si>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</si>
  <si>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</si>
  <si>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</si>
  <si>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</si>
  <si>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</si>
  <si>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</si>
  <si>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</si>
  <si>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</si>
  <si>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</si>
  <si>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</si>
  <si>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</si>
  <si>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</si>
  <si>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</si>
  <si>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</si>
  <si>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</si>
  <si>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</si>
  <si>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</si>
  <si>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</si>
  <si>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</si>
  <si>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</si>
  <si>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</si>
  <si>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</si>
  <si>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</si>
  <si>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</si>
  <si>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</si>
  <si>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</si>
  <si>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</si>
  <si>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</si>
  <si>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</si>
  <si>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</si>
  <si>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</si>
  <si>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</si>
  <si>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</si>
  <si>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</si>
  <si>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</si>
  <si>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</si>
  <si>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</si>
  <si>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</si>
  <si>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</si>
  <si>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</si>
  <si>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</si>
  <si>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</si>
  <si>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</si>
  <si>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</si>
  <si>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</si>
  <si>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</si>
  <si>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</si>
  <si>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</si>
  <si>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</si>
  <si>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</si>
  <si>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</si>
  <si>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</si>
  <si>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</si>
  <si>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</si>
  <si>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</si>
  <si>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</si>
  <si>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</si>
  <si>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</si>
  <si>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</si>
  <si>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</si>
  <si>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</si>
  <si>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</si>
  <si>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</si>
  <si>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</si>
  <si>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</si>
  <si>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</si>
  <si>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</si>
  <si>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</si>
  <si>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</si>
  <si>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</si>
  <si>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</si>
  <si>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</si>
  <si>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</si>
  <si>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</si>
  <si>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</si>
  <si>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</si>
  <si>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</si>
  <si>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</si>
  <si>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</si>
  <si>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</si>
  <si>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</si>
  <si>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</si>
  <si>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</si>
  <si>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</si>
  <si>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</si>
  <si>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</si>
  <si>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</si>
  <si>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</si>
  <si>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</si>
  <si>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</si>
  <si>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</si>
  <si>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</si>
  <si>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</si>
  <si>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</si>
  <si>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</si>
  <si>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</si>
  <si>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</si>
  <si>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</si>
  <si>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</si>
  <si>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</si>
  <si>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</si>
  <si>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</si>
  <si>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</si>
  <si>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</si>
  <si>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</si>
  <si>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</si>
  <si>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</si>
  <si>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</si>
  <si>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</si>
  <si>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</si>
  <si>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</si>
  <si>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</si>
  <si>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</si>
  <si>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</si>
  <si>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</si>
  <si>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</si>
  <si>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</si>
  <si>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</si>
  <si>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</si>
  <si>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</si>
  <si>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</si>
  <si>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</si>
  <si>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</si>
  <si>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</si>
  <si>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</si>
  <si>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</si>
  <si>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</si>
  <si>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</si>
  <si>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</si>
  <si>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</si>
  <si>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</si>
  <si>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</si>
  <si>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</si>
  <si>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</si>
  <si>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</si>
  <si>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</si>
  <si>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</si>
  <si>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</si>
  <si>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</si>
  <si>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</si>
  <si>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</si>
  <si>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</si>
  <si>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</si>
  <si>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</si>
  <si>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</si>
  <si>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</si>
  <si>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</si>
  <si>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</si>
  <si>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</si>
  <si>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</si>
  <si>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</si>
  <si>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</si>
  <si>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</si>
  <si>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</si>
  <si>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</si>
  <si>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</si>
  <si>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</si>
  <si>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</si>
  <si>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</si>
  <si>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</si>
  <si>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</si>
  <si>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</si>
  <si>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</si>
  <si>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</si>
  <si>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</si>
  <si>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</si>
  <si>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</si>
  <si>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</si>
  <si>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</si>
  <si>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</si>
  <si>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</si>
  <si>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</si>
  <si>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</si>
  <si>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</si>
  <si>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</si>
  <si>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</si>
  <si>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</si>
  <si>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</si>
  <si>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</si>
  <si>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</si>
  <si>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</si>
  <si>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</si>
  <si>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</si>
  <si>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</si>
  <si>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</si>
  <si>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</si>
  <si>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</si>
  <si>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</si>
  <si>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</si>
  <si>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</si>
  <si>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</si>
  <si>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</si>
  <si>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</si>
  <si>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</si>
  <si>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</si>
  <si>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</si>
  <si>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</si>
  <si>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</si>
  <si>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</si>
  <si>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</si>
  <si>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</si>
  <si>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</si>
  <si>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</si>
  <si>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</si>
  <si>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</si>
  <si>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</si>
  <si>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</si>
  <si>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</si>
  <si>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</si>
  <si>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</si>
  <si>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</si>
  <si>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</si>
  <si>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</si>
  <si>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</si>
  <si>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</si>
  <si>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</si>
  <si>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</si>
  <si>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</si>
  <si>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</si>
  <si>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</si>
  <si>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</si>
  <si>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</si>
  <si>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</si>
  <si>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</si>
  <si>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</si>
  <si>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</si>
  <si>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</si>
  <si>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</si>
  <si>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</si>
  <si>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</si>
  <si>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</si>
  <si>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</si>
  <si>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</si>
  <si>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</si>
  <si>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</si>
  <si>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</si>
  <si>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</si>
  <si>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</si>
  <si>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</si>
  <si>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</si>
  <si>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</si>
  <si>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</si>
  <si>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</si>
  <si>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</si>
  <si>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</si>
  <si>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</si>
  <si>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</si>
  <si>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</si>
  <si>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</si>
  <si>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</si>
  <si>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</si>
  <si>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</si>
  <si>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</si>
  <si>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</si>
  <si>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</si>
  <si>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</si>
  <si>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</si>
  <si>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</si>
  <si>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</si>
  <si>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</si>
  <si>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</si>
  <si>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</si>
  <si>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</si>
  <si>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</si>
  <si>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</si>
  <si>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</si>
  <si>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</si>
  <si>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</si>
  <si>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</si>
  <si>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</si>
  <si>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</si>
  <si>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</si>
  <si>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</si>
  <si>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</si>
  <si>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</si>
  <si>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</si>
  <si>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</si>
  <si>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</si>
  <si>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</si>
  <si>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</si>
  <si>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</si>
  <si>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</si>
  <si>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</si>
  <si>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</si>
  <si>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</si>
  <si>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</si>
  <si>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</si>
  <si>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</si>
  <si>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</si>
  <si>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</si>
  <si>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</si>
  <si>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</si>
  <si>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</si>
  <si>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</si>
  <si>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</si>
  <si>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</si>
  <si>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</si>
  <si>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</si>
  <si>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</si>
  <si>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</si>
  <si>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</si>
  <si>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</si>
  <si>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</si>
  <si>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</si>
  <si>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</si>
  <si>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</si>
  <si>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</si>
  <si>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</si>
  <si>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</si>
  <si>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</si>
  <si>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</si>
  <si>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</si>
  <si>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</si>
  <si>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</si>
  <si>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</si>
  <si>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</si>
  <si>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</si>
  <si>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</si>
  <si>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</si>
  <si>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</si>
  <si>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</si>
  <si>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</si>
  <si>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</si>
  <si>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</si>
  <si>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</si>
  <si>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</si>
  <si>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</si>
  <si>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</si>
  <si>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</si>
  <si>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</si>
  <si>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</si>
  <si>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</si>
  <si>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</si>
  <si>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</si>
  <si>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</si>
  <si>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</si>
  <si>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</si>
  <si>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</si>
  <si>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</si>
  <si>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</si>
  <si>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</si>
  <si>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</si>
  <si>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</si>
  <si>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</si>
  <si>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</si>
  <si>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</si>
  <si>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</si>
  <si>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</si>
  <si>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</si>
  <si>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</si>
  <si>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</si>
  <si>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</si>
  <si>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</si>
  <si>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</si>
  <si>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</si>
  <si>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</si>
  <si>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</si>
  <si>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</si>
  <si>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</si>
  <si>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</si>
  <si>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</si>
  <si>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</si>
  <si>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</si>
  <si>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</si>
  <si>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</si>
  <si>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</si>
  <si>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</si>
  <si>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</si>
  <si>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</si>
  <si>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</si>
  <si>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</si>
  <si>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</si>
  <si>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</si>
  <si>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</si>
  <si>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</si>
  <si>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</si>
  <si>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</si>
  <si>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</si>
  <si>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</si>
  <si>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</si>
  <si>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</si>
  <si>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</si>
  <si>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</si>
  <si>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</si>
  <si>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</si>
  <si>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</si>
  <si>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</si>
  <si>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</si>
  <si>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</si>
  <si>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</si>
  <si>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</si>
  <si>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</si>
  <si>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</si>
  <si>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</si>
  <si>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</si>
  <si>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</si>
  <si>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</si>
  <si>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</si>
  <si>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</si>
  <si>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</si>
  <si>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</si>
  <si>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</si>
  <si>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</si>
  <si>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</si>
  <si>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</si>
  <si>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</si>
  <si>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</si>
  <si>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</si>
  <si>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</si>
  <si>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</si>
  <si>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</si>
  <si>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</si>
  <si>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</si>
  <si>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</si>
  <si>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</si>
  <si>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</si>
  <si>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</si>
  <si>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</si>
  <si>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</si>
  <si>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</si>
  <si>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</si>
  <si>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</si>
  <si>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</si>
  <si>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</si>
  <si>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</si>
  <si>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</si>
  <si>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</si>
  <si>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</si>
  <si>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</si>
  <si>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</si>
  <si>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</si>
  <si>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</si>
  <si>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</si>
  <si>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</si>
  <si>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</si>
  <si>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</si>
  <si>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</si>
  <si>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</si>
  <si>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</si>
  <si>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</si>
  <si>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</si>
  <si>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</si>
  <si>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</si>
  <si>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</si>
  <si>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</si>
  <si>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</si>
  <si>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</si>
  <si>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</si>
  <si>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</si>
  <si>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</si>
  <si>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</si>
  <si>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</si>
  <si>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</si>
  <si>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</si>
  <si>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</si>
  <si>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</si>
  <si>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</si>
  <si>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</si>
  <si>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</si>
  <si>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</si>
  <si>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</si>
  <si>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</si>
  <si>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</si>
  <si>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</si>
  <si>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</si>
  <si>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</si>
  <si>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</si>
  <si>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</si>
  <si>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</si>
  <si>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</si>
  <si>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</si>
  <si>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</si>
  <si>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</si>
  <si>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</si>
  <si>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</si>
  <si>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</si>
  <si>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</si>
  <si>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</si>
  <si>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</si>
  <si>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</si>
  <si>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</si>
  <si>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</si>
  <si>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</si>
  <si>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</si>
  <si>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</si>
  <si>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</si>
  <si>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</si>
  <si>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</si>
  <si>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</si>
  <si>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</si>
  <si>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</si>
  <si>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</si>
  <si>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</si>
  <si>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</si>
  <si>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</si>
  <si>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</si>
  <si>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</si>
  <si>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</si>
  <si>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</si>
  <si>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</si>
  <si>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</si>
  <si>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</si>
  <si>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</si>
  <si>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</si>
  <si>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</si>
  <si>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</si>
  <si>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</si>
  <si>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</si>
  <si>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</si>
  <si>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</si>
  <si>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</si>
  <si>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</si>
  <si>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</si>
  <si>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</si>
  <si>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</si>
  <si>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</si>
  <si>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</si>
  <si>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</si>
  <si>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</si>
  <si>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</si>
  <si>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</si>
  <si>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</si>
  <si>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</si>
  <si>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</si>
  <si>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</si>
  <si>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</si>
  <si>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</si>
  <si>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</si>
  <si>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</si>
  <si>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</si>
  <si>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</si>
  <si>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</si>
  <si>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</si>
  <si>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</si>
  <si>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</si>
  <si>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</si>
  <si>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</si>
  <si>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</si>
  <si>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</si>
  <si>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</si>
  <si>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</si>
  <si>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</si>
  <si>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</si>
  <si>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</si>
  <si>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</si>
  <si>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</si>
  <si>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</si>
  <si>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</si>
  <si>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</si>
  <si>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</si>
  <si>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</si>
  <si>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</si>
  <si>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</si>
  <si>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</si>
  <si>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</si>
  <si>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</si>
  <si>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</si>
  <si>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</si>
  <si>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</si>
  <si>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</si>
  <si>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</si>
  <si>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</si>
  <si>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</si>
  <si>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</si>
  <si>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</si>
  <si>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</si>
  <si>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</si>
  <si>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</si>
  <si>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</si>
  <si>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</si>
  <si>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</si>
  <si>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</si>
  <si>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</si>
  <si>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</si>
  <si>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</si>
  <si>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</si>
  <si>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</si>
  <si>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</si>
  <si>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</si>
  <si>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</si>
  <si>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</si>
  <si>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</si>
  <si>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</si>
  <si>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</si>
  <si>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</si>
  <si>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</si>
  <si>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</si>
  <si>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</si>
  <si>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</si>
  <si>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</si>
  <si>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</si>
  <si>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</si>
  <si>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</si>
  <si>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</si>
  <si>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</si>
  <si>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</si>
  <si>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</si>
  <si>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</si>
  <si>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</si>
  <si>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</si>
  <si>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</si>
  <si>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</si>
  <si>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</si>
  <si>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</si>
  <si>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</si>
  <si>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</si>
  <si>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</si>
  <si>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</si>
  <si>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</si>
  <si>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</si>
  <si>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</si>
  <si>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</si>
  <si>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</si>
  <si>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</si>
  <si>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</si>
  <si>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</si>
  <si>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</si>
  <si>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</si>
  <si>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</si>
  <si>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</si>
  <si>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</si>
  <si>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</si>
  <si>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</si>
  <si>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</si>
  <si>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</si>
  <si>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</si>
  <si>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</si>
  <si>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</si>
  <si>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</si>
  <si>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</si>
  <si>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</si>
  <si>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</si>
  <si>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</si>
  <si>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</si>
  <si>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</si>
  <si>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</si>
  <si>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</si>
  <si>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</si>
  <si>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</si>
  <si>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</si>
  <si>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</si>
  <si>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</si>
  <si>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</si>
  <si>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</si>
  <si>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</si>
  <si>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</si>
  <si>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</si>
  <si>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</si>
  <si>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</si>
  <si>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</si>
  <si>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</si>
  <si>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</si>
  <si>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</si>
  <si>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</si>
  <si>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</si>
  <si>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</si>
  <si>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</si>
  <si>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</si>
  <si>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</si>
  <si>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</si>
  <si>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</si>
  <si>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</si>
  <si>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</si>
  <si>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</si>
  <si>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</si>
  <si>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</si>
  <si>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</si>
  <si>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</si>
  <si>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</si>
  <si>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</si>
  <si>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</si>
  <si>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</si>
  <si>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</si>
  <si>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</si>
  <si>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</si>
  <si>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</si>
  <si>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</si>
  <si>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</si>
  <si>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</si>
  <si>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</si>
  <si>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</si>
  <si>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</si>
  <si>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</si>
  <si>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</si>
  <si>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</si>
  <si>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</si>
  <si>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</si>
  <si>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</si>
  <si>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</si>
  <si>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</si>
  <si>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</si>
  <si>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</si>
  <si>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</si>
  <si>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</si>
  <si>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</si>
  <si>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</si>
  <si>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</si>
  <si>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</si>
  <si>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</si>
  <si>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</si>
  <si>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</si>
  <si>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</si>
  <si>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</si>
  <si>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</si>
  <si>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</si>
  <si>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</si>
  <si>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</si>
  <si>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</si>
  <si>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</si>
  <si>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</si>
  <si>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</si>
  <si>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</si>
  <si>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</si>
  <si>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</si>
  <si>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</si>
  <si>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</si>
  <si>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</si>
  <si>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</si>
  <si>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</si>
  <si>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</si>
  <si>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</si>
  <si>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</si>
  <si>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</si>
  <si>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</si>
  <si>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</si>
  <si>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</si>
  <si>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</si>
  <si>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</si>
  <si>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</si>
  <si>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</si>
  <si>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</si>
  <si>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</si>
  <si>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</si>
  <si>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</si>
  <si>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</si>
  <si>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</si>
  <si>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</si>
  <si>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</si>
  <si>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</si>
  <si>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</si>
  <si>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</si>
  <si>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</si>
  <si>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</si>
  <si>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</si>
  <si>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</si>
  <si>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</si>
  <si>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</si>
  <si>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</si>
  <si>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</si>
  <si>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</si>
  <si>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</si>
  <si>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</si>
  <si>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</si>
  <si>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</si>
  <si>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</si>
  <si>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</si>
  <si>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</si>
  <si>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</si>
  <si>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</si>
  <si>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</si>
  <si>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</si>
  <si>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</si>
  <si>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</si>
  <si>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</si>
  <si>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</si>
  <si>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</si>
  <si>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</si>
  <si>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</si>
  <si>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</si>
  <si>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</si>
  <si>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</si>
  <si>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</si>
  <si>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</si>
  <si>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</si>
  <si>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</si>
  <si>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</si>
  <si>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</si>
  <si>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</si>
  <si>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</si>
  <si>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</si>
  <si>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</si>
  <si>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</si>
  <si>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</si>
  <si>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</si>
  <si>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</si>
  <si>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</si>
  <si>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</si>
  <si>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</si>
  <si>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</si>
  <si>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</si>
  <si>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</si>
  <si>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</si>
  <si>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</si>
  <si>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</si>
  <si>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</si>
  <si>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</si>
  <si>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</si>
  <si>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</si>
  <si>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</si>
  <si>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</si>
  <si>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</si>
  <si>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</si>
  <si>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</si>
  <si>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</si>
  <si>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</si>
  <si>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</si>
  <si>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</si>
  <si>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</si>
  <si>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</si>
  <si>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</si>
  <si>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</si>
  <si>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</si>
  <si>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</si>
  <si>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</si>
  <si>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</si>
  <si>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</si>
  <si>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</si>
  <si>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</si>
  <si>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</si>
  <si>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</si>
  <si>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</si>
  <si>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</si>
  <si>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</si>
  <si>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</si>
  <si>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</si>
  <si>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</si>
  <si>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</si>
  <si>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</si>
  <si>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</si>
  <si>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</si>
  <si>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</si>
  <si>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</si>
  <si>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</si>
  <si>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</si>
  <si>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</si>
  <si>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</si>
  <si>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</si>
  <si>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</si>
  <si>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</si>
  <si>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</si>
  <si>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</si>
  <si>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</si>
  <si>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</si>
  <si>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</si>
  <si>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</si>
  <si>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</si>
  <si>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</si>
  <si>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</si>
  <si>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</si>
  <si>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</si>
  <si>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</si>
  <si>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</si>
  <si>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</si>
  <si>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</si>
  <si>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</si>
  <si>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</si>
  <si>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</si>
  <si>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</si>
  <si>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</si>
  <si>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</si>
  <si>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</si>
  <si>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</si>
  <si>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</si>
  <si>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</si>
  <si>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</si>
  <si>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</si>
  <si>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</si>
  <si>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</si>
  <si>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</si>
  <si>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</si>
  <si>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</si>
  <si>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</si>
  <si>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</si>
  <si>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</si>
  <si>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</si>
  <si>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</si>
  <si>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</si>
  <si>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</si>
  <si>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</si>
  <si>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</si>
  <si>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</si>
  <si>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</si>
  <si>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</si>
  <si>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</si>
  <si>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</si>
  <si>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</si>
  <si>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</si>
  <si>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</si>
  <si>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</si>
  <si>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</si>
  <si>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</si>
  <si>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</si>
  <si>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</si>
  <si>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</si>
  <si>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</si>
  <si>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</si>
  <si>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</si>
  <si>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</si>
  <si>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</si>
  <si>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</si>
  <si>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</si>
  <si>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</si>
  <si>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</si>
  <si>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</si>
  <si>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</si>
  <si>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</si>
  <si>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</si>
  <si>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</si>
  <si>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</si>
  <si>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</si>
  <si>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</si>
  <si>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</si>
  <si>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</si>
  <si>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E-Commerces Sales Analysis Dashboard</t>
  </si>
  <si>
    <t>Total Sales</t>
  </si>
  <si>
    <t>Total Profit</t>
  </si>
  <si>
    <t>Total Orders</t>
  </si>
  <si>
    <t>Total Quantity</t>
  </si>
  <si>
    <t>Profit Margin</t>
  </si>
  <si>
    <t>Customer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</si>
  <si>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</si>
  <si>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</si>
  <si>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</si>
  <si>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</si>
  <si>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</si>
  <si>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</si>
  <si>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</si>
  <si>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</si>
  <si>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</si>
  <si>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</si>
  <si>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</si>
  <si>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</si>
  <si>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</si>
  <si>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E-Commerce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</si>
</sst>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42" applyFont="1"/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5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9" fontId="19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4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  <c:pt idx="3">
                  <c:v>Accessories</c:v>
                </c:pt>
              </c:strCache>
            </c:strRef>
          </c:cat>
          <c:val>
            <c:numRef>
              <c:f>'Category Analysis'!$B$2:$B$5</c:f>
              <c:numCache>
                <c:formatCode>General</c:formatCode>
                <c:ptCount val="4"/>
                <c:pt idx="0">
                  <c:v>26361530</c:v>
                </c:pt>
                <c:pt idx="1">
                  <c:v>3010072</c:v>
                </c:pt>
                <c:pt idx="2">
                  <c:v>4280386</c:v>
                </c:pt>
                <c:pt idx="3">
                  <c:v>430694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A-4D59-8FCE-6930547B6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356879"/>
        <c:axId val="1244462159"/>
      </c:barChart>
      <c:catAx>
        <c:axId val="124835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62159"/>
        <c:crosses val="autoZero"/>
        <c:auto val="1"/>
        <c:lblAlgn val="ctr"/>
        <c:lblOffset val="100"/>
        <c:noMultiLvlLbl val="0"/>
      </c:catAx>
      <c:valAx>
        <c:axId val="12444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5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Analysis'!$A$2:$A$6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'Regional Analysis'!$B$2:$B$6</c:f>
              <c:numCache>
                <c:formatCode>General</c:formatCode>
                <c:ptCount val="5"/>
                <c:pt idx="0">
                  <c:v>7327926</c:v>
                </c:pt>
                <c:pt idx="1">
                  <c:v>6939480</c:v>
                </c:pt>
                <c:pt idx="2">
                  <c:v>5720572</c:v>
                </c:pt>
                <c:pt idx="3">
                  <c:v>6507120</c:v>
                </c:pt>
                <c:pt idx="4">
                  <c:v>7587584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1-4B7B-B607-98D8169E9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811279"/>
        <c:axId val="1244484719"/>
      </c:barChart>
      <c:catAx>
        <c:axId val="120481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84719"/>
        <c:crosses val="autoZero"/>
        <c:auto val="1"/>
        <c:lblAlgn val="ctr"/>
        <c:lblOffset val="100"/>
        <c:noMultiLvlLbl val="0"/>
      </c:catAx>
      <c:valAx>
        <c:axId val="124448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1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</a:t>
            </a: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Sales'!$B$2:$B$13</c:f>
              <c:numCache>
                <c:formatCode>General</c:formatCode>
                <c:ptCount val="12"/>
                <c:pt idx="0">
                  <c:v>2378855</c:v>
                </c:pt>
                <c:pt idx="1">
                  <c:v>1803435</c:v>
                </c:pt>
                <c:pt idx="2">
                  <c:v>3765897</c:v>
                </c:pt>
                <c:pt idx="3">
                  <c:v>1980806</c:v>
                </c:pt>
                <c:pt idx="4">
                  <c:v>3481808</c:v>
                </c:pt>
                <c:pt idx="5">
                  <c:v>3495089</c:v>
                </c:pt>
                <c:pt idx="6">
                  <c:v>2067004</c:v>
                </c:pt>
                <c:pt idx="7">
                  <c:v>2502731</c:v>
                </c:pt>
                <c:pt idx="8">
                  <c:v>3269177</c:v>
                </c:pt>
                <c:pt idx="9">
                  <c:v>2699546</c:v>
                </c:pt>
                <c:pt idx="10">
                  <c:v>2982325</c:v>
                </c:pt>
                <c:pt idx="11">
                  <c:v>3656009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8E-4FA2-90A4-C357E0E1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78991"/>
        <c:axId val="1135415087"/>
      </c:lineChart>
      <c:catAx>
        <c:axId val="166927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415087"/>
        <c:crosses val="autoZero"/>
        <c:auto val="1"/>
        <c:lblAlgn val="ctr"/>
        <c:lblOffset val="100"/>
        <c:noMultiLvlLbl val="0"/>
      </c:catAx>
      <c:valAx>
        <c:axId val="11354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7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4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  <c:pt idx="3">
                  <c:v>Accessories</c:v>
                </c:pt>
              </c:strCache>
            </c:strRef>
          </c:cat>
          <c:val>
            <c:numRef>
              <c:f>'Category Analysis'!$B$2:$B$5</c:f>
              <c:numCache>
                <c:formatCode>General</c:formatCode>
                <c:ptCount val="4"/>
                <c:pt idx="0">
                  <c:v>26361530</c:v>
                </c:pt>
                <c:pt idx="1">
                  <c:v>3010072</c:v>
                </c:pt>
                <c:pt idx="2">
                  <c:v>4280386</c:v>
                </c:pt>
                <c:pt idx="3">
                  <c:v>430694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B-4543-8BEA-A028FCC2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356879"/>
        <c:axId val="1244462159"/>
      </c:barChart>
      <c:catAx>
        <c:axId val="124835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62159"/>
        <c:crosses val="autoZero"/>
        <c:auto val="1"/>
        <c:lblAlgn val="ctr"/>
        <c:lblOffset val="100"/>
        <c:noMultiLvlLbl val="0"/>
      </c:catAx>
      <c:valAx>
        <c:axId val="12444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5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Analysis'!$A$2:$A$6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'Regional Analysis'!$B$2:$B$6</c:f>
              <c:numCache>
                <c:formatCode>General</c:formatCode>
                <c:ptCount val="5"/>
                <c:pt idx="0">
                  <c:v>7327926</c:v>
                </c:pt>
                <c:pt idx="1">
                  <c:v>6939480</c:v>
                </c:pt>
                <c:pt idx="2">
                  <c:v>5720572</c:v>
                </c:pt>
                <c:pt idx="3">
                  <c:v>6507120</c:v>
                </c:pt>
                <c:pt idx="4">
                  <c:v>7587584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A-45A8-8713-2FA0C7117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811279"/>
        <c:axId val="1244484719"/>
      </c:barChart>
      <c:catAx>
        <c:axId val="120481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84719"/>
        <c:crosses val="autoZero"/>
        <c:auto val="1"/>
        <c:lblAlgn val="ctr"/>
        <c:lblOffset val="100"/>
        <c:noMultiLvlLbl val="0"/>
      </c:catAx>
      <c:valAx>
        <c:axId val="124448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1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</a:t>
            </a: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Sales'!$B$2:$B$13</c:f>
              <c:numCache>
                <c:formatCode>General</c:formatCode>
                <c:ptCount val="12"/>
                <c:pt idx="0">
                  <c:v>2378855</c:v>
                </c:pt>
                <c:pt idx="1">
                  <c:v>1803435</c:v>
                </c:pt>
                <c:pt idx="2">
                  <c:v>3765897</c:v>
                </c:pt>
                <c:pt idx="3">
                  <c:v>1980806</c:v>
                </c:pt>
                <c:pt idx="4">
                  <c:v>3481808</c:v>
                </c:pt>
                <c:pt idx="5">
                  <c:v>3495089</c:v>
                </c:pt>
                <c:pt idx="6">
                  <c:v>2067004</c:v>
                </c:pt>
                <c:pt idx="7">
                  <c:v>2502731</c:v>
                </c:pt>
                <c:pt idx="8">
                  <c:v>3269177</c:v>
                </c:pt>
                <c:pt idx="9">
                  <c:v>2699546</c:v>
                </c:pt>
                <c:pt idx="10">
                  <c:v>2982325</c:v>
                </c:pt>
                <c:pt idx="11">
                  <c:v>3656009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80-4E37-9589-201BFE2CC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78991"/>
        <c:axId val="1135415087"/>
      </c:lineChart>
      <c:catAx>
        <c:axId val="166927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415087"/>
        <c:crosses val="autoZero"/>
        <c:auto val="1"/>
        <c:lblAlgn val="ctr"/>
        <c:lblOffset val="100"/>
        <c:noMultiLvlLbl val="0"/>
      </c:catAx>
      <c:valAx>
        <c:axId val="11354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7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175260</xdr:rowOff>
    </xdr:from>
    <xdr:to>
      <xdr:col>15</xdr:col>
      <xdr:colOff>228600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A3D0E-36D7-E0DA-5C45-3BDC57E79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175260</xdr:rowOff>
    </xdr:from>
    <xdr:to>
      <xdr:col>15</xdr:col>
      <xdr:colOff>228600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CF5A3-F5F6-929E-BA27-F66916834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175260</xdr:rowOff>
    </xdr:from>
    <xdr:to>
      <xdr:col>15</xdr:col>
      <xdr:colOff>228600</xdr:colOff>
      <xdr:row>19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F4A974-68D1-5C52-9AEA-BFD94DCC6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213360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C1430-1D7E-451F-9CB5-C8AE9765C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0</xdr:rowOff>
    </xdr:from>
    <xdr:to>
      <xdr:col>13</xdr:col>
      <xdr:colOff>243840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AEF71C-7158-405D-AF41-2260E205F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5</xdr:col>
      <xdr:colOff>213360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BBE22A-7C30-4A60-9AC5-0D75B0DFA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87EB5-661F-4612-93F9-6288133DCD6C}" name="SalesData" displayName="SalesData" ref="A1:XFD1048576" totalsRowShown="0">
  <autoFilter ref="A1:XFD1048576" xr:uid="{67287EB5-661F-4612-93F9-6288133DCD6C}"/>
  <tableColumns count="16384">
    <tableColumn id="1" xr3:uid="{6E25E774-ECC5-4B4C-8902-5715DD5064F1}" name="Order_ID"/>
    <tableColumn id="2" xr3:uid="{A8CFF05F-6E2A-412E-B116-F789E333692A}" name="Order_Date"/>
    <tableColumn id="3" xr3:uid="{7D127FE2-DFAC-4755-BC58-7CAFF91BD611}" name="Customer_ID"/>
    <tableColumn id="4" xr3:uid="{D625F697-C89A-4E4B-9B68-17028A8836A5}" name="Customer_Name"/>
    <tableColumn id="5" xr3:uid="{FA8736F8-89E4-4319-A2EE-643E9CF1FBF8}" name="Product"/>
    <tableColumn id="6" xr3:uid="{B0A4B9A1-29C9-46D4-83A6-D412FACF09E8}" name="Category"/>
    <tableColumn id="7" xr3:uid="{4EC86721-EE0F-4753-A764-62B2A46E4C10}" name="Region"/>
    <tableColumn id="8" xr3:uid="{76060E23-3D60-4728-84DF-3C24734A3A3A}" name="Quantity"/>
    <tableColumn id="9" xr3:uid="{73795091-BD10-4FCA-AC2E-C87C8CB9C20A}" name="Sales"/>
    <tableColumn id="10" xr3:uid="{32EB499D-C3A1-4670-85FC-5ADAE13488ED}" name="Discount"/>
    <tableColumn id="11" xr3:uid="{A8A39B8B-791F-457D-A4AF-CF0E7D58D0EC}" name="Profit"/>
    <tableColumn id="12" xr3:uid="{EA65355C-270E-4334-8152-E2084F68187A}" name="Column1"/>
    <tableColumn id="13" xr3:uid="{44C845B0-FEB7-4C10-8486-8C2F1F878978}" name="Column2"/>
    <tableColumn id="14" xr3:uid="{1C5C548C-151F-409C-9BA5-EA7FB7FE194E}" name="Column3"/>
    <tableColumn id="15" xr3:uid="{1BAB1368-84E2-45DB-96C5-241723C2E6C9}" name="Column4"/>
    <tableColumn id="16" xr3:uid="{0E6E8354-9EA3-4A28-9663-EC1623170006}" name="Column5"/>
    <tableColumn id="17" xr3:uid="{B4CFEAD1-379F-4623-98D5-BB43527CDA52}" name="Column6"/>
    <tableColumn id="18" xr3:uid="{56182D79-A749-474F-B60A-93DE446CDA3F}" name="Column7"/>
    <tableColumn id="19" xr3:uid="{C38B9BF6-2B5F-4E54-B8E0-D9C015AEDB9B}" name="Column8"/>
    <tableColumn id="20" xr3:uid="{375DE0C5-B5E2-4A29-B191-D951A97C6A93}" name="Column9"/>
    <tableColumn id="21" xr3:uid="{CE520F32-79EF-49C4-AE6B-085596B3C4ED}" name="Column10"/>
    <tableColumn id="22" xr3:uid="{3EDA5CE6-8089-4954-A7B3-D8F867DA23BB}" name="Column11"/>
    <tableColumn id="23" xr3:uid="{137D85EC-2A7D-4B76-8ED3-4FCCEE35610E}" name="Column12"/>
    <tableColumn id="24" xr3:uid="{F00AA6D2-0D0A-4A7C-8782-B997140B738D}" name="Column13"/>
    <tableColumn id="25" xr3:uid="{A5DD4CBB-A175-4C19-A39E-15EB7F18AC17}" name="Column14"/>
    <tableColumn id="26" xr3:uid="{50B1C841-509F-40BA-95B8-4BCCA74BD6C4}" name="Column15"/>
    <tableColumn id="27" xr3:uid="{2CCA5557-2189-4798-BBC9-372BCED86EE7}" name="Column16"/>
    <tableColumn id="28" xr3:uid="{67A8831B-A45F-4E8F-9C2F-458C13370C2A}" name="Column17"/>
    <tableColumn id="29" xr3:uid="{2C5444E8-7CBC-4D95-8099-34C3716A607F}" name="Column18"/>
    <tableColumn id="30" xr3:uid="{13CE0E1A-DBE2-4334-9484-CFE13A66681D}" name="Column19"/>
    <tableColumn id="31" xr3:uid="{2B8C7DE6-4231-4D6D-ABB9-23C99CB709FF}" name="Column20"/>
    <tableColumn id="32" xr3:uid="{7B02BF16-4767-4BA4-8CC7-9FE7CECEBFB5}" name="Column21"/>
    <tableColumn id="33" xr3:uid="{1B70A49C-D537-45A2-BB0A-9EF4F5232421}" name="Column22"/>
    <tableColumn id="34" xr3:uid="{703F534F-8EF3-4B85-9D33-0471EAA81E72}" name="Column23"/>
    <tableColumn id="35" xr3:uid="{578155F0-C674-4EF2-A647-92B47F6BDD23}" name="Column24"/>
    <tableColumn id="36" xr3:uid="{ADBC02A2-1B0C-4E87-9E1B-0E87B5DF15A3}" name="Column25"/>
    <tableColumn id="37" xr3:uid="{70B8739E-0B55-4FAC-867C-E26AB8DA67B0}" name="Column26"/>
    <tableColumn id="38" xr3:uid="{2DC82625-7FC3-42F4-90E8-16E37601E9F5}" name="Column27"/>
    <tableColumn id="39" xr3:uid="{1513737D-1FB3-4899-B2EB-11B3614961FA}" name="Column28"/>
    <tableColumn id="40" xr3:uid="{E5F45E20-D37E-493E-8A32-93E64A8F1A1D}" name="Column29"/>
    <tableColumn id="41" xr3:uid="{2C7EC3F3-CA81-4B8C-9120-CA7C9C96E867}" name="Column30"/>
    <tableColumn id="42" xr3:uid="{EE5DE2D8-8180-4A55-A12B-09F5C5E7A64F}" name="Column31"/>
    <tableColumn id="43" xr3:uid="{1127D3A8-AD69-4B3F-B08B-678C0D752045}" name="Column32"/>
    <tableColumn id="44" xr3:uid="{A1746A08-C2A1-43BC-BA28-7FC326FDC0DC}" name="Column33"/>
    <tableColumn id="45" xr3:uid="{133C1826-2E98-4638-BE0B-52740161CD65}" name="Column34"/>
    <tableColumn id="46" xr3:uid="{ACDD979C-5013-4887-B568-DD6977FABA8E}" name="Column35"/>
    <tableColumn id="47" xr3:uid="{923A4B38-CA04-4FE2-BA76-CF2046629B07}" name="Column36"/>
    <tableColumn id="48" xr3:uid="{7972B7AB-A272-4892-A6A8-8D3185E5D441}" name="Column37"/>
    <tableColumn id="49" xr3:uid="{D10E050B-64A3-4212-A567-D9687E10F0BC}" name="Column38"/>
    <tableColumn id="50" xr3:uid="{174D7096-99F2-4FCE-BEC7-0E0DE774E09E}" name="Column39"/>
    <tableColumn id="51" xr3:uid="{EB63B039-C7A8-4BFE-A927-DC2919C21138}" name="Column40"/>
    <tableColumn id="52" xr3:uid="{3F2498EE-D521-4635-A799-1D542B2D9423}" name="Column41"/>
    <tableColumn id="53" xr3:uid="{D41DB6E4-1207-4717-B5FB-7D8D8D7EEC4E}" name="Column42"/>
    <tableColumn id="54" xr3:uid="{DD09788B-E20D-40F4-B3AE-79BB03888323}" name="Column43"/>
    <tableColumn id="55" xr3:uid="{E9E1E328-52CF-474A-A3A1-E4879BF72540}" name="Column44"/>
    <tableColumn id="56" xr3:uid="{65B4E018-9567-4B2E-80EB-8E3B21B51A56}" name="Column45"/>
    <tableColumn id="57" xr3:uid="{5C4C6CD9-EF1A-46A8-A6DD-5D3E5FD8C2EC}" name="Column46"/>
    <tableColumn id="58" xr3:uid="{B01F0B0F-FC38-43D4-B345-DB669F3E54EF}" name="Column47"/>
    <tableColumn id="59" xr3:uid="{E98DEF85-A777-46D2-88A0-CF1B8E6CCFED}" name="Column48"/>
    <tableColumn id="60" xr3:uid="{0C8B7472-A0A6-4F30-B8BD-EE7BF48AB85C}" name="Column49"/>
    <tableColumn id="61" xr3:uid="{E4F0CF6B-B206-42C0-8FDD-F913FE409527}" name="Column50"/>
    <tableColumn id="62" xr3:uid="{24915BA8-E5D4-4133-9DBF-C427ADD42D3A}" name="Column51"/>
    <tableColumn id="63" xr3:uid="{3388D513-EFBF-4369-9D0C-9250C631CC0A}" name="Column52"/>
    <tableColumn id="64" xr3:uid="{0851E6DB-247A-489C-B586-D940955318E0}" name="Column53"/>
    <tableColumn id="65" xr3:uid="{240C2306-4F7A-4A6B-97F3-290CE755BE64}" name="Column54"/>
    <tableColumn id="66" xr3:uid="{3158E2BD-0228-4486-9711-313AE2B3B392}" name="Column55"/>
    <tableColumn id="67" xr3:uid="{C140DBE2-52D0-4C02-B390-54234A78321E}" name="Column56"/>
    <tableColumn id="68" xr3:uid="{4BBDF05C-F17B-472A-BF34-E67215467FC3}" name="Column57"/>
    <tableColumn id="69" xr3:uid="{074D4F96-2BC8-41B2-A3BC-8E2FC248669C}" name="Column58"/>
    <tableColumn id="70" xr3:uid="{10E5A841-CE2C-40D7-B29E-94E81B8053D7}" name="Column59"/>
    <tableColumn id="71" xr3:uid="{F9F60AAE-801B-4FA9-A75B-FE846219190E}" name="Column60"/>
    <tableColumn id="72" xr3:uid="{4D3BBB05-2741-4195-B0E4-A50452C48C4D}" name="Column61"/>
    <tableColumn id="73" xr3:uid="{DEF5374F-034F-4466-8FA4-CDF65B63FFD2}" name="Column62"/>
    <tableColumn id="74" xr3:uid="{2AB7ED85-16EA-462B-A935-8B59F70213B4}" name="Column63"/>
    <tableColumn id="75" xr3:uid="{8A3A9F2E-D20F-4732-899F-A8C97F4A2817}" name="Column64"/>
    <tableColumn id="76" xr3:uid="{AB0D31F8-38D9-441F-BAEF-751571DFB6F0}" name="Column65"/>
    <tableColumn id="77" xr3:uid="{B212281B-0F69-4216-9CDB-8D509D42423C}" name="Column66"/>
    <tableColumn id="78" xr3:uid="{0A851F27-E545-49BC-846F-56A19C476CC4}" name="Column67"/>
    <tableColumn id="79" xr3:uid="{0FF86A34-C485-4AEF-9721-C3889E0164A9}" name="Column68"/>
    <tableColumn id="80" xr3:uid="{EA45C4F2-2DD5-4FD2-8749-9569A3B32560}" name="Column69"/>
    <tableColumn id="81" xr3:uid="{44CD6041-9882-46E0-BB62-E26EDA0BAA5B}" name="Column70"/>
    <tableColumn id="82" xr3:uid="{17CDFAE8-5CD4-4DBE-9E1F-18594CD378F1}" name="Column71"/>
    <tableColumn id="83" xr3:uid="{89801578-7FAD-4477-8FE8-E1E553423BDA}" name="Column72"/>
    <tableColumn id="84" xr3:uid="{B593151E-4EF9-4AF4-B386-A88BE8986FFE}" name="Column73"/>
    <tableColumn id="85" xr3:uid="{DC84658C-F4A6-43E4-AC70-8290A9DBE540}" name="Column74"/>
    <tableColumn id="86" xr3:uid="{7F780DC7-1F59-49CD-A4EC-88DA6020A6F2}" name="Column75"/>
    <tableColumn id="87" xr3:uid="{4CDEECC6-3B92-4F75-A42D-E1DA0925DDBF}" name="Column76"/>
    <tableColumn id="88" xr3:uid="{862712F3-A5C1-4172-ABA6-6DF5791026DE}" name="Column77"/>
    <tableColumn id="89" xr3:uid="{E05A38FA-E79F-491D-99CB-58DB9EAB141E}" name="Column78"/>
    <tableColumn id="90" xr3:uid="{041C652D-C3EE-4059-8D85-A3A4D01E1879}" name="Column79"/>
    <tableColumn id="91" xr3:uid="{62B5E3D8-CC12-4B79-8C04-FDFA1F8A4507}" name="Column80"/>
    <tableColumn id="92" xr3:uid="{EFAE25E5-93BA-42A4-95CA-CA5203B65E0B}" name="Column81"/>
    <tableColumn id="93" xr3:uid="{8153806C-23BF-49D4-B857-CE97EFB8BE79}" name="Column82"/>
    <tableColumn id="94" xr3:uid="{F1D9B7B5-836B-40F2-A032-07D0B32244B8}" name="Column83"/>
    <tableColumn id="95" xr3:uid="{1479998D-1EBF-4EB5-9257-15E9A211E078}" name="Column84"/>
    <tableColumn id="96" xr3:uid="{8876A7B2-B1B4-4B78-BF83-6603272FAD53}" name="Column85"/>
    <tableColumn id="97" xr3:uid="{93B81807-D69E-410F-93A5-4176FF67C25F}" name="Column86"/>
    <tableColumn id="98" xr3:uid="{D17490CA-62A4-493F-8B83-C4CBEF58C84A}" name="Column87"/>
    <tableColumn id="99" xr3:uid="{1882DB22-B041-48A3-B2FE-2D6FD99CD453}" name="Column88"/>
    <tableColumn id="100" xr3:uid="{24E6BD19-DC45-4BB6-8BB8-A390417DD658}" name="Column89"/>
    <tableColumn id="101" xr3:uid="{02341ACA-4F64-43AE-AAC4-37725C76F8E9}" name="Column90"/>
    <tableColumn id="102" xr3:uid="{22A4FD02-FE66-447C-9AE0-7DE318744F29}" name="Column91"/>
    <tableColumn id="103" xr3:uid="{26CF47CA-8EEE-4C64-BC70-590E2F051EE6}" name="Column92"/>
    <tableColumn id="104" xr3:uid="{7ABF5842-2E9B-46B8-B8B4-89D2060F9267}" name="Column93"/>
    <tableColumn id="105" xr3:uid="{84B1FD9F-0113-4EED-9555-83B3E41AFF7F}" name="Column94"/>
    <tableColumn id="106" xr3:uid="{6CB71E42-F410-490D-A5A9-5F3D152F4AB4}" name="Column95"/>
    <tableColumn id="107" xr3:uid="{80F3E3C0-C90C-4A14-A8C2-67AC9979DA3C}" name="Column96"/>
    <tableColumn id="108" xr3:uid="{B14017B6-96CD-4988-B78F-0B16449A7F28}" name="Column97"/>
    <tableColumn id="109" xr3:uid="{F90BF207-67A4-49A9-BF4E-40EBEC80C874}" name="Column98"/>
    <tableColumn id="110" xr3:uid="{469BC546-C3D7-4767-8A8E-B41D8527C75D}" name="Column99"/>
    <tableColumn id="111" xr3:uid="{183FDC8D-20D8-4276-88B3-6B7E5B2217A7}" name="Column100"/>
    <tableColumn id="112" xr3:uid="{A82226EC-BB07-4BAD-980B-36303F0E7751}" name="Column101"/>
    <tableColumn id="113" xr3:uid="{9B8EA0E5-0EE6-46E3-A3D1-0D45F2F0675C}" name="Column102"/>
    <tableColumn id="114" xr3:uid="{5CB2C00A-CD7E-4B94-BFFA-09B60047AB85}" name="Column103"/>
    <tableColumn id="115" xr3:uid="{DF40CD82-8055-4A14-AFC3-3EAACAE52C37}" name="Column104"/>
    <tableColumn id="116" xr3:uid="{C0BF9FF7-BBF1-4E32-8473-87E4BC6F3854}" name="Column105"/>
    <tableColumn id="117" xr3:uid="{03849E79-F790-4F50-9FD9-48ADD5D6FCB7}" name="Column106"/>
    <tableColumn id="118" xr3:uid="{879F0B22-FA7F-42B2-AFB2-3D0DB12551DE}" name="Column107"/>
    <tableColumn id="119" xr3:uid="{8ED7E3D1-8B9E-4696-9423-EAD0698C719D}" name="Column108"/>
    <tableColumn id="120" xr3:uid="{20F7E570-4EC7-447C-8E61-31793A1C5A22}" name="Column109"/>
    <tableColumn id="121" xr3:uid="{611CDA45-DE42-4191-81AB-24EB79CBC9D7}" name="Column110"/>
    <tableColumn id="122" xr3:uid="{0BAA5A97-3E4E-4F0E-AFB2-23080402C014}" name="Column111"/>
    <tableColumn id="123" xr3:uid="{AE9FCEB9-50B5-44C3-A753-CE2FF72FF059}" name="Column112"/>
    <tableColumn id="124" xr3:uid="{6492E3D0-EFCB-4214-9286-976C975AA445}" name="Column113"/>
    <tableColumn id="125" xr3:uid="{CDFD7391-1315-4F32-ADBE-034E7AA88DA8}" name="Column114"/>
    <tableColumn id="126" xr3:uid="{102C626D-D324-4C56-9218-73DF7A583C77}" name="Column115"/>
    <tableColumn id="127" xr3:uid="{6B589ABB-2833-418F-BF45-2DC83034885B}" name="Column116"/>
    <tableColumn id="128" xr3:uid="{846FE4E4-F5A6-4BD3-99F0-9BACA73A5818}" name="Column117"/>
    <tableColumn id="129" xr3:uid="{97288736-C153-4879-ADE5-9C85562724B4}" name="Column118"/>
    <tableColumn id="130" xr3:uid="{88235722-07FD-439E-B0AA-74C436D5C717}" name="Column119"/>
    <tableColumn id="131" xr3:uid="{5EA0EB01-F668-4028-8E94-7642A6078CB9}" name="Column120"/>
    <tableColumn id="132" xr3:uid="{60DBD7EA-D1E6-4FFA-96DA-91781EB5087B}" name="Column121"/>
    <tableColumn id="133" xr3:uid="{60E5D49D-17A8-47D2-85F2-34A49FE60C51}" name="Column122"/>
    <tableColumn id="134" xr3:uid="{CF378CF0-EF6B-4377-B511-1F03FCA44A62}" name="Column123"/>
    <tableColumn id="135" xr3:uid="{0EF4196D-3FCC-47E6-ABE8-B73C8E41FE72}" name="Column124"/>
    <tableColumn id="136" xr3:uid="{9B713A0D-EF33-4ED9-A8D8-A75A7A37FDA3}" name="Column125"/>
    <tableColumn id="137" xr3:uid="{D0623E0B-B6BC-4551-BB32-2DD0DB8DE142}" name="Column126"/>
    <tableColumn id="138" xr3:uid="{C0A40165-D8C7-494A-B6D9-FF5B318005E1}" name="Column127"/>
    <tableColumn id="139" xr3:uid="{73BE14D0-C519-40B4-91A5-90B81F11DE3C}" name="Column128"/>
    <tableColumn id="140" xr3:uid="{0A995C96-89C9-4B98-85DB-420D7E3F1ADD}" name="Column129"/>
    <tableColumn id="141" xr3:uid="{27CCE463-A779-4DB2-8B79-01656A5096CD}" name="Column130"/>
    <tableColumn id="142" xr3:uid="{1D2349B2-A288-4A22-964E-7C34FF2DA807}" name="Column131"/>
    <tableColumn id="143" xr3:uid="{8B6FE6AC-A72E-4AF7-89B3-C1D309039E96}" name="Column132"/>
    <tableColumn id="144" xr3:uid="{8058BE6A-89F1-4537-B325-73834E19815F}" name="Column133"/>
    <tableColumn id="145" xr3:uid="{83639B13-992B-4549-AECC-E1D602E5F333}" name="Column134"/>
    <tableColumn id="146" xr3:uid="{5D4E7B0C-0ADE-4578-A5C7-94896E164124}" name="Column135"/>
    <tableColumn id="147" xr3:uid="{C02A02CD-4757-4E1E-9FBA-F14571D51C4E}" name="Column136"/>
    <tableColumn id="148" xr3:uid="{B47631BB-0315-4E02-ABCB-42658664C7D3}" name="Column137"/>
    <tableColumn id="149" xr3:uid="{FD090562-449F-4489-8111-3195EE23D3DF}" name="Column138"/>
    <tableColumn id="150" xr3:uid="{DDB9D2DC-FCDB-4B46-81B4-C95E76B9FDB4}" name="Column139"/>
    <tableColumn id="151" xr3:uid="{EE9194FC-5BE6-4FD9-9184-0CE3329FE1D2}" name="Column140"/>
    <tableColumn id="152" xr3:uid="{9C8231E9-E8AB-47C9-8DC4-DEA3558FFEC5}" name="Column141"/>
    <tableColumn id="153" xr3:uid="{D61D0F56-7C86-4952-8E98-908CC4514A7C}" name="Column142"/>
    <tableColumn id="154" xr3:uid="{A9618F01-C26C-4A08-AA8D-FD739975AC86}" name="Column143"/>
    <tableColumn id="155" xr3:uid="{5770B124-A1FE-4545-87A1-85194A6A2573}" name="Column144"/>
    <tableColumn id="156" xr3:uid="{1E335D93-3F15-431E-A728-F10C01100B95}" name="Column145"/>
    <tableColumn id="157" xr3:uid="{0DFA1AA7-FDD0-4DA1-8CA9-17382D33BFB9}" name="Column146"/>
    <tableColumn id="158" xr3:uid="{4DE4568C-5B0D-424D-ADB7-3549259BBBBE}" name="Column147"/>
    <tableColumn id="159" xr3:uid="{5548D1EF-49E5-4174-A686-4E877FE3B815}" name="Column148"/>
    <tableColumn id="160" xr3:uid="{7604A9BB-2FC6-477C-832B-F0E577205090}" name="Column149"/>
    <tableColumn id="161" xr3:uid="{9C93A6B0-5607-46DE-BBEC-3D5ECC3272C8}" name="Column150"/>
    <tableColumn id="162" xr3:uid="{7DDB63CC-D4E7-4946-93A1-F13315248334}" name="Column151"/>
    <tableColumn id="163" xr3:uid="{976B0AEC-24D9-4C3E-9621-F015349DE054}" name="Column152"/>
    <tableColumn id="164" xr3:uid="{747DE7D3-E42D-4FAC-8D55-DFA132E54282}" name="Column153"/>
    <tableColumn id="165" xr3:uid="{BD998C14-0D0E-4546-A0A6-F6ACA85FE920}" name="Column154"/>
    <tableColumn id="166" xr3:uid="{523E6C68-AEDF-45BE-9C87-5144918D1AD6}" name="Column155"/>
    <tableColumn id="167" xr3:uid="{C8BF938C-0F08-433B-ABCB-68C3D61F1999}" name="Column156"/>
    <tableColumn id="168" xr3:uid="{1123BF6C-4D26-482B-A66B-0252D661C88F}" name="Column157"/>
    <tableColumn id="169" xr3:uid="{92E32DF0-5C1D-408E-A8AA-14201B4B822A}" name="Column158"/>
    <tableColumn id="170" xr3:uid="{23F18F7C-0010-4EC5-8D24-CE107093E84F}" name="Column159"/>
    <tableColumn id="171" xr3:uid="{F8ED08D7-EB06-43F9-86DD-9BCE7306481A}" name="Column160"/>
    <tableColumn id="172" xr3:uid="{9D0421B6-4BA4-400E-A20C-7D84D7FC70E2}" name="Column161"/>
    <tableColumn id="173" xr3:uid="{E0E04D56-C7CD-4F5A-B449-35A1F5636405}" name="Column162"/>
    <tableColumn id="174" xr3:uid="{2BC3D4B4-33B3-40A6-A66C-B774CD161C30}" name="Column163"/>
    <tableColumn id="175" xr3:uid="{6B83BFEB-5AE3-450C-A217-366C9D24940E}" name="Column164"/>
    <tableColumn id="176" xr3:uid="{DA1FB524-1526-4715-9FA1-EE266F2A00DA}" name="Column165"/>
    <tableColumn id="177" xr3:uid="{E846BEA3-4D4C-4580-B251-6E4BFCF83C62}" name="Column166"/>
    <tableColumn id="178" xr3:uid="{4752594B-6D84-45AA-93B8-9D9482319C54}" name="Column167"/>
    <tableColumn id="179" xr3:uid="{A90FD305-BDB7-4BD2-8DBB-655BD1C24D1D}" name="Column168"/>
    <tableColumn id="180" xr3:uid="{55EEEA9F-7ABE-4DA3-A04E-A52D147B9A1B}" name="Column169"/>
    <tableColumn id="181" xr3:uid="{93A3CF2B-D278-4E43-AEF5-F2813473200E}" name="Column170"/>
    <tableColumn id="182" xr3:uid="{40A2AAD3-5E0B-45B8-AB42-40E85A9FF021}" name="Column171"/>
    <tableColumn id="183" xr3:uid="{01D5B0F1-FB8D-4E35-AEB3-221D29082740}" name="Column172"/>
    <tableColumn id="184" xr3:uid="{49C08F63-6420-473E-A040-81EF96FA01BF}" name="Column173"/>
    <tableColumn id="185" xr3:uid="{AD940D5E-7994-42A9-82F7-F03CBCA9D0AA}" name="Column174"/>
    <tableColumn id="186" xr3:uid="{F9DD3F16-922B-46B6-A2B8-93D3AE563227}" name="Column175"/>
    <tableColumn id="187" xr3:uid="{1201B4F9-10B5-45B6-B82A-FF39376DC1B3}" name="Column176"/>
    <tableColumn id="188" xr3:uid="{6AC8645C-78F4-4BD4-B6EF-D2DA59BD0AD4}" name="Column177"/>
    <tableColumn id="189" xr3:uid="{EA63D835-6706-4960-B4B8-06832D487C30}" name="Column178"/>
    <tableColumn id="190" xr3:uid="{48F1CBBC-938A-454F-B537-5EAD007AAFB8}" name="Column179"/>
    <tableColumn id="191" xr3:uid="{97DCD3C1-FAA7-46B0-B030-7308E9B3EA0B}" name="Column180"/>
    <tableColumn id="192" xr3:uid="{1AD8B657-536B-4711-A7B3-F12211A6C0C3}" name="Column181"/>
    <tableColumn id="193" xr3:uid="{636D56F1-84DB-4B29-B25B-4002BEEC5A61}" name="Column182"/>
    <tableColumn id="194" xr3:uid="{6F57CA2B-F397-4CE4-A874-55ECC96915EB}" name="Column183"/>
    <tableColumn id="195" xr3:uid="{BB542813-5228-46F4-A44C-BF764ADEE8F4}" name="Column184"/>
    <tableColumn id="196" xr3:uid="{48B4E00E-3C88-468B-B9B4-E39D74C28752}" name="Column185"/>
    <tableColumn id="197" xr3:uid="{48B938F7-C2BA-4517-8C33-9ADF7D63F14E}" name="Column186"/>
    <tableColumn id="198" xr3:uid="{BA2C465C-AC8F-416A-A00B-16C13C91035A}" name="Column187"/>
    <tableColumn id="199" xr3:uid="{9306B2A9-26E3-46C3-BCD5-3304A6A1F512}" name="Column188"/>
    <tableColumn id="200" xr3:uid="{D06A3281-6C32-4DFE-91AE-C140A3C908C2}" name="Column189"/>
    <tableColumn id="201" xr3:uid="{4C1DCF1F-DDCB-4C71-B42C-36051FD7D17C}" name="Column190"/>
    <tableColumn id="202" xr3:uid="{7340F6ED-283C-40DE-B26F-BE2816A71AB7}" name="Column191"/>
    <tableColumn id="203" xr3:uid="{0D44F38C-5D1B-46AA-9F68-A5FF1B73020A}" name="Column192"/>
    <tableColumn id="204" xr3:uid="{39053719-8E8D-425F-8A39-5F68CDE035C4}" name="Column193"/>
    <tableColumn id="205" xr3:uid="{A1B7521D-93FD-4B6A-96D6-8EF32F8D58EB}" name="Column194"/>
    <tableColumn id="206" xr3:uid="{CF52E3EE-49A8-4335-A1B6-11087630876B}" name="Column195"/>
    <tableColumn id="207" xr3:uid="{6B6A487F-E400-47BD-8208-B19CF0246965}" name="Column196"/>
    <tableColumn id="208" xr3:uid="{2135DE14-5412-400E-9CFE-D59FB42020DB}" name="Column197"/>
    <tableColumn id="209" xr3:uid="{E48AAAC5-ABF5-4105-823B-032C7AB5E17F}" name="Column198"/>
    <tableColumn id="210" xr3:uid="{4B4A1253-C95D-470C-95F3-DBAA3E566B36}" name="Column199"/>
    <tableColumn id="211" xr3:uid="{302F064F-9424-4CD8-A93F-0CE931DE578D}" name="Column200"/>
    <tableColumn id="212" xr3:uid="{5681C898-6727-4006-A70E-194D62B2FCCE}" name="Column201"/>
    <tableColumn id="213" xr3:uid="{F460633B-5676-4E1B-9B86-77D5C983DDC7}" name="Column202"/>
    <tableColumn id="214" xr3:uid="{A39CBE5D-F0EF-4947-BFAE-E61C9FFF7E6E}" name="Column203"/>
    <tableColumn id="215" xr3:uid="{76A2BFEE-CACC-4CEB-B572-4F60B39B2413}" name="Column204"/>
    <tableColumn id="216" xr3:uid="{38BA530E-8988-432F-906F-A27A54C073A4}" name="Column205"/>
    <tableColumn id="217" xr3:uid="{E20AE068-4533-4D09-A801-18832F523E4E}" name="Column206"/>
    <tableColumn id="218" xr3:uid="{A98F3C6A-42EE-4314-A509-52EBF7F2F94D}" name="Column207"/>
    <tableColumn id="219" xr3:uid="{D464D80B-102E-4E6D-9F75-060C9FC9D8C7}" name="Column208"/>
    <tableColumn id="220" xr3:uid="{9A054156-F57F-4B60-B309-FF75BD49949D}" name="Column209"/>
    <tableColumn id="221" xr3:uid="{801558D1-2C80-4EBA-80A1-115E1B579793}" name="Column210"/>
    <tableColumn id="222" xr3:uid="{CE393C43-7534-40B8-B24B-91F6D5472415}" name="Column211"/>
    <tableColumn id="223" xr3:uid="{F7F7FA3A-3622-4FA2-997D-F76DC3F9D4D5}" name="Column212"/>
    <tableColumn id="224" xr3:uid="{83C64688-2EE2-4013-B709-F449A24E0514}" name="Column213"/>
    <tableColumn id="225" xr3:uid="{387A561D-B224-4218-867B-D53C3E405996}" name="Column214"/>
    <tableColumn id="226" xr3:uid="{A5344721-5379-4FF4-A30F-BAC264A9E420}" name="Column215"/>
    <tableColumn id="227" xr3:uid="{04B8BBB1-70A8-4C20-87D7-9B0D52E38B68}" name="Column216"/>
    <tableColumn id="228" xr3:uid="{A1605D8C-F7E5-43D3-AD74-7403ED8C3D1E}" name="Column217"/>
    <tableColumn id="229" xr3:uid="{655C55CD-4857-4039-9C81-B001DA5A98A6}" name="Column218"/>
    <tableColumn id="230" xr3:uid="{417301F8-6E74-49A9-915E-3C545645B8EE}" name="Column219"/>
    <tableColumn id="231" xr3:uid="{03596ED6-7CFB-4D5D-ADAE-AF0E40DC9C45}" name="Column220"/>
    <tableColumn id="232" xr3:uid="{680DA199-A4C4-4422-AF86-B67A2BF3A230}" name="Column221"/>
    <tableColumn id="233" xr3:uid="{4066F189-D8CE-4C0E-BD9C-25D54EA8D77C}" name="Column222"/>
    <tableColumn id="234" xr3:uid="{C4D84880-4540-4398-B236-C8AAE8FAC80F}" name="Column223"/>
    <tableColumn id="235" xr3:uid="{CDFE9BC4-E089-4E45-A083-DB07F07453CB}" name="Column224"/>
    <tableColumn id="236" xr3:uid="{E4F4BEF6-7CBE-4948-B233-F27353FEEC38}" name="Column225"/>
    <tableColumn id="237" xr3:uid="{3E6FF7B2-41DF-4225-9D40-14490FA7E69A}" name="Column226"/>
    <tableColumn id="238" xr3:uid="{2ECA6005-EAF5-4581-B48D-F4DF876E10F0}" name="Column227"/>
    <tableColumn id="239" xr3:uid="{CCCC239F-7CF0-4BA3-A271-9840F1671F78}" name="Column228"/>
    <tableColumn id="240" xr3:uid="{16A9E949-6F58-4682-BBE4-1A7C352FF406}" name="Column229"/>
    <tableColumn id="241" xr3:uid="{E9D32E52-FF43-4962-876A-66DE37F98D1C}" name="Column230"/>
    <tableColumn id="242" xr3:uid="{9263C6B9-07BB-41A5-95A4-7AA75B7C1CF8}" name="Column231"/>
    <tableColumn id="243" xr3:uid="{DC6DACD0-F08E-4DE8-8F89-4DE522491A7C}" name="Column232"/>
    <tableColumn id="244" xr3:uid="{DB54A188-5B75-4E69-8867-C4BE11A5741E}" name="Column233"/>
    <tableColumn id="245" xr3:uid="{CCC7486D-1985-4FF6-8CC8-3268E99D349E}" name="Column234"/>
    <tableColumn id="246" xr3:uid="{1FDE3AE3-99DC-41F3-8CF9-D4F4D6F1BAD4}" name="Column235"/>
    <tableColumn id="247" xr3:uid="{04FEE2CC-4A05-4200-9622-DBA36182E2CC}" name="Column236"/>
    <tableColumn id="248" xr3:uid="{6A0DAD15-47C2-432E-971D-3DD4E2D6E92A}" name="Column237"/>
    <tableColumn id="249" xr3:uid="{F7077959-2B29-437B-A514-B390A205D621}" name="Column238"/>
    <tableColumn id="250" xr3:uid="{51E74D3A-E853-41E3-B8F1-69B116E4A8E2}" name="Column239"/>
    <tableColumn id="251" xr3:uid="{C69C2272-DAD3-48A4-9A76-C9C680816D14}" name="Column240"/>
    <tableColumn id="252" xr3:uid="{3BECF7CF-1B02-4695-AE35-A0ADF905A38D}" name="Column241"/>
    <tableColumn id="253" xr3:uid="{F2C3D5D2-B085-44FF-885C-503629576528}" name="Column242"/>
    <tableColumn id="254" xr3:uid="{077F5B3F-5A99-4CA7-9460-455FBA08E9D4}" name="Column243"/>
    <tableColumn id="255" xr3:uid="{03938745-F3BE-47E5-B495-7CB40C1CD5C2}" name="Column244"/>
    <tableColumn id="256" xr3:uid="{7B05570C-B949-4E96-B11E-C42AE34C589E}" name="Column245"/>
    <tableColumn id="257" xr3:uid="{49F46918-1E9F-4DC7-A3E7-49B87FBB34EC}" name="Column246"/>
    <tableColumn id="258" xr3:uid="{D995BED5-9534-40B6-B149-D732D6A1B170}" name="Column247"/>
    <tableColumn id="259" xr3:uid="{703D8CBC-23EB-499A-AF47-357798E5AE18}" name="Column248"/>
    <tableColumn id="260" xr3:uid="{11AC1F12-8A79-40F4-8DA0-A9DFCC91C175}" name="Column249"/>
    <tableColumn id="261" xr3:uid="{6CE83B54-AF6A-43B7-98CB-0DC77EF731E5}" name="Column250"/>
    <tableColumn id="262" xr3:uid="{CC1B9125-EE57-44AB-ADDF-F65B4B123035}" name="Column251"/>
    <tableColumn id="263" xr3:uid="{CFA74F85-DE03-411F-9A36-2EF9010D82E1}" name="Column252"/>
    <tableColumn id="264" xr3:uid="{EDB9B254-19CA-4160-A6DE-90D2B7B59D3D}" name="Column253"/>
    <tableColumn id="265" xr3:uid="{FE63BE03-1A93-4E0F-8306-85885A22E62C}" name="Column254"/>
    <tableColumn id="266" xr3:uid="{AB410AFE-7FBF-4166-B4A1-33B717CD569A}" name="Column255"/>
    <tableColumn id="267" xr3:uid="{92D72240-3685-4417-9D8E-C291365828CD}" name="Column256"/>
    <tableColumn id="268" xr3:uid="{65AE33D2-1C31-41EA-A364-9C0ABEB40A01}" name="Column257"/>
    <tableColumn id="269" xr3:uid="{B721A687-2D2A-441D-9EA9-960A52FF67BE}" name="Column258"/>
    <tableColumn id="270" xr3:uid="{95C0F2B4-90C2-43CE-9620-91415EBF715E}" name="Column259"/>
    <tableColumn id="271" xr3:uid="{A8272E45-72B6-4F7E-8D85-39840191A154}" name="Column260"/>
    <tableColumn id="272" xr3:uid="{739F669A-1DED-4551-B5A5-8CF16451DE9B}" name="Column261"/>
    <tableColumn id="273" xr3:uid="{C1C7EEDB-1A17-429D-B502-1B84610417E5}" name="Column262"/>
    <tableColumn id="274" xr3:uid="{0857D04E-493C-46F8-AA81-5FB6F57907B1}" name="Column263"/>
    <tableColumn id="275" xr3:uid="{AFE4954B-0B2B-4502-922F-16877CF1DDDA}" name="Column264"/>
    <tableColumn id="276" xr3:uid="{34CE67D2-75AD-4471-B51F-796EF866A53E}" name="Column265"/>
    <tableColumn id="277" xr3:uid="{5603BCB5-8DD7-4BB4-A1E6-16F81DAE3831}" name="Column266"/>
    <tableColumn id="278" xr3:uid="{52BEB21F-54F5-4174-824B-A4DD2B7085F9}" name="Column267"/>
    <tableColumn id="279" xr3:uid="{BEA7393C-FB87-43CC-A09E-AB485E6430B0}" name="Column268"/>
    <tableColumn id="280" xr3:uid="{484BF9FE-7B5A-477F-89D6-BA74D67C84C1}" name="Column269"/>
    <tableColumn id="281" xr3:uid="{C834489F-5AA6-4A37-A061-720FE66EBE8E}" name="Column270"/>
    <tableColumn id="282" xr3:uid="{45D7187A-F6EE-4887-800D-0339BFC44C93}" name="Column271"/>
    <tableColumn id="283" xr3:uid="{821DC4EE-79A4-49B5-8055-3C133AB52C8E}" name="Column272"/>
    <tableColumn id="284" xr3:uid="{7B77E7A1-64EC-4DD6-81EB-93DB7DF5FD9C}" name="Column273"/>
    <tableColumn id="285" xr3:uid="{76CA205B-01F7-4564-8147-021D1A45DAD8}" name="Column274"/>
    <tableColumn id="286" xr3:uid="{473E77E1-142B-4025-BDEE-32C98776AEC7}" name="Column275"/>
    <tableColumn id="287" xr3:uid="{D64A45DC-9CA8-4800-899B-12C8A0C16D87}" name="Column276"/>
    <tableColumn id="288" xr3:uid="{5C92095C-45A9-4D28-B1EF-5B9AA1F3E86B}" name="Column277"/>
    <tableColumn id="289" xr3:uid="{FDD8D97E-A87A-4D5F-935F-DBF7AA2AAAFE}" name="Column278"/>
    <tableColumn id="290" xr3:uid="{D1D39C52-5C43-4FCB-9393-3681327051DB}" name="Column279"/>
    <tableColumn id="291" xr3:uid="{73EC98DE-CC05-429F-BA32-D7DBE8DF6DC3}" name="Column280"/>
    <tableColumn id="292" xr3:uid="{88438BFA-7462-4DC4-82AF-92D2DFFE2BC1}" name="Column281"/>
    <tableColumn id="293" xr3:uid="{CDA40189-4A8B-4D34-B479-04CFE3B7017B}" name="Column282"/>
    <tableColumn id="294" xr3:uid="{F8A943F4-9937-41E5-A67B-9A45E63D18C9}" name="Column283"/>
    <tableColumn id="295" xr3:uid="{8EEB946E-CE08-44A7-854F-C48B35FFE904}" name="Column284"/>
    <tableColumn id="296" xr3:uid="{B49BAFDE-EB80-4C43-A52F-7A3142A9D28D}" name="Column285"/>
    <tableColumn id="297" xr3:uid="{FB0D459F-047A-454F-B4F1-1C4C6D73B44C}" name="Column286"/>
    <tableColumn id="298" xr3:uid="{C59E698C-7380-4610-AF2B-81552EB9E56A}" name="Column287"/>
    <tableColumn id="299" xr3:uid="{C7ED239E-8F89-43EF-B2D5-24015D14E135}" name="Column288"/>
    <tableColumn id="300" xr3:uid="{13EDD6BF-BA86-4B6F-92FF-855A4C4B4994}" name="Column289"/>
    <tableColumn id="301" xr3:uid="{24031288-D40B-4C23-9915-CDD91F38D24F}" name="Column290"/>
    <tableColumn id="302" xr3:uid="{6FC7BAA3-8550-4B2C-8320-179FA00CF1DD}" name="Column291"/>
    <tableColumn id="303" xr3:uid="{1E2D1BAF-6FFC-45A5-95D5-4887325E4EBE}" name="Column292"/>
    <tableColumn id="304" xr3:uid="{90218DA7-C8A8-4160-9469-9F9B1D28C475}" name="Column293"/>
    <tableColumn id="305" xr3:uid="{4D15555A-CF32-4693-9D97-65022D45CE56}" name="Column294"/>
    <tableColumn id="306" xr3:uid="{9A48316C-999F-43B9-B4C2-1A283C3D5146}" name="Column295"/>
    <tableColumn id="307" xr3:uid="{E55F2864-9A36-4A9B-81C4-03EB59A2F909}" name="Column296"/>
    <tableColumn id="308" xr3:uid="{7B6FDC99-8DF4-4FD5-87A8-5E307D601CB5}" name="Column297"/>
    <tableColumn id="309" xr3:uid="{40B20AC4-5124-449F-A501-7831482375A9}" name="Column298"/>
    <tableColumn id="310" xr3:uid="{2ACF1A8E-8545-4204-A4D2-FDEA00B1E2A2}" name="Column299"/>
    <tableColumn id="311" xr3:uid="{4135ECFA-5F53-4C48-9B56-84C5E65389C5}" name="Column300"/>
    <tableColumn id="312" xr3:uid="{455A06B5-12A4-4C2A-B0EC-C289EC1003AE}" name="Column301"/>
    <tableColumn id="313" xr3:uid="{BBE75F56-3ED1-4E11-BCFA-B9E5D9F644AC}" name="Column302"/>
    <tableColumn id="314" xr3:uid="{85B365EB-1770-4A89-8C9E-E825CF2B814C}" name="Column303"/>
    <tableColumn id="315" xr3:uid="{20E6B211-82B8-43E1-9FFF-50B700A56E8B}" name="Column304"/>
    <tableColumn id="316" xr3:uid="{05F36AB3-34DF-4DF5-B526-F80160C886AF}" name="Column305"/>
    <tableColumn id="317" xr3:uid="{A2F07BBB-4DEF-4EF9-A4D2-2971F686B392}" name="Column306"/>
    <tableColumn id="318" xr3:uid="{930FBFB9-1A1A-4E2A-8591-829219F94858}" name="Column307"/>
    <tableColumn id="319" xr3:uid="{2F44C701-1818-4104-B05D-67FCDDC40F43}" name="Column308"/>
    <tableColumn id="320" xr3:uid="{EB9674DA-8278-40C6-BF11-CBBC043DE593}" name="Column309"/>
    <tableColumn id="321" xr3:uid="{EA74508D-B44C-4DD1-AF7F-97FAD67475D2}" name="Column310"/>
    <tableColumn id="322" xr3:uid="{5FE35A40-2D3F-48CD-9A11-87965267D431}" name="Column311"/>
    <tableColumn id="323" xr3:uid="{7B13580B-08F3-4F4C-93CD-6A90DB8CCFD2}" name="Column312"/>
    <tableColumn id="324" xr3:uid="{32168689-5283-4AD3-95E4-2053223BFCB7}" name="Column313"/>
    <tableColumn id="325" xr3:uid="{039F9C7F-8C5E-4548-A33E-5CB70F4EE682}" name="Column314"/>
    <tableColumn id="326" xr3:uid="{6AD2713D-B57F-483E-984F-7B56F2F311BE}" name="Column315"/>
    <tableColumn id="327" xr3:uid="{F4EE3F01-DE1B-4CAD-A3B8-CA4E7234D9EC}" name="Column316"/>
    <tableColumn id="328" xr3:uid="{4FA4307F-514C-452D-A440-E77F2E5DAD29}" name="Column317"/>
    <tableColumn id="329" xr3:uid="{7A354B22-F447-4A74-9C87-7B84F18749DB}" name="Column318"/>
    <tableColumn id="330" xr3:uid="{C1B54E3A-EDC3-4F83-91E3-CFBD176BC94C}" name="Column319"/>
    <tableColumn id="331" xr3:uid="{27A5A2CA-4D6E-4D0A-91B0-E1310E86EE83}" name="Column320"/>
    <tableColumn id="332" xr3:uid="{DF95E7C7-D854-4E07-8562-67F9132E1FB1}" name="Column321"/>
    <tableColumn id="333" xr3:uid="{E1C5EBFC-F5D4-4EEE-922A-1CB163128B28}" name="Column322"/>
    <tableColumn id="334" xr3:uid="{950E84FC-8DE6-4B2B-A5E9-ABE3E932CD91}" name="Column323"/>
    <tableColumn id="335" xr3:uid="{C41AC0FD-E490-4325-ACA1-AB140461F34A}" name="Column324"/>
    <tableColumn id="336" xr3:uid="{4F797FF7-6828-4895-A53F-A0F1C5B12199}" name="Column325"/>
    <tableColumn id="337" xr3:uid="{6C4DFC32-47F7-4E8E-9212-4CF4DA4FD8E2}" name="Column326"/>
    <tableColumn id="338" xr3:uid="{96396202-129E-4517-B3E0-C077E28690AB}" name="Column327"/>
    <tableColumn id="339" xr3:uid="{182253E3-E80C-46A1-BED6-33AB6C0B163F}" name="Column328"/>
    <tableColumn id="340" xr3:uid="{0C594FD9-2B6E-4651-B28F-3A3C95078AC2}" name="Column329"/>
    <tableColumn id="341" xr3:uid="{540A9511-46FC-4015-A366-2822BA7D58F6}" name="Column330"/>
    <tableColumn id="342" xr3:uid="{AA9B8D69-1BE2-43C5-850E-A306D8FC8417}" name="Column331"/>
    <tableColumn id="343" xr3:uid="{4E560F1E-9DA7-43E9-BC25-8F6BD032B258}" name="Column332"/>
    <tableColumn id="344" xr3:uid="{54B9E84C-DE68-48FB-BBAF-3BBDFD9CB128}" name="Column333"/>
    <tableColumn id="345" xr3:uid="{B97247FE-62E5-426B-B9FE-06FED5A98F71}" name="Column334"/>
    <tableColumn id="346" xr3:uid="{3B379570-50A1-456A-9820-6BF7453652E9}" name="Column335"/>
    <tableColumn id="347" xr3:uid="{35784800-DC88-4E3A-BEC9-22760EFF168A}" name="Column336"/>
    <tableColumn id="348" xr3:uid="{B0BF2B7D-818C-4458-A074-34C657AD8CCD}" name="Column337"/>
    <tableColumn id="349" xr3:uid="{93B53055-4F5C-41F5-AE8D-8BBAC16A6E5C}" name="Column338"/>
    <tableColumn id="350" xr3:uid="{89CB4CD5-52B9-4E51-8D42-DD177713C299}" name="Column339"/>
    <tableColumn id="351" xr3:uid="{C85988EB-5F0A-4AA2-9BC0-C2043BBE3A59}" name="Column340"/>
    <tableColumn id="352" xr3:uid="{E7706AED-7D12-4F1B-8AEC-1383A5F09F33}" name="Column341"/>
    <tableColumn id="353" xr3:uid="{EEA76951-605A-4221-A231-C4B068865652}" name="Column342"/>
    <tableColumn id="354" xr3:uid="{9F806C14-CFC4-41C6-9251-068ACB4B5229}" name="Column343"/>
    <tableColumn id="355" xr3:uid="{A3C568ED-7913-4D83-A987-21EDD38656F0}" name="Column344"/>
    <tableColumn id="356" xr3:uid="{594F5A5A-3A87-4BE6-AD5D-70D4A59FCFD3}" name="Column345"/>
    <tableColumn id="357" xr3:uid="{D4F88778-2677-4D80-BE61-A8937A631586}" name="Column346"/>
    <tableColumn id="358" xr3:uid="{CB9ECA54-AC16-44D3-9265-E9B0F10F4A69}" name="Column347"/>
    <tableColumn id="359" xr3:uid="{1453A35D-21A0-4E02-9275-6CCD0EA10193}" name="Column348"/>
    <tableColumn id="360" xr3:uid="{3BC09A3A-A703-4067-9BD7-55E9A0BE8F41}" name="Column349"/>
    <tableColumn id="361" xr3:uid="{1DC0E118-FE77-44EA-90F5-A3066467DFDC}" name="Column350"/>
    <tableColumn id="362" xr3:uid="{E68895E9-2EC6-417F-8A9E-231777DF6D0E}" name="Column351"/>
    <tableColumn id="363" xr3:uid="{5B6A6476-CBEB-4DED-A542-4410F5122806}" name="Column352"/>
    <tableColumn id="364" xr3:uid="{87E19C74-BF20-4EEF-8CC3-457A97A6FC6D}" name="Column353"/>
    <tableColumn id="365" xr3:uid="{0FE2DA8C-2FF3-4BAD-8690-F5FF41722DA6}" name="Column354"/>
    <tableColumn id="366" xr3:uid="{70E75401-C73E-404B-9C05-08C1D3137666}" name="Column355"/>
    <tableColumn id="367" xr3:uid="{0CFC9361-F2DA-4702-87C4-13B11BCF0BA9}" name="Column356"/>
    <tableColumn id="368" xr3:uid="{C90186C0-AFD9-4FDA-BC14-76EF13097215}" name="Column357"/>
    <tableColumn id="369" xr3:uid="{4B93DB16-3018-4AD0-AB43-9A1F32256D92}" name="Column358"/>
    <tableColumn id="370" xr3:uid="{20D5B85C-0A2E-4F53-BCA2-C3E228BBFE09}" name="Column359"/>
    <tableColumn id="371" xr3:uid="{5A67D6D4-96DB-4714-9CE4-3FD74550E813}" name="Column360"/>
    <tableColumn id="372" xr3:uid="{6DDDC939-21AD-4E4B-9EDF-39D95002B307}" name="Column361"/>
    <tableColumn id="373" xr3:uid="{46381993-1068-40D8-B27E-4A388293B724}" name="Column362"/>
    <tableColumn id="374" xr3:uid="{269EF177-7610-444B-8F83-0D035B094299}" name="Column363"/>
    <tableColumn id="375" xr3:uid="{DBD2E3FE-270D-4F62-9645-92D31C3E87EA}" name="Column364"/>
    <tableColumn id="376" xr3:uid="{224CC127-C2B5-4D92-B8C3-867A0EDFD91F}" name="Column365"/>
    <tableColumn id="377" xr3:uid="{BD18CB7C-22B9-48DC-ADC6-358ADACE090F}" name="Column366"/>
    <tableColumn id="378" xr3:uid="{A550E122-B618-4761-A784-05BA9C24FDAC}" name="Column367"/>
    <tableColumn id="379" xr3:uid="{DE1FCD48-406E-4E73-B1E8-326D657E12F1}" name="Column368"/>
    <tableColumn id="380" xr3:uid="{413536C7-D6E7-4DFC-8D8D-60B0FADEE8D6}" name="Column369"/>
    <tableColumn id="381" xr3:uid="{8E943406-B1CD-4B75-8477-077556F11AC0}" name="Column370"/>
    <tableColumn id="382" xr3:uid="{F1D2BABE-8A4B-49B6-891E-EC5F60F48F24}" name="Column371"/>
    <tableColumn id="383" xr3:uid="{9C59D951-C8D3-456A-B5C4-74A7D18E3AAF}" name="Column372"/>
    <tableColumn id="384" xr3:uid="{345E911F-B1E4-42C6-B101-B256A061016F}" name="Column373"/>
    <tableColumn id="385" xr3:uid="{DCC8B8CB-5D80-42BC-AAF0-CE6621CB2B7B}" name="Column374"/>
    <tableColumn id="386" xr3:uid="{A296C513-34FD-491B-8EC5-5A44905B0D84}" name="Column375"/>
    <tableColumn id="387" xr3:uid="{75398C7D-C130-4828-A784-974254A4A393}" name="Column376"/>
    <tableColumn id="388" xr3:uid="{B90A329E-C887-47EB-BC44-C9A8FF876D09}" name="Column377"/>
    <tableColumn id="389" xr3:uid="{FCAD109D-6FBC-4C98-838E-31655F3E6106}" name="Column378"/>
    <tableColumn id="390" xr3:uid="{1F988FBE-C26C-4B1D-8B7D-0213B89B3E02}" name="Column379"/>
    <tableColumn id="391" xr3:uid="{536BF814-FF25-4AE6-AD3A-6DF9E64C16DE}" name="Column380"/>
    <tableColumn id="392" xr3:uid="{92EBC410-E6CE-44CC-BBB5-AA968780AB75}" name="Column381"/>
    <tableColumn id="393" xr3:uid="{1C64CA88-717B-4048-8B6B-F450FFB600C9}" name="Column382"/>
    <tableColumn id="394" xr3:uid="{540C7B99-8B15-481B-95F0-51B44ECB0C20}" name="Column383"/>
    <tableColumn id="395" xr3:uid="{7F4F6417-5978-4759-9B47-C11D7CBF1DE6}" name="Column384"/>
    <tableColumn id="396" xr3:uid="{91E7CF2A-6BC9-455A-9C63-CB23A4B96FBF}" name="Column385"/>
    <tableColumn id="397" xr3:uid="{FC62360B-F7BC-41AC-ADF8-243F48D421F6}" name="Column386"/>
    <tableColumn id="398" xr3:uid="{72FA58D5-CDEA-47C2-BCBE-2D2C1B18BE28}" name="Column387"/>
    <tableColumn id="399" xr3:uid="{55D98291-FE3A-4A7A-B4AD-15126242BF99}" name="Column388"/>
    <tableColumn id="400" xr3:uid="{A1B05188-6195-46E5-9D32-95D4A1AC9EAD}" name="Column389"/>
    <tableColumn id="401" xr3:uid="{71B04059-94E5-4840-8878-D2E0DDEC8B94}" name="Column390"/>
    <tableColumn id="402" xr3:uid="{4C37B62F-54DD-43B7-BEDC-893822D89611}" name="Column391"/>
    <tableColumn id="403" xr3:uid="{15DE0337-301C-455F-93DE-93932EDFD6DE}" name="Column392"/>
    <tableColumn id="404" xr3:uid="{A212468F-131E-4087-826D-3DA3236FA8FD}" name="Column393"/>
    <tableColumn id="405" xr3:uid="{326FC023-A01E-4E16-8B0F-66ADCE9979B8}" name="Column394"/>
    <tableColumn id="406" xr3:uid="{55119379-799A-4DAB-8C30-F40704377BA4}" name="Column395"/>
    <tableColumn id="407" xr3:uid="{F5A76F1C-5E13-405D-93D3-130CEBEEEEAD}" name="Column396"/>
    <tableColumn id="408" xr3:uid="{62AA60DA-9F80-496B-B261-F0461DA38ABB}" name="Column397"/>
    <tableColumn id="409" xr3:uid="{13097FE2-280D-43F5-97AA-F8C84D72FFE3}" name="Column398"/>
    <tableColumn id="410" xr3:uid="{7794E060-9DAA-4A20-A162-C099E2CEBB12}" name="Column399"/>
    <tableColumn id="411" xr3:uid="{1F38CFDA-C82B-4F47-B861-3D7446FFDEF9}" name="Column400"/>
    <tableColumn id="412" xr3:uid="{6B1C26FB-F67D-4B74-9730-24EC41B371EC}" name="Column401"/>
    <tableColumn id="413" xr3:uid="{B434F5BB-AB10-4602-AF85-53369F6F33C9}" name="Column402"/>
    <tableColumn id="414" xr3:uid="{7E0578AE-6861-46FF-8BA8-51AA3CE8D8F8}" name="Column403"/>
    <tableColumn id="415" xr3:uid="{E3380690-58D6-4D5D-99C7-40E47CAA1C35}" name="Column404"/>
    <tableColumn id="416" xr3:uid="{855A9039-1D8A-4920-9762-9D33CA7E5413}" name="Column405"/>
    <tableColumn id="417" xr3:uid="{028D1550-6D87-430B-955A-B670B6DF5474}" name="Column406"/>
    <tableColumn id="418" xr3:uid="{D12F6435-A482-4913-A14A-14DD5657A014}" name="Column407"/>
    <tableColumn id="419" xr3:uid="{36B1BCCE-773E-4460-8EDE-D64986878114}" name="Column408"/>
    <tableColumn id="420" xr3:uid="{8CE60CF4-A793-4007-9378-56142FAF374A}" name="Column409"/>
    <tableColumn id="421" xr3:uid="{43F7EB3F-98F2-42F9-976C-5BB281F6354E}" name="Column410"/>
    <tableColumn id="422" xr3:uid="{79C3DCBA-AF88-4BB1-B544-A5D1B3BEE2FA}" name="Column411"/>
    <tableColumn id="423" xr3:uid="{94066981-8684-4778-BFC8-39FA179AF9B7}" name="Column412"/>
    <tableColumn id="424" xr3:uid="{A1907B2D-A5D2-4A2C-820E-9227FDDC9543}" name="Column413"/>
    <tableColumn id="425" xr3:uid="{CF7EC878-D150-4A26-A85D-3C94E0AC5C0C}" name="Column414"/>
    <tableColumn id="426" xr3:uid="{7A20B312-70C8-4DE3-9D5E-2B4CA2CE4E33}" name="Column415"/>
    <tableColumn id="427" xr3:uid="{CA59F860-6FB8-431E-B030-A5656A5E6B76}" name="Column416"/>
    <tableColumn id="428" xr3:uid="{B879037F-84ED-4F5B-AF71-9EAA5382ACD9}" name="Column417"/>
    <tableColumn id="429" xr3:uid="{9F9A257C-6393-43D4-B567-FA72ACBF1D49}" name="Column418"/>
    <tableColumn id="430" xr3:uid="{8EF87EED-6D86-4824-9C2E-AC1433C5BC0A}" name="Column419"/>
    <tableColumn id="431" xr3:uid="{F7B5CF14-F9C8-4D74-AB3B-C8F511ED3682}" name="Column420"/>
    <tableColumn id="432" xr3:uid="{F8F80290-773B-45C9-867F-CF83C49AEB01}" name="Column421"/>
    <tableColumn id="433" xr3:uid="{D08D7CD5-3586-4CD8-8C18-D27BA3309607}" name="Column422"/>
    <tableColumn id="434" xr3:uid="{0E752DA6-690D-429D-9007-072AE8C6D258}" name="Column423"/>
    <tableColumn id="435" xr3:uid="{3D873AB2-C5F7-41F6-80CC-53CE808E01FA}" name="Column424"/>
    <tableColumn id="436" xr3:uid="{FC2E73AD-060A-46E1-BC81-6A676D6C386B}" name="Column425"/>
    <tableColumn id="437" xr3:uid="{73D4B363-BFB4-4D51-811F-91CBC5749A76}" name="Column426"/>
    <tableColumn id="438" xr3:uid="{E6EC4387-7B7A-4919-9679-9C9E29BBA365}" name="Column427"/>
    <tableColumn id="439" xr3:uid="{F30725B7-2ABA-4652-B884-18F18681765A}" name="Column428"/>
    <tableColumn id="440" xr3:uid="{F364D6E7-32A1-4740-BBEE-45E7244D6CCC}" name="Column429"/>
    <tableColumn id="441" xr3:uid="{7465AB5F-04DD-44B3-BDF7-8FD4452D8E62}" name="Column430"/>
    <tableColumn id="442" xr3:uid="{EC4731BC-BAEB-440B-9E01-EEAC4D74222A}" name="Column431"/>
    <tableColumn id="443" xr3:uid="{79610B84-12F4-4613-B5C6-1C362C45890D}" name="Column432"/>
    <tableColumn id="444" xr3:uid="{F88C11C5-4342-4C65-BEF5-EB3EA07B688C}" name="Column433"/>
    <tableColumn id="445" xr3:uid="{41F74264-B1EE-4500-8908-E5D08EAC721D}" name="Column434"/>
    <tableColumn id="446" xr3:uid="{A8288B4E-0DBF-434D-96E4-E8B2EE90EA92}" name="Column435"/>
    <tableColumn id="447" xr3:uid="{54726BA4-CC6C-4888-93E2-1DC28CA9CEDB}" name="Column436"/>
    <tableColumn id="448" xr3:uid="{139D401F-396D-4F11-890B-15633453FE16}" name="Column437"/>
    <tableColumn id="449" xr3:uid="{2BE42D10-2181-43F0-95DE-66EF2043F6E5}" name="Column438"/>
    <tableColumn id="450" xr3:uid="{4A257421-399E-4DC9-B844-5043983629FC}" name="Column439"/>
    <tableColumn id="451" xr3:uid="{6A7D85F3-398D-41FA-9761-91D8556E0F5A}" name="Column440"/>
    <tableColumn id="452" xr3:uid="{DAD8974B-FD0E-4693-81A3-7E3485BAE73A}" name="Column441"/>
    <tableColumn id="453" xr3:uid="{5316DF40-35CD-4BBB-8649-319D7CC36939}" name="Column442"/>
    <tableColumn id="454" xr3:uid="{6E2C377B-1C65-4E98-A166-1A1538A9EB63}" name="Column443"/>
    <tableColumn id="455" xr3:uid="{EF584ABB-6902-43EE-A07C-FAE791128496}" name="Column444"/>
    <tableColumn id="456" xr3:uid="{B1F7ED16-518F-4516-AD26-D40B09F437F4}" name="Column445"/>
    <tableColumn id="457" xr3:uid="{17F0642C-6EB3-418C-BE54-92F119D444D1}" name="Column446"/>
    <tableColumn id="458" xr3:uid="{431DE5C5-CF4E-4C41-BB17-67D4FEF4B6F9}" name="Column447"/>
    <tableColumn id="459" xr3:uid="{E684F1E9-5CA9-4951-848A-FF8CC4396FB9}" name="Column448"/>
    <tableColumn id="460" xr3:uid="{26480D94-36F4-4B55-904E-7C667D13A55D}" name="Column449"/>
    <tableColumn id="461" xr3:uid="{6214A28F-C1D1-4B40-84ED-B55098100D8B}" name="Column450"/>
    <tableColumn id="462" xr3:uid="{25CF1A4C-385C-4592-BABB-2A8BF94715C0}" name="Column451"/>
    <tableColumn id="463" xr3:uid="{11A19440-3C00-4EB2-83C8-19FD0ACCA679}" name="Column452"/>
    <tableColumn id="464" xr3:uid="{3D860E7E-F99D-4AD7-A00C-62F9620AAA61}" name="Column453"/>
    <tableColumn id="465" xr3:uid="{20685426-D4AC-489B-B59D-7814F899784A}" name="Column454"/>
    <tableColumn id="466" xr3:uid="{F93E961A-1357-491E-840D-BBB7D7622CB3}" name="Column455"/>
    <tableColumn id="467" xr3:uid="{CEC9F754-3237-4693-B946-39C02E85B9CA}" name="Column456"/>
    <tableColumn id="468" xr3:uid="{24DFA19E-416B-4D21-B303-023F4706C64E}" name="Column457"/>
    <tableColumn id="469" xr3:uid="{4A16D2A6-A179-408F-BB5B-288C5F2CC5C4}" name="Column458"/>
    <tableColumn id="470" xr3:uid="{F41C9387-3D13-46E8-ACE1-1416482892FB}" name="Column459"/>
    <tableColumn id="471" xr3:uid="{6B7D2AD1-FDB4-47B8-A13E-0064520AB1A2}" name="Column460"/>
    <tableColumn id="472" xr3:uid="{9615134D-FBD2-46A3-A6C9-C18E698F952A}" name="Column461"/>
    <tableColumn id="473" xr3:uid="{26961996-2243-4D48-984D-33C30D64291C}" name="Column462"/>
    <tableColumn id="474" xr3:uid="{57138D1E-8CB4-456C-A5EC-6BC6C8D7DEF6}" name="Column463"/>
    <tableColumn id="475" xr3:uid="{5FDB0065-9306-4145-89B7-8DAEEA8DF356}" name="Column464"/>
    <tableColumn id="476" xr3:uid="{CCE3CD9F-8635-4948-8B3E-1747A6EC8ED1}" name="Column465"/>
    <tableColumn id="477" xr3:uid="{51D770DA-C0AF-4F0E-97E8-B23F27E83D1A}" name="Column466"/>
    <tableColumn id="478" xr3:uid="{842E6BB9-96FD-4B32-BAB5-B76B32924DD0}" name="Column467"/>
    <tableColumn id="479" xr3:uid="{0EE7DFB0-658F-42BB-894A-6894BF4A7373}" name="Column468"/>
    <tableColumn id="480" xr3:uid="{EAD564E5-BE78-458A-AF21-4D313E28326D}" name="Column469"/>
    <tableColumn id="481" xr3:uid="{64E01FC5-76D1-474A-BB4C-ACD6B4DD4E53}" name="Column470"/>
    <tableColumn id="482" xr3:uid="{29E8FBBF-2525-446F-AF4E-1967014B43A5}" name="Column471"/>
    <tableColumn id="483" xr3:uid="{65D60AB0-7295-4BF8-985E-9954BDDEDAB5}" name="Column472"/>
    <tableColumn id="484" xr3:uid="{B71A24EA-C7B0-47F3-95BE-EC6DC3D5F6A6}" name="Column473"/>
    <tableColumn id="485" xr3:uid="{F6343145-F5FB-4DB2-ACB6-A31341404C33}" name="Column474"/>
    <tableColumn id="486" xr3:uid="{83DA7D3F-912C-49D0-B7DB-6AE144992F70}" name="Column475"/>
    <tableColumn id="487" xr3:uid="{FB03C674-44CA-4038-9BCE-4B7C242EA75B}" name="Column476"/>
    <tableColumn id="488" xr3:uid="{58D871B0-8883-4665-A505-F20A6BBC7634}" name="Column477"/>
    <tableColumn id="489" xr3:uid="{FA541D5B-8A46-4BF2-81DD-3D2AA8EF0E65}" name="Column478"/>
    <tableColumn id="490" xr3:uid="{0C97E114-0445-4088-ADC3-65B5CD0DAAA3}" name="Column479"/>
    <tableColumn id="491" xr3:uid="{6CB01859-2AE8-47D7-A926-9890805E8236}" name="Column480"/>
    <tableColumn id="492" xr3:uid="{8944F34D-EB0C-45ED-BDA6-759BE5EC12BF}" name="Column481"/>
    <tableColumn id="493" xr3:uid="{492B0D88-64D0-4628-AFEA-63364A7EE928}" name="Column482"/>
    <tableColumn id="494" xr3:uid="{10654E6B-3FF9-4469-8701-CA018F2FB075}" name="Column483"/>
    <tableColumn id="495" xr3:uid="{DE09CD79-6C9E-4CDD-8C09-D0A3BA572AAE}" name="Column484"/>
    <tableColumn id="496" xr3:uid="{F11637CB-8EDC-430E-9D3A-D379EDD97CDC}" name="Column485"/>
    <tableColumn id="497" xr3:uid="{5DD8CA5C-DE66-4B7B-8C0E-D3F14FB3502E}" name="Column486"/>
    <tableColumn id="498" xr3:uid="{02453077-E09D-4670-BC7E-391CE7527C37}" name="Column487"/>
    <tableColumn id="499" xr3:uid="{28365872-83A3-4865-8241-77096E8CF85F}" name="Column488"/>
    <tableColumn id="500" xr3:uid="{3FEDB234-EEBE-4DA3-9639-DC20148D105E}" name="Column489"/>
    <tableColumn id="501" xr3:uid="{1199CE94-52FE-4448-B189-0B068B9937F4}" name="Column490"/>
    <tableColumn id="502" xr3:uid="{D681CB7E-4E45-4BA7-AB6F-19C1376D9395}" name="Column491"/>
    <tableColumn id="503" xr3:uid="{DDCD7602-3E9D-44E1-9233-B27A1E8F5ABA}" name="Column492"/>
    <tableColumn id="504" xr3:uid="{2B01B41C-F00A-43B5-9897-E879CB074DBF}" name="Column493"/>
    <tableColumn id="505" xr3:uid="{EAC1C471-6F6E-4A1F-846E-7B64478CB780}" name="Column494"/>
    <tableColumn id="506" xr3:uid="{50DD19BB-9359-4FB7-85D3-166644FB0D88}" name="Column495"/>
    <tableColumn id="507" xr3:uid="{B93426D2-9265-4CC2-BD71-64AF9A81BA6C}" name="Column496"/>
    <tableColumn id="508" xr3:uid="{0E722835-2693-45D7-8AF5-1D78143AC36F}" name="Column497"/>
    <tableColumn id="509" xr3:uid="{32E1F345-35AB-4484-9C30-CB1ADBCDCDE3}" name="Column498"/>
    <tableColumn id="510" xr3:uid="{B3F4768D-F749-4AA2-A0B1-36164A3260EA}" name="Column499"/>
    <tableColumn id="511" xr3:uid="{1BBE4F17-455E-4B23-B838-FB3BF6B00748}" name="Column500"/>
    <tableColumn id="512" xr3:uid="{EAF6F85E-0CCD-44E7-BAA4-5BF7DB466103}" name="Column501"/>
    <tableColumn id="513" xr3:uid="{E5EEA81D-EB8E-473D-9428-4E6D56FEFC3E}" name="Column502"/>
    <tableColumn id="514" xr3:uid="{9FCAC71F-38CC-4354-BB31-EECEDD4C7461}" name="Column503"/>
    <tableColumn id="515" xr3:uid="{4E43D2DF-8D67-475C-BE53-1217F7B6F3DE}" name="Column504"/>
    <tableColumn id="516" xr3:uid="{2F1FFD59-425A-4F3C-B554-250B43A7C82B}" name="Column505"/>
    <tableColumn id="517" xr3:uid="{B1A48C84-7AA6-4F02-9B72-19E77FE210EE}" name="Column506"/>
    <tableColumn id="518" xr3:uid="{0966E4EA-2075-473C-BDC5-26DDE86B9FDF}" name="Column507"/>
    <tableColumn id="519" xr3:uid="{0EE64E5F-A0E6-416C-B886-D2AA597D3704}" name="Column508"/>
    <tableColumn id="520" xr3:uid="{78F656BB-413C-42A3-9228-03FEAC33514A}" name="Column509"/>
    <tableColumn id="521" xr3:uid="{32A4CE0D-6A09-46A7-A540-3959C9C087AC}" name="Column510"/>
    <tableColumn id="522" xr3:uid="{8FF09F35-F2B1-41A0-BF48-10B5EF1E92DC}" name="Column511"/>
    <tableColumn id="523" xr3:uid="{73C3FB6E-0FA9-4763-B676-573343EA4526}" name="Column512"/>
    <tableColumn id="524" xr3:uid="{757E0403-CDF9-4D1B-B6E9-8328AB17AD31}" name="Column513"/>
    <tableColumn id="525" xr3:uid="{6E923295-D509-49E8-BE62-739304C28A05}" name="Column514"/>
    <tableColumn id="526" xr3:uid="{1C587D49-8910-4903-94EA-AEE2D768E8E2}" name="Column515"/>
    <tableColumn id="527" xr3:uid="{DA874455-BFCE-49BA-A40E-428DCD157225}" name="Column516"/>
    <tableColumn id="528" xr3:uid="{5A877076-CA50-4E9A-82BE-FF1AC01B700D}" name="Column517"/>
    <tableColumn id="529" xr3:uid="{37C223EA-D8B9-433B-913A-F67D500319A4}" name="Column518"/>
    <tableColumn id="530" xr3:uid="{0DAEC02D-7AD3-4D95-838E-B22D39D8126D}" name="Column519"/>
    <tableColumn id="531" xr3:uid="{DA230386-EAD2-44F8-B88A-A0FEDF2A824B}" name="Column520"/>
    <tableColumn id="532" xr3:uid="{7D58B75D-71BC-41B4-A4A1-5E1B0B0F347F}" name="Column521"/>
    <tableColumn id="533" xr3:uid="{3D4547FF-5673-477C-874D-2C9422688617}" name="Column522"/>
    <tableColumn id="534" xr3:uid="{30C49E86-53B6-4B9A-AE5F-172F6E7F9026}" name="Column523"/>
    <tableColumn id="535" xr3:uid="{2B0454F9-A272-4F92-A4EF-B0078EF519AA}" name="Column524"/>
    <tableColumn id="536" xr3:uid="{1168C4B5-645A-404F-8FAC-693CD4A72654}" name="Column525"/>
    <tableColumn id="537" xr3:uid="{C9C62A55-6B89-43D5-9953-E365F03E7D27}" name="Column526"/>
    <tableColumn id="538" xr3:uid="{EDBA2E5E-C9AD-471B-B4F7-3D42D1122ECE}" name="Column527"/>
    <tableColumn id="539" xr3:uid="{49FD6234-F239-46D6-97AF-3BA12CE0FB4A}" name="Column528"/>
    <tableColumn id="540" xr3:uid="{8D2F6C01-527A-488C-951D-80ABAE17F011}" name="Column529"/>
    <tableColumn id="541" xr3:uid="{14068D58-FEC8-45C4-BBAE-FCB3E68A30EF}" name="Column530"/>
    <tableColumn id="542" xr3:uid="{E14D2886-F57B-4AAB-8CA4-178FCA8BCDF5}" name="Column531"/>
    <tableColumn id="543" xr3:uid="{6B873C12-017C-4285-9CF2-C67CB540B9DC}" name="Column532"/>
    <tableColumn id="544" xr3:uid="{A45E1FDA-B3AB-4753-AE3A-9893E588E37F}" name="Column533"/>
    <tableColumn id="545" xr3:uid="{9D8BDCA2-1148-4E1D-8E99-6275CDBB4B65}" name="Column534"/>
    <tableColumn id="546" xr3:uid="{6EF8AD9B-5591-4B45-ABF0-06CD51EA13AD}" name="Column535"/>
    <tableColumn id="547" xr3:uid="{D8AD75F1-943E-4F0C-8E59-4505295DDE74}" name="Column536"/>
    <tableColumn id="548" xr3:uid="{719C74D6-099D-47AC-81A3-D989F9A23E46}" name="Column537"/>
    <tableColumn id="549" xr3:uid="{D89D510B-7428-4A59-9A2D-B63D06B107D5}" name="Column538"/>
    <tableColumn id="550" xr3:uid="{38550C59-546B-41DD-B6A9-CAC2AD915917}" name="Column539"/>
    <tableColumn id="551" xr3:uid="{9856FBBE-5313-4A41-9E1C-008A3C3FE438}" name="Column540"/>
    <tableColumn id="552" xr3:uid="{10BAB6B5-F451-415F-AB7D-2FC68EBE09D4}" name="Column541"/>
    <tableColumn id="553" xr3:uid="{91178DD3-DEBB-426B-B157-206A3D7A8073}" name="Column542"/>
    <tableColumn id="554" xr3:uid="{CDF6B27C-65AF-4A85-B693-C1110F63063E}" name="Column543"/>
    <tableColumn id="555" xr3:uid="{6102FD65-7259-44BF-BEA3-A6755E3A07E2}" name="Column544"/>
    <tableColumn id="556" xr3:uid="{F591821B-6E5A-40FD-A807-80667E9867B0}" name="Column545"/>
    <tableColumn id="557" xr3:uid="{24178F6E-5B0D-48CD-AD0A-EDD123C5EA91}" name="Column546"/>
    <tableColumn id="558" xr3:uid="{8B25118F-6583-4C11-9DB2-407D2A86DD58}" name="Column547"/>
    <tableColumn id="559" xr3:uid="{C7E8FCD0-F923-452F-B297-8842459CEE6C}" name="Column548"/>
    <tableColumn id="560" xr3:uid="{F3CA821F-D134-41F3-9B7A-A7FBB40D112B}" name="Column549"/>
    <tableColumn id="561" xr3:uid="{E475CCBE-B639-4FC2-9768-CC8450EAD095}" name="Column550"/>
    <tableColumn id="562" xr3:uid="{01B9E953-2C29-42DF-B353-6C4975068F1E}" name="Column551"/>
    <tableColumn id="563" xr3:uid="{F81A6DEE-9054-4FEC-AEBE-70501A38CF18}" name="Column552"/>
    <tableColumn id="564" xr3:uid="{386A7FA9-1704-479F-BFED-7CD7C7F20E47}" name="Column553"/>
    <tableColumn id="565" xr3:uid="{1C7F69A2-B989-4DEB-801E-054CEB525D06}" name="Column554"/>
    <tableColumn id="566" xr3:uid="{1968A1CC-B6E3-4A4E-8E8D-8E2191B1B0AC}" name="Column555"/>
    <tableColumn id="567" xr3:uid="{209C0873-25CD-4363-B6ED-277700499544}" name="Column556"/>
    <tableColumn id="568" xr3:uid="{23D007C5-807C-435F-B201-32050E5C86E5}" name="Column557"/>
    <tableColumn id="569" xr3:uid="{383FD846-8515-4501-B0E0-21EA985C8E6A}" name="Column558"/>
    <tableColumn id="570" xr3:uid="{59E433B6-3330-4586-BCC2-8D41C4B43388}" name="Column559"/>
    <tableColumn id="571" xr3:uid="{375B7669-A429-4713-83A7-2940FEA9AA82}" name="Column560"/>
    <tableColumn id="572" xr3:uid="{0E504801-DA1D-414C-939E-1AAD779B40CC}" name="Column561"/>
    <tableColumn id="573" xr3:uid="{95FE6490-DD10-4E9E-B2AD-17A563909572}" name="Column562"/>
    <tableColumn id="574" xr3:uid="{A40DC065-9A63-434A-A93D-C7A8FAD92269}" name="Column563"/>
    <tableColumn id="575" xr3:uid="{B36E69B1-9FFB-493A-9BF8-EC751A232E1C}" name="Column564"/>
    <tableColumn id="576" xr3:uid="{56AB5655-DBDE-42F3-B13A-CDE5471646AA}" name="Column565"/>
    <tableColumn id="577" xr3:uid="{B8469198-C9A9-418F-833E-5C9A0DC11B08}" name="Column566"/>
    <tableColumn id="578" xr3:uid="{41420EB3-0F9B-467E-B3F9-05014110E9D4}" name="Column567"/>
    <tableColumn id="579" xr3:uid="{EC4D4AE4-C9D3-414A-857E-0C484CCEE42F}" name="Column568"/>
    <tableColumn id="580" xr3:uid="{ACBBE76C-BEB9-4063-9B00-481512F67CD3}" name="Column569"/>
    <tableColumn id="581" xr3:uid="{EEBF62EA-80A5-4FD5-8B9C-DC6EB95B2448}" name="Column570"/>
    <tableColumn id="582" xr3:uid="{38B13C10-17A6-45AC-AC8D-692EC2AE0887}" name="Column571"/>
    <tableColumn id="583" xr3:uid="{B7CEBD48-5F76-43F6-80B1-BCA2A1B9E068}" name="Column572"/>
    <tableColumn id="584" xr3:uid="{BB578DB2-9D44-40D4-9558-05946C5796AB}" name="Column573"/>
    <tableColumn id="585" xr3:uid="{95E86E3D-D2FB-4AB3-B628-488F80CE91A2}" name="Column574"/>
    <tableColumn id="586" xr3:uid="{CD322D7A-FAB5-405A-A515-DA83907DBE23}" name="Column575"/>
    <tableColumn id="587" xr3:uid="{E696C71F-EAC2-4789-A4EB-02B0E6205D78}" name="Column576"/>
    <tableColumn id="588" xr3:uid="{D344A498-665F-412E-A1BD-9F6F31212768}" name="Column577"/>
    <tableColumn id="589" xr3:uid="{93B552BF-833D-4730-B1DA-A6517FB60B96}" name="Column578"/>
    <tableColumn id="590" xr3:uid="{C5B8BAE9-D391-4887-9F17-69AD00783E6D}" name="Column579"/>
    <tableColumn id="591" xr3:uid="{D6EBD16D-1D0D-4C99-9B92-DB54AC8000C5}" name="Column580"/>
    <tableColumn id="592" xr3:uid="{F73A093F-3BAC-43E6-998F-4E3637B4394B}" name="Column581"/>
    <tableColumn id="593" xr3:uid="{16E2F3DF-145E-4F12-994D-FA1CD06058BC}" name="Column582"/>
    <tableColumn id="594" xr3:uid="{35D5855C-8AF7-4FC2-B6E2-71FCE859E714}" name="Column583"/>
    <tableColumn id="595" xr3:uid="{183E3697-CFF1-4E1F-A2E0-899D34FCF1CC}" name="Column584"/>
    <tableColumn id="596" xr3:uid="{17095120-3DE4-4E0E-9284-E356F43CA1EA}" name="Column585"/>
    <tableColumn id="597" xr3:uid="{BBA12D22-937C-4860-934F-57D85F9361F8}" name="Column586"/>
    <tableColumn id="598" xr3:uid="{F99265FC-A9E6-4D7D-9665-502107795D82}" name="Column587"/>
    <tableColumn id="599" xr3:uid="{DC2A9FD1-6771-4F4B-9D1C-9B339EA4E6A2}" name="Column588"/>
    <tableColumn id="600" xr3:uid="{5D8B864B-8066-4D71-AFDB-F2ED2E52F2DC}" name="Column589"/>
    <tableColumn id="601" xr3:uid="{12161F35-81A1-4291-824C-F3BF58DF6D78}" name="Column590"/>
    <tableColumn id="602" xr3:uid="{5D7AEFD8-5FDD-4650-A21B-65BF82DD3FC3}" name="Column591"/>
    <tableColumn id="603" xr3:uid="{84C75A92-E8D6-40F1-87EF-18130F6FB1B3}" name="Column592"/>
    <tableColumn id="604" xr3:uid="{E90C3FB6-1651-47E3-B064-D6E0E938D984}" name="Column593"/>
    <tableColumn id="605" xr3:uid="{B8872EC1-D278-4B1C-8127-E3BA48D2F18A}" name="Column594"/>
    <tableColumn id="606" xr3:uid="{F143E869-FFBB-4BFD-ACBA-866E37A95EFE}" name="Column595"/>
    <tableColumn id="607" xr3:uid="{4A728D3B-28BC-4506-BA04-5D8A59E81AFB}" name="Column596"/>
    <tableColumn id="608" xr3:uid="{E4533A0B-BBEB-48DB-A18F-884D6E70CF0A}" name="Column597"/>
    <tableColumn id="609" xr3:uid="{E07ED34E-F67B-45B9-B873-6133D3ACBABF}" name="Column598"/>
    <tableColumn id="610" xr3:uid="{84BB2C65-D127-477E-A0D1-1C82CB4A61FD}" name="Column599"/>
    <tableColumn id="611" xr3:uid="{9B842FFF-A776-4522-BF05-813DF0B13A57}" name="Column600"/>
    <tableColumn id="612" xr3:uid="{9B9487A1-EF03-4995-83ED-B70424A9BCCC}" name="Column601"/>
    <tableColumn id="613" xr3:uid="{3ED40227-CE53-4065-82C0-5433EDED5C1B}" name="Column602"/>
    <tableColumn id="614" xr3:uid="{FF4C90D0-B69F-4824-B824-C0D2F9F68970}" name="Column603"/>
    <tableColumn id="615" xr3:uid="{4B04B6B6-476A-4C22-9704-5FB64DADB072}" name="Column604"/>
    <tableColumn id="616" xr3:uid="{7B628747-7E27-4F06-9336-3A464E7A63BB}" name="Column605"/>
    <tableColumn id="617" xr3:uid="{C39AC58B-A136-4B38-9386-14EF7D340BAF}" name="Column606"/>
    <tableColumn id="618" xr3:uid="{A771199A-9C17-4BD3-8FFB-496A03C5FB89}" name="Column607"/>
    <tableColumn id="619" xr3:uid="{579E94BD-B9F9-4ADD-9F77-1A38064AEA21}" name="Column608"/>
    <tableColumn id="620" xr3:uid="{3412A344-96F3-4A2C-BB48-CF2AE1F2D4C0}" name="Column609"/>
    <tableColumn id="621" xr3:uid="{90068B16-004A-489B-879B-DE9587CA37EA}" name="Column610"/>
    <tableColumn id="622" xr3:uid="{B4A3996A-881E-4B5C-83A5-E5BA674B8723}" name="Column611"/>
    <tableColumn id="623" xr3:uid="{9AB69292-C0F4-4FE1-BA45-D117CE8B6686}" name="Column612"/>
    <tableColumn id="624" xr3:uid="{9711DFBF-289A-4680-BA8A-4AED3985CB1C}" name="Column613"/>
    <tableColumn id="625" xr3:uid="{636B4EC4-F737-4B26-90D9-D34A7327F1CA}" name="Column614"/>
    <tableColumn id="626" xr3:uid="{1C3C5608-7858-43B5-8B15-C5E54276B194}" name="Column615"/>
    <tableColumn id="627" xr3:uid="{522D7795-558F-4273-9D57-7B2825BD0EAB}" name="Column616"/>
    <tableColumn id="628" xr3:uid="{15756C2F-66D0-4F94-921E-B0FC59F85AF6}" name="Column617"/>
    <tableColumn id="629" xr3:uid="{E99BCC45-5630-4E32-ACE1-644D64730C90}" name="Column618"/>
    <tableColumn id="630" xr3:uid="{F0B5C386-7804-4B0F-89A4-188E3E01B8C0}" name="Column619"/>
    <tableColumn id="631" xr3:uid="{89B8BCAF-3A96-4445-89C9-47D572EDE69B}" name="Column620"/>
    <tableColumn id="632" xr3:uid="{4081A49A-9D0F-40C1-A864-FDBA449059EB}" name="Column621"/>
    <tableColumn id="633" xr3:uid="{E4652CA8-C3A0-4539-A9D4-DF3B708E7896}" name="Column622"/>
    <tableColumn id="634" xr3:uid="{BD219D3A-0D9C-407C-BBC2-C630AD89DFE5}" name="Column623"/>
    <tableColumn id="635" xr3:uid="{F5B9E855-D6BB-4F5A-9BC4-D4FD34D25814}" name="Column624"/>
    <tableColumn id="636" xr3:uid="{1381FE54-9F18-4241-B580-3561428F25F1}" name="Column625"/>
    <tableColumn id="637" xr3:uid="{84E8B127-2007-4246-B373-6F28A76CE4F8}" name="Column626"/>
    <tableColumn id="638" xr3:uid="{845846B1-45AF-4552-97DE-1A0E934D05B9}" name="Column627"/>
    <tableColumn id="639" xr3:uid="{398FB6D7-D6EB-4C36-A301-7A8D9FF78655}" name="Column628"/>
    <tableColumn id="640" xr3:uid="{123E4F36-DF4D-4053-8E05-ED104F72B66C}" name="Column629"/>
    <tableColumn id="641" xr3:uid="{57CA9529-BFF2-4202-A3DC-844CD1D84FB1}" name="Column630"/>
    <tableColumn id="642" xr3:uid="{A55EE15B-0CC8-40D3-B289-9F610C5B93F3}" name="Column631"/>
    <tableColumn id="643" xr3:uid="{C0FED0C0-B15D-4208-8A80-2A5DB86EBDE0}" name="Column632"/>
    <tableColumn id="644" xr3:uid="{2B8B301B-02A6-4112-A4D2-C60B7B929450}" name="Column633"/>
    <tableColumn id="645" xr3:uid="{A3217F5C-8834-40FD-B40F-6BB983DB5C2B}" name="Column634"/>
    <tableColumn id="646" xr3:uid="{4F8D5AAE-891E-48B7-87FE-02C32E6D6681}" name="Column635"/>
    <tableColumn id="647" xr3:uid="{E2322786-B22D-4A57-B07D-CFF991B228FD}" name="Column636"/>
    <tableColumn id="648" xr3:uid="{78D9EC6A-C0CF-42AF-B8B1-3EF47F7C149A}" name="Column637"/>
    <tableColumn id="649" xr3:uid="{1D789220-B0F7-4008-8D08-C60CEEDFA52F}" name="Column638"/>
    <tableColumn id="650" xr3:uid="{84200462-39FC-4F92-A530-1A91D1A8E0D6}" name="Column639"/>
    <tableColumn id="651" xr3:uid="{2D1090EC-E582-456C-BF53-C63F7F213C78}" name="Column640"/>
    <tableColumn id="652" xr3:uid="{B49BA418-F89C-4132-94D2-09C6ECDD1DEF}" name="Column641"/>
    <tableColumn id="653" xr3:uid="{B06BFB9E-F6B5-446D-9E1C-0F3B20CBA6E6}" name="Column642"/>
    <tableColumn id="654" xr3:uid="{A2DCC298-8553-4B87-973D-D3698F90CF7C}" name="Column643"/>
    <tableColumn id="655" xr3:uid="{49F0BFF7-FB26-492D-B9CC-8B7D39659934}" name="Column644"/>
    <tableColumn id="656" xr3:uid="{C095708E-FED0-4A7F-BC82-5061265F7374}" name="Column645"/>
    <tableColumn id="657" xr3:uid="{F83125B9-79F9-41F3-B4BF-608E04A4AE92}" name="Column646"/>
    <tableColumn id="658" xr3:uid="{BC6B83B4-0509-4AFC-98BC-C9A3EEF81B9F}" name="Column647"/>
    <tableColumn id="659" xr3:uid="{9DAF06E0-266F-420C-989A-24CB3DE19AF4}" name="Column648"/>
    <tableColumn id="660" xr3:uid="{60EE5579-229D-459F-BEC6-C97AA7E25351}" name="Column649"/>
    <tableColumn id="661" xr3:uid="{1D2117F0-BAE0-4948-90D8-A9691B55CC0E}" name="Column650"/>
    <tableColumn id="662" xr3:uid="{DCE84F64-62A1-447B-9223-4F0D90B19765}" name="Column651"/>
    <tableColumn id="663" xr3:uid="{6FCF9833-31B6-42D8-9774-E72D0AAD716A}" name="Column652"/>
    <tableColumn id="664" xr3:uid="{A64C80C6-44F3-4504-A05D-0E69E2F82490}" name="Column653"/>
    <tableColumn id="665" xr3:uid="{A37CB8C5-1604-448A-9076-D8E28635A6AB}" name="Column654"/>
    <tableColumn id="666" xr3:uid="{0E7B3E12-227C-41A5-95C2-6B8C5884B583}" name="Column655"/>
    <tableColumn id="667" xr3:uid="{DEB7CA28-8ACF-482E-99E4-AC2184DBFB24}" name="Column656"/>
    <tableColumn id="668" xr3:uid="{E181FD35-FF89-43A4-A5CD-CC6BFF0515A0}" name="Column657"/>
    <tableColumn id="669" xr3:uid="{58C7C434-4B01-4B66-8319-27F7D219D0E1}" name="Column658"/>
    <tableColumn id="670" xr3:uid="{962AA8EC-F437-4445-8BBB-01980C2E8D33}" name="Column659"/>
    <tableColumn id="671" xr3:uid="{55803645-4723-405D-A908-67540BE7349E}" name="Column660"/>
    <tableColumn id="672" xr3:uid="{ED36416F-70A8-4F6D-9BD4-654079A9BD1D}" name="Column661"/>
    <tableColumn id="673" xr3:uid="{8E21CE7F-A4B2-4994-A37B-7E88065451A1}" name="Column662"/>
    <tableColumn id="674" xr3:uid="{EF4923AF-6AFB-4B93-87DE-F4BC3C09307F}" name="Column663"/>
    <tableColumn id="675" xr3:uid="{D080219B-4E06-45EF-A19A-DCC13AA373D7}" name="Column664"/>
    <tableColumn id="676" xr3:uid="{F049EC18-ED5E-4896-8839-16CC12D4943A}" name="Column665"/>
    <tableColumn id="677" xr3:uid="{12233CA8-3BA8-46C2-BD96-A25EBDD34E1E}" name="Column666"/>
    <tableColumn id="678" xr3:uid="{55948239-00F9-482B-9246-4D220889F368}" name="Column667"/>
    <tableColumn id="679" xr3:uid="{5732F1B9-51B2-4115-BBFA-1BDC8987BAF8}" name="Column668"/>
    <tableColumn id="680" xr3:uid="{AA3795B3-2B01-4EE3-906E-94CA8AB59710}" name="Column669"/>
    <tableColumn id="681" xr3:uid="{2A21D26D-FEA7-4319-99BD-1604DF5DF160}" name="Column670"/>
    <tableColumn id="682" xr3:uid="{BA417134-4626-43B3-A3F8-43F7E14E9B5D}" name="Column671"/>
    <tableColumn id="683" xr3:uid="{A48759EB-7BF0-41D1-9330-8BCA6C035D03}" name="Column672"/>
    <tableColumn id="684" xr3:uid="{3A540720-6AC0-4080-AFBD-F844778976B3}" name="Column673"/>
    <tableColumn id="685" xr3:uid="{952B26AC-FFEB-4D17-A9D0-F10E1E1A36CC}" name="Column674"/>
    <tableColumn id="686" xr3:uid="{9667093D-A0D1-40C4-8EC3-733593BFCB15}" name="Column675"/>
    <tableColumn id="687" xr3:uid="{5C0BB4AA-6853-463E-9962-4B4C553FCC83}" name="Column676"/>
    <tableColumn id="688" xr3:uid="{A91E61F1-D28B-4506-889E-791577209A3E}" name="Column677"/>
    <tableColumn id="689" xr3:uid="{8743339D-AB8F-46B6-969F-F6D8436C2026}" name="Column678"/>
    <tableColumn id="690" xr3:uid="{6658DAA7-7D6C-4648-B091-5E53642E004F}" name="Column679"/>
    <tableColumn id="691" xr3:uid="{CDA36799-EABC-48EB-9B5B-3B3D7467B8E6}" name="Column680"/>
    <tableColumn id="692" xr3:uid="{128CF64A-9862-43BE-8F89-5B1E1D0DAB75}" name="Column681"/>
    <tableColumn id="693" xr3:uid="{90829103-63E0-4C65-A522-C9660617A8AE}" name="Column682"/>
    <tableColumn id="694" xr3:uid="{403106E0-7FC1-497C-B3A8-86B2098FCDE9}" name="Column683"/>
    <tableColumn id="695" xr3:uid="{4687A089-5C1E-4C7A-87C3-437139DDFD2D}" name="Column684"/>
    <tableColumn id="696" xr3:uid="{80ACA69A-7AEA-4422-8EAC-724197770307}" name="Column685"/>
    <tableColumn id="697" xr3:uid="{3AB5756A-A903-4D56-AFE8-91DFC6A9D7C6}" name="Column686"/>
    <tableColumn id="698" xr3:uid="{C206C821-654D-4BE0-830B-2342F1A6FC90}" name="Column687"/>
    <tableColumn id="699" xr3:uid="{545F78CA-15F8-4841-861B-E3334056DF96}" name="Column688"/>
    <tableColumn id="700" xr3:uid="{A7ACA99A-9573-4BF2-AE51-6F244E491043}" name="Column689"/>
    <tableColumn id="701" xr3:uid="{D143ADA0-9365-490C-9746-DA09C3E82EF1}" name="Column690"/>
    <tableColumn id="702" xr3:uid="{B4687FA4-6AF9-4895-A87E-703BF7F0226A}" name="Column691"/>
    <tableColumn id="703" xr3:uid="{93469226-F827-4FEC-8BCA-86494BC4BB7E}" name="Column692"/>
    <tableColumn id="704" xr3:uid="{96BD6479-D44D-48F0-8DB6-98EBF6DE9BF9}" name="Column693"/>
    <tableColumn id="705" xr3:uid="{093263E1-CF66-40E3-8B54-CD9C65E4164C}" name="Column694"/>
    <tableColumn id="706" xr3:uid="{10CBC1CD-0B25-4CC8-A79A-5751D9CCF4F0}" name="Column695"/>
    <tableColumn id="707" xr3:uid="{1C8A41B8-42C1-40E7-AA07-E463B10C1470}" name="Column696"/>
    <tableColumn id="708" xr3:uid="{634D4B4F-A4AD-4520-AAEB-09F7192AA7E9}" name="Column697"/>
    <tableColumn id="709" xr3:uid="{4AA68167-46E5-45EB-A789-9FCB9D5C99B4}" name="Column698"/>
    <tableColumn id="710" xr3:uid="{23E9AF06-40AF-481C-9D96-1380DE54A9BA}" name="Column699"/>
    <tableColumn id="711" xr3:uid="{9D6787D0-C439-43A3-8A09-2309DC5590CC}" name="Column700"/>
    <tableColumn id="712" xr3:uid="{610CD692-932D-4740-B315-5C59039CAFD0}" name="Column701"/>
    <tableColumn id="713" xr3:uid="{F0FCC2FB-23D8-49CA-99EC-64DA8CB40AA4}" name="Column702"/>
    <tableColumn id="714" xr3:uid="{88E11628-7E19-4886-A0CD-2A1A12026CE2}" name="Column703"/>
    <tableColumn id="715" xr3:uid="{5A32DB68-D61A-4A9D-9220-8DF9F4E96072}" name="Column704"/>
    <tableColumn id="716" xr3:uid="{A6B77F72-1103-469D-AE51-F5AE528D44A7}" name="Column705"/>
    <tableColumn id="717" xr3:uid="{0A3BA652-D987-48A6-9EF1-D0DE69DCB1FA}" name="Column706"/>
    <tableColumn id="718" xr3:uid="{A533E9EB-1548-48D9-B6E1-DCD5AA988BE6}" name="Column707"/>
    <tableColumn id="719" xr3:uid="{6C6C9B88-F528-46FA-99F6-6D2F1D9C3090}" name="Column708"/>
    <tableColumn id="720" xr3:uid="{B05E039A-49E8-4BAD-97C5-1EDD47B802B1}" name="Column709"/>
    <tableColumn id="721" xr3:uid="{FDD12A64-FEC3-485A-98AF-11A55A5C55E1}" name="Column710"/>
    <tableColumn id="722" xr3:uid="{61C9E6AA-124C-4D8E-AB9E-F131C8879651}" name="Column711"/>
    <tableColumn id="723" xr3:uid="{8D34E6F9-5522-44F3-A7F4-5CBD9174B418}" name="Column712"/>
    <tableColumn id="724" xr3:uid="{34C8E2C2-7385-42C4-BA2C-78F356E2F17C}" name="Column713"/>
    <tableColumn id="725" xr3:uid="{8D38C4D9-1C26-41CF-9767-38AEAE60EA13}" name="Column714"/>
    <tableColumn id="726" xr3:uid="{7DC5CE40-7F24-4BEE-BEE1-DC081D304CD0}" name="Column715"/>
    <tableColumn id="727" xr3:uid="{19005E18-80B0-479F-9DD1-8DD9CCBB3663}" name="Column716"/>
    <tableColumn id="728" xr3:uid="{E55DE9F2-CBE0-49BD-A244-3B8F7C06A5B7}" name="Column717"/>
    <tableColumn id="729" xr3:uid="{DEEA6062-CEE7-4AE3-AD0C-C697E678263A}" name="Column718"/>
    <tableColumn id="730" xr3:uid="{090AABB4-75FA-4060-B22F-D350F712CDEC}" name="Column719"/>
    <tableColumn id="731" xr3:uid="{1BB64BF3-7E23-4F9E-BA7B-D8FE40FF0184}" name="Column720"/>
    <tableColumn id="732" xr3:uid="{E4B92C47-CF88-4140-8E56-903E4725DA1D}" name="Column721"/>
    <tableColumn id="733" xr3:uid="{DD09EB79-4634-4277-AAF3-06395C6B84BF}" name="Column722"/>
    <tableColumn id="734" xr3:uid="{08B6EE83-A923-4B33-883A-6973987A67F2}" name="Column723"/>
    <tableColumn id="735" xr3:uid="{C99AFB61-2E59-4FF4-8D63-5B43A2781786}" name="Column724"/>
    <tableColumn id="736" xr3:uid="{D460488D-6CB3-40DB-94D3-477F654D7EF0}" name="Column725"/>
    <tableColumn id="737" xr3:uid="{E7C143A2-2720-4729-9755-A2507648E2F1}" name="Column726"/>
    <tableColumn id="738" xr3:uid="{D3E082E1-6F72-41F1-BA2F-535EDEC82135}" name="Column727"/>
    <tableColumn id="739" xr3:uid="{F8C6D6E5-BE97-410F-B40A-6B8983C43EEA}" name="Column728"/>
    <tableColumn id="740" xr3:uid="{5CAAF397-2643-4A09-81EF-1625C87A2E23}" name="Column729"/>
    <tableColumn id="741" xr3:uid="{B553192C-3FB4-4025-AA2A-6B39240F476B}" name="Column730"/>
    <tableColumn id="742" xr3:uid="{BD4938AC-AA53-4A93-8D1C-5790D5053A89}" name="Column731"/>
    <tableColumn id="743" xr3:uid="{A64AAE03-1823-4F13-AE37-C04C62E1DE6A}" name="Column732"/>
    <tableColumn id="744" xr3:uid="{9CFB5B4A-BA9C-4F79-8019-B7173D0EEFCF}" name="Column733"/>
    <tableColumn id="745" xr3:uid="{DB91EED8-79E2-4D7D-B4F9-4F576D274A8A}" name="Column734"/>
    <tableColumn id="746" xr3:uid="{D11653C7-B227-4EB4-9929-1DB640ABF0AB}" name="Column735"/>
    <tableColumn id="747" xr3:uid="{718E95CB-0371-4FC2-AA6B-8BE30AEC1696}" name="Column736"/>
    <tableColumn id="748" xr3:uid="{7ED9EA30-1890-42BB-BF33-C2BC96F178C2}" name="Column737"/>
    <tableColumn id="749" xr3:uid="{DFFF04E0-83CC-4A01-BBDE-B91DBB4105B2}" name="Column738"/>
    <tableColumn id="750" xr3:uid="{BA7C3063-8A42-42D0-9D24-D0B41A9308BB}" name="Column739"/>
    <tableColumn id="751" xr3:uid="{04E7E191-991E-4144-B6A5-693917D0FE07}" name="Column740"/>
    <tableColumn id="752" xr3:uid="{DCECFDAB-A33D-439B-8DB7-1BB6A5F11EC6}" name="Column741"/>
    <tableColumn id="753" xr3:uid="{A7882EAA-5239-4BB2-91CE-F88F4A0F23F4}" name="Column742"/>
    <tableColumn id="754" xr3:uid="{557E01CD-C387-49E8-984A-C11FD7039CC8}" name="Column743"/>
    <tableColumn id="755" xr3:uid="{6ED381C3-E6FE-4E14-9DA6-87DDEFCFB9C4}" name="Column744"/>
    <tableColumn id="756" xr3:uid="{60B68C63-F8BB-42BE-B170-5AA6E1DB3BC4}" name="Column745"/>
    <tableColumn id="757" xr3:uid="{1CB494B8-C128-4D87-93AD-DE737FB80A5E}" name="Column746"/>
    <tableColumn id="758" xr3:uid="{380D2B25-FECB-48E1-A6F8-11E4D6350DAC}" name="Column747"/>
    <tableColumn id="759" xr3:uid="{93A6EC80-6C54-4B27-97CF-51A17DB14215}" name="Column748"/>
    <tableColumn id="760" xr3:uid="{9C16E2DE-B977-4181-A547-320D5F34B006}" name="Column749"/>
    <tableColumn id="761" xr3:uid="{337BD33F-6D07-4C12-8EE2-04A3734D5B68}" name="Column750"/>
    <tableColumn id="762" xr3:uid="{DF955114-136A-4584-B908-120382D5008A}" name="Column751"/>
    <tableColumn id="763" xr3:uid="{DFD37C8B-6649-44A2-A31F-3952E46C9F54}" name="Column752"/>
    <tableColumn id="764" xr3:uid="{3EC8179D-A4AB-45D2-AA1E-3F6C96EFEE27}" name="Column753"/>
    <tableColumn id="765" xr3:uid="{21EE7462-B7FB-49CA-A937-7DDAFCF4631F}" name="Column754"/>
    <tableColumn id="766" xr3:uid="{CD7E78D6-AE8C-4972-9583-6ABCDEAAD714}" name="Column755"/>
    <tableColumn id="767" xr3:uid="{2BF93293-FF6C-42E7-B130-F2B293460D5F}" name="Column756"/>
    <tableColumn id="768" xr3:uid="{51AA3872-D6A5-4876-B1C9-D5E3F0BA396F}" name="Column757"/>
    <tableColumn id="769" xr3:uid="{D64B4E0B-CB00-4838-8589-F19FECB4A28D}" name="Column758"/>
    <tableColumn id="770" xr3:uid="{BFBA4FB1-051C-4570-AE2D-B596A3FEA456}" name="Column759"/>
    <tableColumn id="771" xr3:uid="{6F86837A-0C4A-4213-ACAE-A572E02BD497}" name="Column760"/>
    <tableColumn id="772" xr3:uid="{3DD3FFCB-7F9E-4205-8D9B-27E8FB4068AD}" name="Column761"/>
    <tableColumn id="773" xr3:uid="{39C6BDCE-BA41-49FA-9DAA-28E7C2A25484}" name="Column762"/>
    <tableColumn id="774" xr3:uid="{A6328915-F1CC-496A-96DE-7ED3DD7314BA}" name="Column763"/>
    <tableColumn id="775" xr3:uid="{1A99D219-B666-47F1-9B72-D255A9C29EE8}" name="Column764"/>
    <tableColumn id="776" xr3:uid="{B9584888-37B1-499A-A92B-ED9E2D57247B}" name="Column765"/>
    <tableColumn id="777" xr3:uid="{30001AB1-DA8B-4E4F-A9FD-F6FE59142B11}" name="Column766"/>
    <tableColumn id="778" xr3:uid="{44EAB81E-DE0B-4602-8263-1AC4F8E955AE}" name="Column767"/>
    <tableColumn id="779" xr3:uid="{7C5A7276-6678-465C-8C08-A72615CC7DCD}" name="Column768"/>
    <tableColumn id="780" xr3:uid="{B1EC6AB4-B080-461A-BA46-50F3BAF5FE49}" name="Column769"/>
    <tableColumn id="781" xr3:uid="{C2A75FFE-7804-48FB-A4D7-6E301BBE0BC8}" name="Column770"/>
    <tableColumn id="782" xr3:uid="{C771F8C1-9C56-424F-B5A7-1A0CC71F4B9B}" name="Column771"/>
    <tableColumn id="783" xr3:uid="{1C74BC1D-DF51-46FB-A1A2-041DD2E48CBE}" name="Column772"/>
    <tableColumn id="784" xr3:uid="{F7671C13-4AAD-4AEB-821A-68E067674FBB}" name="Column773"/>
    <tableColumn id="785" xr3:uid="{F6C3FCAA-ED46-4A50-A102-F89F6AFABCD6}" name="Column774"/>
    <tableColumn id="786" xr3:uid="{06F6C331-EA44-4201-8BD2-0AE958B0A0F4}" name="Column775"/>
    <tableColumn id="787" xr3:uid="{A8E5AF11-C895-41C4-B16E-B41519B8F7C5}" name="Column776"/>
    <tableColumn id="788" xr3:uid="{044199D9-FDAA-4D40-B281-20C5EB63622E}" name="Column777"/>
    <tableColumn id="789" xr3:uid="{B4684028-1E5A-4F8B-8EA1-74271103B513}" name="Column778"/>
    <tableColumn id="790" xr3:uid="{5DEC31EC-6ED3-4D4F-859F-41ED6CA46D1D}" name="Column779"/>
    <tableColumn id="791" xr3:uid="{260E4F36-71A4-43D8-90E3-E1E30F04F540}" name="Column780"/>
    <tableColumn id="792" xr3:uid="{BF494860-A5AE-466B-B433-5B34A6B108F3}" name="Column781"/>
    <tableColumn id="793" xr3:uid="{C110D2C9-B888-446D-AFB8-74DC6E3D907F}" name="Column782"/>
    <tableColumn id="794" xr3:uid="{BF1A68B1-734A-4B81-B862-B0E4375E7B2E}" name="Column783"/>
    <tableColumn id="795" xr3:uid="{9324253D-1662-413F-83D7-AE84B438373E}" name="Column784"/>
    <tableColumn id="796" xr3:uid="{3368BA2A-6242-45A2-BA11-01CFCC77F639}" name="Column785"/>
    <tableColumn id="797" xr3:uid="{A9C013B4-C1AB-43F7-A01F-8DB426601579}" name="Column786"/>
    <tableColumn id="798" xr3:uid="{AE510637-3BE9-47E7-9EAF-24041D772EC2}" name="Column787"/>
    <tableColumn id="799" xr3:uid="{586C5590-B52E-4A5D-9F1F-02E694E54E33}" name="Column788"/>
    <tableColumn id="800" xr3:uid="{1E7AC966-3BFA-46B7-924D-350645D65AEB}" name="Column789"/>
    <tableColumn id="801" xr3:uid="{65BF7567-E404-4916-9570-F49238257CF5}" name="Column790"/>
    <tableColumn id="802" xr3:uid="{8AE23317-0519-4777-B84D-DE1176FBD605}" name="Column791"/>
    <tableColumn id="803" xr3:uid="{D3F829A4-8F07-4BC6-A303-8E4185BC848D}" name="Column792"/>
    <tableColumn id="804" xr3:uid="{960AF151-985D-4913-85A8-4B3DB96C3838}" name="Column793"/>
    <tableColumn id="805" xr3:uid="{B7734BF5-D493-4E41-AA06-FA517685730C}" name="Column794"/>
    <tableColumn id="806" xr3:uid="{BEBF42E4-BEB4-4929-9A88-8E70D9127F9B}" name="Column795"/>
    <tableColumn id="807" xr3:uid="{0743C372-A5B1-486A-8438-659492D8D2E2}" name="Column796"/>
    <tableColumn id="808" xr3:uid="{D02B25BF-792E-4E6F-A399-322122DC1BFB}" name="Column797"/>
    <tableColumn id="809" xr3:uid="{215B4F99-33EA-484B-9F2C-CC86B4FB37EE}" name="Column798"/>
    <tableColumn id="810" xr3:uid="{9784A990-7F42-4829-8332-B8E504426557}" name="Column799"/>
    <tableColumn id="811" xr3:uid="{31B3223D-2273-456B-B597-63AFDEF8ACC1}" name="Column800"/>
    <tableColumn id="812" xr3:uid="{027E98B2-8074-4A0F-8DFF-A89A5045D968}" name="Column801"/>
    <tableColumn id="813" xr3:uid="{76941AF2-B0D3-4D44-9095-DE83241F96FD}" name="Column802"/>
    <tableColumn id="814" xr3:uid="{A93FA3D5-6E4D-4A73-B1FD-D2A5BB8D6743}" name="Column803"/>
    <tableColumn id="815" xr3:uid="{19BC366F-8912-4A05-829E-A7394ECB2194}" name="Column804"/>
    <tableColumn id="816" xr3:uid="{96B52EE8-8C82-42F7-9A8D-F21153A50106}" name="Column805"/>
    <tableColumn id="817" xr3:uid="{DB7C91CC-C4F5-44A2-86CD-32B7DE58A203}" name="Column806"/>
    <tableColumn id="818" xr3:uid="{78A4BBC4-D827-4825-B586-0CEA5CFE9D34}" name="Column807"/>
    <tableColumn id="819" xr3:uid="{1EC2EA42-AFCA-49BF-863E-C209BED60D26}" name="Column808"/>
    <tableColumn id="820" xr3:uid="{ED2A32E5-A6F7-4B79-8AF5-A39F4903DF42}" name="Column809"/>
    <tableColumn id="821" xr3:uid="{6037DB28-1480-48C3-87EE-812BC59C80B4}" name="Column810"/>
    <tableColumn id="822" xr3:uid="{DCCB640A-43AA-414D-908E-64B37A10F339}" name="Column811"/>
    <tableColumn id="823" xr3:uid="{DE15E526-C271-42FE-BE04-00359CC46208}" name="Column812"/>
    <tableColumn id="824" xr3:uid="{0CD24963-7C34-4603-A627-01AF6C3E9FA9}" name="Column813"/>
    <tableColumn id="825" xr3:uid="{99F4CF1E-CBD7-4918-82A3-BB7E93747E2D}" name="Column814"/>
    <tableColumn id="826" xr3:uid="{7416EBBD-250A-482B-930C-D1FEEB82214A}" name="Column815"/>
    <tableColumn id="827" xr3:uid="{B739A1DE-A771-4054-9C3C-DEB22F91E12E}" name="Column816"/>
    <tableColumn id="828" xr3:uid="{6D389FAD-FC94-46D0-ADAE-3744A9E19FCF}" name="Column817"/>
    <tableColumn id="829" xr3:uid="{91B71948-E8BD-4F15-BE07-40DA75C3020A}" name="Column818"/>
    <tableColumn id="830" xr3:uid="{D222A794-EA93-4AA2-B447-01793EC3CB64}" name="Column819"/>
    <tableColumn id="831" xr3:uid="{50F515A5-8B66-44E3-BC9E-59B58EB41001}" name="Column820"/>
    <tableColumn id="832" xr3:uid="{09A01938-C928-48D9-B82C-70D38AE020FC}" name="Column821"/>
    <tableColumn id="833" xr3:uid="{02ADF3EA-09EB-46AA-B938-D683A5B2C1A8}" name="Column822"/>
    <tableColumn id="834" xr3:uid="{FA748EAA-6523-4350-850B-5EBAA6FB0627}" name="Column823"/>
    <tableColumn id="835" xr3:uid="{D8C1D4CB-34A6-4736-A64E-DE4F8CBD9046}" name="Column824"/>
    <tableColumn id="836" xr3:uid="{5A84B2E6-A081-458B-90B7-49800A96DE42}" name="Column825"/>
    <tableColumn id="837" xr3:uid="{706F11E0-BE29-4359-A1B7-28505272D27D}" name="Column826"/>
    <tableColumn id="838" xr3:uid="{9B462A9B-FA0F-48C2-9D34-8C67B621B468}" name="Column827"/>
    <tableColumn id="839" xr3:uid="{78C8ABA7-3D39-499A-80C7-FB12A2848841}" name="Column828"/>
    <tableColumn id="840" xr3:uid="{71B0E237-4990-4BDA-94F4-713A6606C528}" name="Column829"/>
    <tableColumn id="841" xr3:uid="{A8421A74-448F-4342-AAA3-EED6F6E9645F}" name="Column830"/>
    <tableColumn id="842" xr3:uid="{FC67F0C8-5E49-4C72-9D09-B2A62B9E5F0E}" name="Column831"/>
    <tableColumn id="843" xr3:uid="{D63B4623-741F-478E-86ED-08C6C9620A9C}" name="Column832"/>
    <tableColumn id="844" xr3:uid="{675CEE21-49BF-41B7-8351-8C7FE806D861}" name="Column833"/>
    <tableColumn id="845" xr3:uid="{6851A1C4-2774-4050-B238-4978185EF39F}" name="Column834"/>
    <tableColumn id="846" xr3:uid="{37A14B55-9AB2-4F93-B7D4-9E34605959CC}" name="Column835"/>
    <tableColumn id="847" xr3:uid="{11173025-9179-4DAC-AD7B-892DBD42ADD5}" name="Column836"/>
    <tableColumn id="848" xr3:uid="{CD3CE667-5C67-4370-AE68-B9775E10E84C}" name="Column837"/>
    <tableColumn id="849" xr3:uid="{984DEA83-B308-4054-9FAA-7F8C6CD0C640}" name="Column838"/>
    <tableColumn id="850" xr3:uid="{19753A0D-FF6C-4F0D-B105-F5CD3EF59588}" name="Column839"/>
    <tableColumn id="851" xr3:uid="{519DAE7C-3607-4D91-AAEC-2D416FC307DD}" name="Column840"/>
    <tableColumn id="852" xr3:uid="{A41E7B3F-7F15-4B03-ACC5-5E041C822384}" name="Column841"/>
    <tableColumn id="853" xr3:uid="{83F3D042-96CD-4CFD-B5EE-EE7ABA8C8696}" name="Column842"/>
    <tableColumn id="854" xr3:uid="{21396126-912B-40D6-A301-D0417C9B40BE}" name="Column843"/>
    <tableColumn id="855" xr3:uid="{0D5C73AC-FDF9-4B00-BBCF-D72611A0A428}" name="Column844"/>
    <tableColumn id="856" xr3:uid="{2389EDDA-78C7-4855-9C8D-EAEC6E1B088C}" name="Column845"/>
    <tableColumn id="857" xr3:uid="{7471F99D-FA9F-4C71-94C5-AF56A3C5F5AC}" name="Column846"/>
    <tableColumn id="858" xr3:uid="{13C91D27-236B-4800-BCD2-085C510F774F}" name="Column847"/>
    <tableColumn id="859" xr3:uid="{447D07BA-372F-49D1-9402-82C3984E8D1D}" name="Column848"/>
    <tableColumn id="860" xr3:uid="{F016AA19-AF5C-4B30-B48D-AE7C881271E0}" name="Column849"/>
    <tableColumn id="861" xr3:uid="{5B03A2DE-646C-4F3E-AA15-894A5A97CB56}" name="Column850"/>
    <tableColumn id="862" xr3:uid="{651A29E7-3D5C-4B19-8332-543350A8BCF0}" name="Column851"/>
    <tableColumn id="863" xr3:uid="{966B2028-DEED-447F-902D-77D17545D8AB}" name="Column852"/>
    <tableColumn id="864" xr3:uid="{73C12B28-A0CC-4ECB-9A2E-83AFA80168C2}" name="Column853"/>
    <tableColumn id="865" xr3:uid="{2E84389A-0E73-4E4F-9B90-51867D84DB22}" name="Column854"/>
    <tableColumn id="866" xr3:uid="{C657275F-95FA-4269-A1E0-79F22C47A75A}" name="Column855"/>
    <tableColumn id="867" xr3:uid="{3C727509-1353-47AA-9507-CC87E9942BA0}" name="Column856"/>
    <tableColumn id="868" xr3:uid="{C8001001-C97A-4180-8C8B-1A2B50C6706D}" name="Column857"/>
    <tableColumn id="869" xr3:uid="{C5CD104E-DD92-4A40-8485-BC4EBF1ACD0E}" name="Column858"/>
    <tableColumn id="870" xr3:uid="{7E154B7F-27ED-4123-991B-8C3D15E25194}" name="Column859"/>
    <tableColumn id="871" xr3:uid="{C091FBB0-CBEF-4B99-8B4C-C684947CE2C1}" name="Column860"/>
    <tableColumn id="872" xr3:uid="{F9F4636B-0EE8-4FD5-8900-F74BC762DE7E}" name="Column861"/>
    <tableColumn id="873" xr3:uid="{49210BF0-5EBC-4AEC-BE34-79AFDC0CB5C8}" name="Column862"/>
    <tableColumn id="874" xr3:uid="{10DF79FB-3B54-45E9-8ACC-D4A520C41C5A}" name="Column863"/>
    <tableColumn id="875" xr3:uid="{34CAF3F4-5076-4394-978B-5F4C3C6671C6}" name="Column864"/>
    <tableColumn id="876" xr3:uid="{365B7944-4247-4F4C-90AD-CEE4D2AD8A71}" name="Column865"/>
    <tableColumn id="877" xr3:uid="{8BDB24BA-789C-4D4F-B081-70EC2B660629}" name="Column866"/>
    <tableColumn id="878" xr3:uid="{4AAF89BC-C028-4234-95E9-CEEC39AC9FC4}" name="Column867"/>
    <tableColumn id="879" xr3:uid="{E1AF0F13-76C9-43C1-8309-13E4E1B6AB29}" name="Column868"/>
    <tableColumn id="880" xr3:uid="{79878B87-DA1C-4113-AAE8-E67CDC2EA023}" name="Column869"/>
    <tableColumn id="881" xr3:uid="{4DA9F6C4-4D03-4034-BFB5-996889F68D93}" name="Column870"/>
    <tableColumn id="882" xr3:uid="{6351B641-78ED-43FB-931B-70A4C71D4F01}" name="Column871"/>
    <tableColumn id="883" xr3:uid="{B1074120-B6B7-47B3-B4AE-1131601393D1}" name="Column872"/>
    <tableColumn id="884" xr3:uid="{ED7BF856-1CB6-4FD5-BB6E-BBAF9ED5F588}" name="Column873"/>
    <tableColumn id="885" xr3:uid="{4AC1E10F-3339-4D5B-A3C4-6594A7E6C951}" name="Column874"/>
    <tableColumn id="886" xr3:uid="{AFF71E84-59BF-4042-9CBD-3469EDD99EB0}" name="Column875"/>
    <tableColumn id="887" xr3:uid="{459EFC63-CBF7-491F-9CAA-F1A6947EFA77}" name="Column876"/>
    <tableColumn id="888" xr3:uid="{08093EF1-BCE0-40A8-B451-F02C13DEE8B5}" name="Column877"/>
    <tableColumn id="889" xr3:uid="{037BC8C6-2D86-43BC-BCD5-EA83C1A9AF5E}" name="Column878"/>
    <tableColumn id="890" xr3:uid="{9759032A-5B0F-4E96-8852-12B113976650}" name="Column879"/>
    <tableColumn id="891" xr3:uid="{33C42997-45F4-49A9-B578-03B0B9188623}" name="Column880"/>
    <tableColumn id="892" xr3:uid="{1E803F4B-B82B-4F82-8856-C9B80C9BCF04}" name="Column881"/>
    <tableColumn id="893" xr3:uid="{F656EC94-E804-40D4-9B6B-0374F99DE089}" name="Column882"/>
    <tableColumn id="894" xr3:uid="{96DAE38A-F5DD-4D1D-AC9B-03A6814A00B3}" name="Column883"/>
    <tableColumn id="895" xr3:uid="{4098FD49-C842-4680-AE21-4EDD22F49852}" name="Column884"/>
    <tableColumn id="896" xr3:uid="{1046E120-11CC-4E97-8EFB-AB59025486C5}" name="Column885"/>
    <tableColumn id="897" xr3:uid="{FF69F545-C4CE-4681-B9BB-74AAF3F29A41}" name="Column886"/>
    <tableColumn id="898" xr3:uid="{7D212196-A4A8-4FC5-8E13-85D7C4A366EC}" name="Column887"/>
    <tableColumn id="899" xr3:uid="{87D9FFDE-8858-41BC-85F5-DC8F6DD46291}" name="Column888"/>
    <tableColumn id="900" xr3:uid="{DFD00F10-EF79-42BF-AC26-1385DE127510}" name="Column889"/>
    <tableColumn id="901" xr3:uid="{ADE0D7D6-F1C4-4EA0-A060-01E63FD5887E}" name="Column890"/>
    <tableColumn id="902" xr3:uid="{68562C20-C5DE-4A2C-84BF-FE155073C91E}" name="Column891"/>
    <tableColumn id="903" xr3:uid="{6068470E-A4E0-4DDF-A2B3-8EB68039D6D2}" name="Column892"/>
    <tableColumn id="904" xr3:uid="{54968E70-53BA-4FB0-9E0A-B7DBD75D797E}" name="Column893"/>
    <tableColumn id="905" xr3:uid="{9D5F571A-DDD0-4B3F-A8F6-76D736539604}" name="Column894"/>
    <tableColumn id="906" xr3:uid="{A6FEC9F6-40CA-4A34-8220-B566704DF131}" name="Column895"/>
    <tableColumn id="907" xr3:uid="{2551503F-1B24-486A-BCB7-2BC53557DDDC}" name="Column896"/>
    <tableColumn id="908" xr3:uid="{22049A27-86C3-41E5-AB95-FC27584FD94A}" name="Column897"/>
    <tableColumn id="909" xr3:uid="{5DE89B54-C083-4E3F-9C36-610F6B8EEBD8}" name="Column898"/>
    <tableColumn id="910" xr3:uid="{ED8FF24E-358D-41C4-93D0-69B24FA34F40}" name="Column899"/>
    <tableColumn id="911" xr3:uid="{5776E54D-0872-49BF-9DDB-197BD97F358D}" name="Column900"/>
    <tableColumn id="912" xr3:uid="{A083A29A-B0E2-4D60-A638-B9C7BCE9EA72}" name="Column901"/>
    <tableColumn id="913" xr3:uid="{8BA5FAF8-1EB8-4487-A111-A9B8B809EFA6}" name="Column902"/>
    <tableColumn id="914" xr3:uid="{0272C8DF-76A6-4A39-80B5-FF779DED0488}" name="Column903"/>
    <tableColumn id="915" xr3:uid="{1C64C900-9632-4EE1-A391-19C0A5D0B27C}" name="Column904"/>
    <tableColumn id="916" xr3:uid="{0D65B0F4-C54F-470D-8510-8C8CDE391136}" name="Column905"/>
    <tableColumn id="917" xr3:uid="{FFCF2C7D-F06D-4318-B4D8-7F22AE73B113}" name="Column906"/>
    <tableColumn id="918" xr3:uid="{3242D9FA-EB75-4A42-B289-0BBDC798B054}" name="Column907"/>
    <tableColumn id="919" xr3:uid="{F550FDFF-98CA-4D3D-B4D6-A425B1CEADFA}" name="Column908"/>
    <tableColumn id="920" xr3:uid="{A64B610C-C557-4220-AEDC-63D26C4A84BE}" name="Column909"/>
    <tableColumn id="921" xr3:uid="{F0EC4730-2AF7-48EC-9EF6-7837B4553AB6}" name="Column910"/>
    <tableColumn id="922" xr3:uid="{B6BFAFC4-8802-4EDA-AC20-506608A6E077}" name="Column911"/>
    <tableColumn id="923" xr3:uid="{BCDC3AEC-2078-492B-A586-17112CE1E92D}" name="Column912"/>
    <tableColumn id="924" xr3:uid="{D351B3A3-3884-4655-BDCB-B817F376A919}" name="Column913"/>
    <tableColumn id="925" xr3:uid="{A22A30C9-AD2D-4831-80C1-2321AED951D6}" name="Column914"/>
    <tableColumn id="926" xr3:uid="{6EE5A1CB-4076-4DB9-B621-85D9C517D434}" name="Column915"/>
    <tableColumn id="927" xr3:uid="{464DBB9B-7930-4856-8C12-C83C34947352}" name="Column916"/>
    <tableColumn id="928" xr3:uid="{5E63B787-5EDF-4946-8A1B-9B18BC6AAEA7}" name="Column917"/>
    <tableColumn id="929" xr3:uid="{224FEB51-2647-49C4-A50E-521950BA1978}" name="Column918"/>
    <tableColumn id="930" xr3:uid="{8F65E126-763B-446D-8A86-BEC252A4BBA0}" name="Column919"/>
    <tableColumn id="931" xr3:uid="{680B25F9-930F-4B2F-ADA5-E26532A27C3C}" name="Column920"/>
    <tableColumn id="932" xr3:uid="{2F441824-652C-4D98-BF19-AA8ED0BF3AB6}" name="Column921"/>
    <tableColumn id="933" xr3:uid="{8E5C1607-CA7E-4412-91F1-98CAC0CA39AA}" name="Column922"/>
    <tableColumn id="934" xr3:uid="{15DBF102-7AA7-410C-8154-CD73A78C4CDE}" name="Column923"/>
    <tableColumn id="935" xr3:uid="{2282D9BD-CA07-41A3-B2CD-CF8A414FEC9F}" name="Column924"/>
    <tableColumn id="936" xr3:uid="{557F7E44-222D-48CF-8DAB-ED5666C4A9F3}" name="Column925"/>
    <tableColumn id="937" xr3:uid="{34765BEC-F908-4D0A-9A8F-66B488E05737}" name="Column926"/>
    <tableColumn id="938" xr3:uid="{3481F532-3AB1-4161-9977-39D16B38F11D}" name="Column927"/>
    <tableColumn id="939" xr3:uid="{9AC7DB08-6DC3-4FAA-A0AF-C8C3D547AF49}" name="Column928"/>
    <tableColumn id="940" xr3:uid="{085E791D-5275-4EDB-B2BD-E75AD4179D81}" name="Column929"/>
    <tableColumn id="941" xr3:uid="{913145AA-F9F2-4D3D-B4FE-AD56B96C3154}" name="Column930"/>
    <tableColumn id="942" xr3:uid="{AB21A752-4802-48CC-8996-F6621ED823C5}" name="Column931"/>
    <tableColumn id="943" xr3:uid="{695934EA-C813-4EDE-B331-437E6AEB42D1}" name="Column932"/>
    <tableColumn id="944" xr3:uid="{93C4C5D5-F64D-4F6D-A8CF-8183E056DDEE}" name="Column933"/>
    <tableColumn id="945" xr3:uid="{5E3BD571-A132-4878-8492-FE74014474A3}" name="Column934"/>
    <tableColumn id="946" xr3:uid="{8020B405-1211-4E71-BCB8-ED4B360BA412}" name="Column935"/>
    <tableColumn id="947" xr3:uid="{962DC80A-7EAD-4FC3-8B60-3EF755E27A8A}" name="Column936"/>
    <tableColumn id="948" xr3:uid="{9BAEFD41-2005-4F69-AF74-C63D02539FC8}" name="Column937"/>
    <tableColumn id="949" xr3:uid="{8F3CCEC3-B1EC-4CAA-9C56-DB9810F4E7A0}" name="Column938"/>
    <tableColumn id="950" xr3:uid="{F1A15E51-2DB7-403B-8E23-2008E4FBFEB4}" name="Column939"/>
    <tableColumn id="951" xr3:uid="{A66621B1-C171-4F54-9F54-EC60305D2804}" name="Column940"/>
    <tableColumn id="952" xr3:uid="{2C228828-3A93-496E-902E-FB3BD4875A30}" name="Column941"/>
    <tableColumn id="953" xr3:uid="{E8A843D2-C942-4CE6-B221-B8F30F7A7CBB}" name="Column942"/>
    <tableColumn id="954" xr3:uid="{C7EE0971-9DD2-4C70-AF14-3627458061E6}" name="Column943"/>
    <tableColumn id="955" xr3:uid="{3215873C-21F7-4A3E-8D8E-D0757A76F3BA}" name="Column944"/>
    <tableColumn id="956" xr3:uid="{03AF3311-B0B8-46D6-875A-B320F629269F}" name="Column945"/>
    <tableColumn id="957" xr3:uid="{7FB6B444-E5F5-4A05-9C41-147CE398FDC5}" name="Column946"/>
    <tableColumn id="958" xr3:uid="{F5F5113A-EA61-42B2-938F-0F3CDA8D85BF}" name="Column947"/>
    <tableColumn id="959" xr3:uid="{39CB35B2-198E-4125-9DBE-D5C618A0F421}" name="Column948"/>
    <tableColumn id="960" xr3:uid="{29A119C3-A0BA-4E57-9F8A-3F474C35F632}" name="Column949"/>
    <tableColumn id="961" xr3:uid="{62F18B11-8028-4D45-A9A4-E9920F6763C7}" name="Column950"/>
    <tableColumn id="962" xr3:uid="{31607740-54D3-4D60-92BF-A54803CF7914}" name="Column951"/>
    <tableColumn id="963" xr3:uid="{0C0FF6E9-F84F-4C52-8E85-46E6A515A29B}" name="Column952"/>
    <tableColumn id="964" xr3:uid="{12D482CE-9FAD-4B08-8AB8-3DCC364503C2}" name="Column953"/>
    <tableColumn id="965" xr3:uid="{B1F0AC5B-47CD-48C8-A76C-42D23A7E3E50}" name="Column954"/>
    <tableColumn id="966" xr3:uid="{59C5C255-F722-484B-ABC9-50416EB7F4FB}" name="Column955"/>
    <tableColumn id="967" xr3:uid="{CBFB4309-6C75-4956-A65A-C487EFDEA9C0}" name="Column956"/>
    <tableColumn id="968" xr3:uid="{5FBE9C26-1BF5-4D99-BD3D-25B7D1B2513E}" name="Column957"/>
    <tableColumn id="969" xr3:uid="{C49BD205-13DA-42D4-BE30-6FE56A353D99}" name="Column958"/>
    <tableColumn id="970" xr3:uid="{C4EDC0F7-E2E3-4688-A369-06557E261255}" name="Column959"/>
    <tableColumn id="971" xr3:uid="{7540DD54-3F93-4616-808B-7B68D35416E1}" name="Column960"/>
    <tableColumn id="972" xr3:uid="{18DDF8AC-0D6C-4577-842D-471130546A8C}" name="Column961"/>
    <tableColumn id="973" xr3:uid="{9AF1E57D-4460-4205-AB0D-09347E8F1509}" name="Column962"/>
    <tableColumn id="974" xr3:uid="{60C936AB-7A09-48BF-92F5-842850CF465F}" name="Column963"/>
    <tableColumn id="975" xr3:uid="{8F17278D-D248-4E25-ACA8-B86FA5E47D67}" name="Column964"/>
    <tableColumn id="976" xr3:uid="{E29596E5-2FC2-408B-88D0-91BD40AF7FAF}" name="Column965"/>
    <tableColumn id="977" xr3:uid="{5DCEAAD3-0287-45F4-8DB2-996D88D7FB02}" name="Column966"/>
    <tableColumn id="978" xr3:uid="{7B47480A-3FDC-4BC6-89C6-1E7D3F7D50A4}" name="Column967"/>
    <tableColumn id="979" xr3:uid="{FBD53739-82B5-452A-9C68-A31F039103D9}" name="Column968"/>
    <tableColumn id="980" xr3:uid="{B975F4AA-D5D9-4506-9E9D-C97AF3637386}" name="Column969"/>
    <tableColumn id="981" xr3:uid="{5C3A5888-89AC-48E4-808A-3401156F8115}" name="Column970"/>
    <tableColumn id="982" xr3:uid="{E07B1210-F7F1-4C81-81B5-1FDDEA58BD11}" name="Column971"/>
    <tableColumn id="983" xr3:uid="{2A99620F-CCC5-4DCF-B145-5050E51992BB}" name="Column972"/>
    <tableColumn id="984" xr3:uid="{999B787C-45EF-4F9B-A80D-850BABFC9AAD}" name="Column973"/>
    <tableColumn id="985" xr3:uid="{3A2B49A3-6467-4061-B287-60F380138211}" name="Column974"/>
    <tableColumn id="986" xr3:uid="{06F0A519-4517-4819-AEE2-DE4A1A318036}" name="Column975"/>
    <tableColumn id="987" xr3:uid="{99CD0F5B-7B06-4CE3-82AE-9C3E86250425}" name="Column976"/>
    <tableColumn id="988" xr3:uid="{A3EC205E-1B3A-4F2C-87B9-14A97A0C33E6}" name="Column977"/>
    <tableColumn id="989" xr3:uid="{2251E37B-44F5-4C6C-8F2F-2530D3C12160}" name="Column978"/>
    <tableColumn id="990" xr3:uid="{A1F3C2A1-3286-4741-90F5-61CF7DC05949}" name="Column979"/>
    <tableColumn id="991" xr3:uid="{B2F4DB7C-B4C4-41C6-9CC0-E96C40E2DD4E}" name="Column980"/>
    <tableColumn id="992" xr3:uid="{158D149F-6706-4B3A-99DC-8641D002189E}" name="Column981"/>
    <tableColumn id="993" xr3:uid="{D67AB626-6DC2-4DAE-9059-360EBB3B3BEA}" name="Column982"/>
    <tableColumn id="994" xr3:uid="{6F4D87CE-CDB6-49F6-8A05-8ED16D5730DA}" name="Column983"/>
    <tableColumn id="995" xr3:uid="{A8B61221-688F-4F6D-BEC0-AA588CB0804D}" name="Column984"/>
    <tableColumn id="996" xr3:uid="{DBF043DA-0F9A-4240-BC29-B2EDD95F28BA}" name="Column985"/>
    <tableColumn id="997" xr3:uid="{3E362475-19D9-44B7-AABF-D27A1690DAD9}" name="Column986"/>
    <tableColumn id="998" xr3:uid="{520658B9-9456-4299-B626-CD94C68DFF4B}" name="Column987"/>
    <tableColumn id="999" xr3:uid="{2DE8ABE0-775B-4FBB-8CC4-4D51B4D4393F}" name="Column988"/>
    <tableColumn id="1000" xr3:uid="{7AF6815E-1151-4E23-9DA7-1AD0BE1D3E6F}" name="Column989"/>
    <tableColumn id="1001" xr3:uid="{74205F95-C490-48C6-87CA-7C694ADB5C01}" name="Column990"/>
    <tableColumn id="1002" xr3:uid="{3ED47863-069A-461C-9E4B-8BD4A9400E22}" name="Column991"/>
    <tableColumn id="1003" xr3:uid="{E61F174B-2210-493E-B7F2-A50B53FAE617}" name="Column992"/>
    <tableColumn id="1004" xr3:uid="{E8CD5B51-AE51-4B82-BFF3-A4A5D23CD5D7}" name="Column993"/>
    <tableColumn id="1005" xr3:uid="{E611D061-9B84-4BAF-BEEC-57FD869D3228}" name="Column994"/>
    <tableColumn id="1006" xr3:uid="{95D2D9AA-9267-4D0A-8068-F8AD2D616371}" name="Column995"/>
    <tableColumn id="1007" xr3:uid="{3C176242-20CA-4E56-8F36-F5EE2289A11A}" name="Column996"/>
    <tableColumn id="1008" xr3:uid="{64B29A7C-4810-4B43-AEB6-07C666F547BD}" name="Column997"/>
    <tableColumn id="1009" xr3:uid="{2BF85CDE-1662-4134-B781-42EC5D37137E}" name="Column998"/>
    <tableColumn id="1010" xr3:uid="{67057697-4432-4E4B-A047-2F26EB0FB0C2}" name="Column999"/>
    <tableColumn id="1011" xr3:uid="{816E156A-C042-422B-BCD2-D0B611B4195A}" name="Column1000"/>
    <tableColumn id="1012" xr3:uid="{A88CD935-8080-4838-8CA3-B786D9E299D2}" name="Column1001"/>
    <tableColumn id="1013" xr3:uid="{D2EDE199-26BE-4403-8464-1EF9500C7FE5}" name="Column1002"/>
    <tableColumn id="1014" xr3:uid="{E0DA355B-53E1-49A0-B586-8419E5F601D9}" name="Column1003"/>
    <tableColumn id="1015" xr3:uid="{99B88607-EA64-46FC-AE40-4CC73FD40B70}" name="Column1004"/>
    <tableColumn id="1016" xr3:uid="{7532935A-C818-40CF-8767-48F204DF3EF2}" name="Column1005"/>
    <tableColumn id="1017" xr3:uid="{2CB886AD-C817-4AEE-8A16-4D12FB21F682}" name="Column1006"/>
    <tableColumn id="1018" xr3:uid="{A073680B-68E4-4C10-82AD-0990604E4A9E}" name="Column1007"/>
    <tableColumn id="1019" xr3:uid="{815EF670-9004-4CAD-B121-CA772B1046DD}" name="Column1008"/>
    <tableColumn id="1020" xr3:uid="{2529CBD2-98B4-4161-894B-FC25A3F43D26}" name="Column1009"/>
    <tableColumn id="1021" xr3:uid="{C10BEEC1-8A67-4231-8DD1-87DC8EDD87F9}" name="Column1010"/>
    <tableColumn id="1022" xr3:uid="{9C9C6954-6634-474D-9DC3-15B812E2CAD3}" name="Column1011"/>
    <tableColumn id="1023" xr3:uid="{E8015AA4-8C09-41EA-8266-5B930BBC31EA}" name="Column1012"/>
    <tableColumn id="1024" xr3:uid="{A31FE714-0D67-4BE7-BC41-3BC1570978CE}" name="Column1013"/>
    <tableColumn id="1025" xr3:uid="{1CBD7FBA-42E2-4441-866C-300FEDBEFE45}" name="Column1014"/>
    <tableColumn id="1026" xr3:uid="{E957A8BE-7787-4F8C-B87D-CE0F86A81A93}" name="Column1015"/>
    <tableColumn id="1027" xr3:uid="{FD5BF816-9497-491B-B434-4AAB1CF5E36D}" name="Column1016"/>
    <tableColumn id="1028" xr3:uid="{DF6B9516-0958-42AC-BC36-C8B52EDD4259}" name="Column1017"/>
    <tableColumn id="1029" xr3:uid="{4B67C5BB-305F-4784-BE98-DE661030988A}" name="Column1018"/>
    <tableColumn id="1030" xr3:uid="{E090F6AA-46C8-4535-BCEC-BCAB13549609}" name="Column1019"/>
    <tableColumn id="1031" xr3:uid="{DC854904-D6C5-4982-AFD6-843D3D2376C6}" name="Column1020"/>
    <tableColumn id="1032" xr3:uid="{57F7DB87-5D94-430F-B051-34ADE1E0FD5E}" name="Column1021"/>
    <tableColumn id="1033" xr3:uid="{9E69E5BF-809D-40FE-87B1-BE1F22C4F3AD}" name="Column1022"/>
    <tableColumn id="1034" xr3:uid="{BDCEF1E7-46EC-4461-8627-067633E60D96}" name="Column1023"/>
    <tableColumn id="1035" xr3:uid="{BF06A9AA-EAFC-4F5E-9921-80A1D9E9DE4E}" name="Column1024"/>
    <tableColumn id="1036" xr3:uid="{E28740FD-883D-418C-9C73-2E3EA6E6E487}" name="Column1025"/>
    <tableColumn id="1037" xr3:uid="{5645B481-10A8-4D6E-A12E-9074D0BA19A3}" name="Column1026"/>
    <tableColumn id="1038" xr3:uid="{C2D52270-CF1C-4BD7-98F9-35290BECE5E3}" name="Column1027"/>
    <tableColumn id="1039" xr3:uid="{7B87FA76-A747-4748-A096-00BD4FFD7E77}" name="Column1028"/>
    <tableColumn id="1040" xr3:uid="{19576916-5F1F-474D-809D-554D9EC5BB40}" name="Column1029"/>
    <tableColumn id="1041" xr3:uid="{785F3088-93D0-4FD3-82E3-259E26352569}" name="Column1030"/>
    <tableColumn id="1042" xr3:uid="{9EAB3EB2-E3B9-47D7-897B-58B29F401D45}" name="Column1031"/>
    <tableColumn id="1043" xr3:uid="{E81ACF03-D29C-43BF-90E7-9CC1DF1A9F1B}" name="Column1032"/>
    <tableColumn id="1044" xr3:uid="{FC429C46-7F48-45A5-B712-1211EBEEF11D}" name="Column1033"/>
    <tableColumn id="1045" xr3:uid="{1A84240B-3CF0-403B-A257-69EF5DC239DB}" name="Column1034"/>
    <tableColumn id="1046" xr3:uid="{FD17EF86-7A59-4CC7-B28A-E05A73332500}" name="Column1035"/>
    <tableColumn id="1047" xr3:uid="{8E058BF9-FDB5-43FC-8437-6FEC7902F728}" name="Column1036"/>
    <tableColumn id="1048" xr3:uid="{6B21B39D-BB69-48EE-B240-13B302E9CA07}" name="Column1037"/>
    <tableColumn id="1049" xr3:uid="{A32F873A-926A-490E-9B36-65C128EDD809}" name="Column1038"/>
    <tableColumn id="1050" xr3:uid="{3E1A1229-EE7A-451C-98CB-E4C9A3BCE171}" name="Column1039"/>
    <tableColumn id="1051" xr3:uid="{4F129B58-E0AE-4734-A528-C6750AC458EE}" name="Column1040"/>
    <tableColumn id="1052" xr3:uid="{A13F8F02-FF8B-40DB-B9E1-CC5430AE069A}" name="Column1041"/>
    <tableColumn id="1053" xr3:uid="{66C78014-5F71-4D69-A65E-B12355E5BAF5}" name="Column1042"/>
    <tableColumn id="1054" xr3:uid="{7FBC2751-6B0A-4D2D-84F6-270C85F80CC0}" name="Column1043"/>
    <tableColumn id="1055" xr3:uid="{E4141B58-44A2-4670-96F6-7B7467F6457A}" name="Column1044"/>
    <tableColumn id="1056" xr3:uid="{190863F3-A3C5-48A1-B97C-2FB20F4E6D4F}" name="Column1045"/>
    <tableColumn id="1057" xr3:uid="{536E1AF4-A107-42EC-B798-334BE0FFD372}" name="Column1046"/>
    <tableColumn id="1058" xr3:uid="{383C42E0-F8DC-40BF-B958-DDB973036E52}" name="Column1047"/>
    <tableColumn id="1059" xr3:uid="{E5A1F564-631A-4A6C-99ED-21D2C5DE949B}" name="Column1048"/>
    <tableColumn id="1060" xr3:uid="{B7C31706-2731-4D98-AD32-4C217E669E18}" name="Column1049"/>
    <tableColumn id="1061" xr3:uid="{E06DC1C8-73A0-4400-9F82-2CBB081CECCD}" name="Column1050"/>
    <tableColumn id="1062" xr3:uid="{0DE34BEE-5DC2-497C-AF62-34AACE639E07}" name="Column1051"/>
    <tableColumn id="1063" xr3:uid="{C5FFF085-F680-4709-9535-1E920A5A9343}" name="Column1052"/>
    <tableColumn id="1064" xr3:uid="{17ACE9A2-A7B8-4945-8A7A-DA2EA0E03BF5}" name="Column1053"/>
    <tableColumn id="1065" xr3:uid="{184BB627-F5A2-45FC-A968-E7BE1C0902EA}" name="Column1054"/>
    <tableColumn id="1066" xr3:uid="{CB65B2DB-D296-4D60-8A9D-45AEAEF938EC}" name="Column1055"/>
    <tableColumn id="1067" xr3:uid="{7C0F2492-7CC3-41A8-96B7-4F3C8E0AEED5}" name="Column1056"/>
    <tableColumn id="1068" xr3:uid="{9E6141F2-0657-4B89-8161-08C1698A1947}" name="Column1057"/>
    <tableColumn id="1069" xr3:uid="{4AECAB2F-3D92-4410-8A16-27CABC34A4A6}" name="Column1058"/>
    <tableColumn id="1070" xr3:uid="{BCE7AEA6-5DC4-40ED-91C2-F4F04E35BBDC}" name="Column1059"/>
    <tableColumn id="1071" xr3:uid="{8CF2A4CA-3CCC-4C70-932B-D201748E96D0}" name="Column1060"/>
    <tableColumn id="1072" xr3:uid="{6BEBF007-A814-448B-9AB4-7924EBCDEC9D}" name="Column1061"/>
    <tableColumn id="1073" xr3:uid="{7515184F-28BF-450F-B12D-DE6B37D34E1E}" name="Column1062"/>
    <tableColumn id="1074" xr3:uid="{DDD9F828-09AE-4DDA-BC98-0D344596B460}" name="Column1063"/>
    <tableColumn id="1075" xr3:uid="{1EB9A503-1BF7-403F-956B-DEECBD001C0C}" name="Column1064"/>
    <tableColumn id="1076" xr3:uid="{D6CEA59F-7ED1-4053-8E35-B7C351A63894}" name="Column1065"/>
    <tableColumn id="1077" xr3:uid="{29800BFF-62F2-4E1A-97EB-842835730E5F}" name="Column1066"/>
    <tableColumn id="1078" xr3:uid="{15732910-4AA5-44F8-8D7A-E1D76BA9CA06}" name="Column1067"/>
    <tableColumn id="1079" xr3:uid="{DF702D87-4FA0-4C2D-828C-FA6A9E557C4B}" name="Column1068"/>
    <tableColumn id="1080" xr3:uid="{C3DD4A1A-456C-4F48-A3CC-BA8867ECD3D8}" name="Column1069"/>
    <tableColumn id="1081" xr3:uid="{FADE519F-40C2-4079-8F28-8ADCF3EDE15D}" name="Column1070"/>
    <tableColumn id="1082" xr3:uid="{1901F968-73C1-4C92-A7E7-EF8F8191BCDA}" name="Column1071"/>
    <tableColumn id="1083" xr3:uid="{B8E7237E-12B7-4A54-9ACA-3EF1A9D21CD1}" name="Column1072"/>
    <tableColumn id="1084" xr3:uid="{E247A0F6-5560-4F8A-A6FB-DB041BC013CF}" name="Column1073"/>
    <tableColumn id="1085" xr3:uid="{BADB7437-4FA1-48CD-BE6A-5DF3BA1BE192}" name="Column1074"/>
    <tableColumn id="1086" xr3:uid="{9B61B057-573D-433B-AD8B-F3CD2F60CA83}" name="Column1075"/>
    <tableColumn id="1087" xr3:uid="{2FB77F51-0E64-4C81-BEFE-4D490227F9CF}" name="Column1076"/>
    <tableColumn id="1088" xr3:uid="{B13302DC-D844-42B9-9A27-EF968073842D}" name="Column1077"/>
    <tableColumn id="1089" xr3:uid="{E7B4C8A5-E803-4BA9-B5B5-C20162C3E077}" name="Column1078"/>
    <tableColumn id="1090" xr3:uid="{7E57CB63-1592-4E6C-A13E-7B442DD61784}" name="Column1079"/>
    <tableColumn id="1091" xr3:uid="{72EF068E-E619-42E0-AF55-3E63C3C44BFA}" name="Column1080"/>
    <tableColumn id="1092" xr3:uid="{B1766A7B-334B-49D7-9FE2-AAD073C4E073}" name="Column1081"/>
    <tableColumn id="1093" xr3:uid="{9368DC99-4754-434A-B662-EE569463341A}" name="Column1082"/>
    <tableColumn id="1094" xr3:uid="{496D1DE1-4E9E-4B4C-87B4-965EB5415E96}" name="Column1083"/>
    <tableColumn id="1095" xr3:uid="{D253514E-BB24-4452-825C-936C200A4A68}" name="Column1084"/>
    <tableColumn id="1096" xr3:uid="{EDFD3194-8CC2-4F11-A8C5-1F115A346B39}" name="Column1085"/>
    <tableColumn id="1097" xr3:uid="{02CAF1F8-261B-40AE-A752-630C17EF7419}" name="Column1086"/>
    <tableColumn id="1098" xr3:uid="{115ED873-5B39-4E5E-82C6-AACC55D48051}" name="Column1087"/>
    <tableColumn id="1099" xr3:uid="{8C290083-15AE-469D-8F74-E850C7D1E79E}" name="Column1088"/>
    <tableColumn id="1100" xr3:uid="{0268C5E8-3CEB-49D6-B34B-BBEAF05F615D}" name="Column1089"/>
    <tableColumn id="1101" xr3:uid="{269AE4EB-D529-4489-BD4C-6A91C850A8E9}" name="Column1090"/>
    <tableColumn id="1102" xr3:uid="{645F3B24-C78E-42C2-AD93-9B7294692EDC}" name="Column1091"/>
    <tableColumn id="1103" xr3:uid="{CAA8BE9B-913E-49BC-A29E-1997A1199016}" name="Column1092"/>
    <tableColumn id="1104" xr3:uid="{942EEA6C-6BAF-4EDE-AC4A-BE45B0E4CA91}" name="Column1093"/>
    <tableColumn id="1105" xr3:uid="{AD27A8DB-B530-4109-88A7-660A05D18606}" name="Column1094"/>
    <tableColumn id="1106" xr3:uid="{DF96289F-FDFD-46DE-899D-F859C607BF6F}" name="Column1095"/>
    <tableColumn id="1107" xr3:uid="{67F538CD-A594-4371-B8E3-C8B595E964F2}" name="Column1096"/>
    <tableColumn id="1108" xr3:uid="{DDDFAABD-C732-4144-B87D-D9D5DA965405}" name="Column1097"/>
    <tableColumn id="1109" xr3:uid="{8D0891A3-2956-4133-AFFF-47BA21795EBA}" name="Column1098"/>
    <tableColumn id="1110" xr3:uid="{26C6F838-8607-4693-9B04-C6AFCFB9A93C}" name="Column1099"/>
    <tableColumn id="1111" xr3:uid="{F41741EF-6FEC-4D40-9CBA-6BDF15720288}" name="Column1100"/>
    <tableColumn id="1112" xr3:uid="{86BA4D8D-CCBC-4F93-AA3C-A35FA264248F}" name="Column1101"/>
    <tableColumn id="1113" xr3:uid="{6727767D-7E6F-4A84-AA84-FB2DC05EEAA6}" name="Column1102"/>
    <tableColumn id="1114" xr3:uid="{1A2A7607-2BB3-4022-896D-6DD39FCEC904}" name="Column1103"/>
    <tableColumn id="1115" xr3:uid="{2F04487D-1284-49A6-9625-F1219445CAD2}" name="Column1104"/>
    <tableColumn id="1116" xr3:uid="{3E7A1244-722E-4F3B-A7FB-1E35293315C3}" name="Column1105"/>
    <tableColumn id="1117" xr3:uid="{A066E08B-43CE-4192-8FBB-547C5EE6CCDB}" name="Column1106"/>
    <tableColumn id="1118" xr3:uid="{90EC9D37-8359-414E-B45A-03817CBFC9AC}" name="Column1107"/>
    <tableColumn id="1119" xr3:uid="{51ABB071-7135-41A0-94BC-DF1D8B04E34F}" name="Column1108"/>
    <tableColumn id="1120" xr3:uid="{24ADC28F-FF53-431E-8A1D-B81BF6BCF68C}" name="Column1109"/>
    <tableColumn id="1121" xr3:uid="{F073E57C-DCD0-4705-8823-BB81C9B98E7D}" name="Column1110"/>
    <tableColumn id="1122" xr3:uid="{9944F286-D0F3-41FA-AA92-F7368B5907B2}" name="Column1111"/>
    <tableColumn id="1123" xr3:uid="{A6894C4D-37C4-4615-BE1C-98397F292D33}" name="Column1112"/>
    <tableColumn id="1124" xr3:uid="{4034F275-7A78-413E-9685-BC9415C86CD7}" name="Column1113"/>
    <tableColumn id="1125" xr3:uid="{4799E34F-FB5A-41B8-AC4E-53C6DB7520B9}" name="Column1114"/>
    <tableColumn id="1126" xr3:uid="{A00B455D-EEB7-4BF7-A448-92D41A0AEABC}" name="Column1115"/>
    <tableColumn id="1127" xr3:uid="{4F63BE62-B99E-4F2E-9155-A0503C59E9C6}" name="Column1116"/>
    <tableColumn id="1128" xr3:uid="{2ACDBCCD-C67B-4AEA-9563-73706326E141}" name="Column1117"/>
    <tableColumn id="1129" xr3:uid="{4E251553-697F-4D81-A4B0-0C8CF5C8EC13}" name="Column1118"/>
    <tableColumn id="1130" xr3:uid="{0309C5A5-D706-4C1C-A1AC-4AD7173F3DE8}" name="Column1119"/>
    <tableColumn id="1131" xr3:uid="{2BC97F63-B05C-48BA-883D-290AF753B6C7}" name="Column1120"/>
    <tableColumn id="1132" xr3:uid="{A0AF624E-3685-47FB-82E4-C83898FD0DF3}" name="Column1121"/>
    <tableColumn id="1133" xr3:uid="{EA108046-1675-4E7D-9687-EA7DA7120F07}" name="Column1122"/>
    <tableColumn id="1134" xr3:uid="{D299A332-E403-4985-94F6-5E584A032137}" name="Column1123"/>
    <tableColumn id="1135" xr3:uid="{F9619968-6A5A-49C0-959A-2C9AA60CC46B}" name="Column1124"/>
    <tableColumn id="1136" xr3:uid="{49640DF6-22F7-4FCA-8C6E-5E2CD48F1DBF}" name="Column1125"/>
    <tableColumn id="1137" xr3:uid="{06DD0A26-F998-4DD2-95F5-CA6E841A8D7D}" name="Column1126"/>
    <tableColumn id="1138" xr3:uid="{BF612D55-1082-42DB-BD3F-D1DA55FC4ADC}" name="Column1127"/>
    <tableColumn id="1139" xr3:uid="{D86B3D94-A296-4962-B943-6258B5835EF1}" name="Column1128"/>
    <tableColumn id="1140" xr3:uid="{AA0575AE-8408-4D8E-8E47-978E34DB82E0}" name="Column1129"/>
    <tableColumn id="1141" xr3:uid="{F4218A81-840E-4162-9CF1-E9B5FFF72120}" name="Column1130"/>
    <tableColumn id="1142" xr3:uid="{FBA170BF-5E1E-4576-BEED-BEDB87936C10}" name="Column1131"/>
    <tableColumn id="1143" xr3:uid="{CBCE39AE-6763-426B-A998-F677E3BB13FF}" name="Column1132"/>
    <tableColumn id="1144" xr3:uid="{9CFB1120-C43A-45FC-BE3D-730368C671CD}" name="Column1133"/>
    <tableColumn id="1145" xr3:uid="{C5FFF63B-01BC-4100-9E31-36D3EC487D1B}" name="Column1134"/>
    <tableColumn id="1146" xr3:uid="{F0918888-9D43-46EE-B4C4-D95963D03154}" name="Column1135"/>
    <tableColumn id="1147" xr3:uid="{18B6556D-0C6A-43E4-8D57-51330BE3A0C9}" name="Column1136"/>
    <tableColumn id="1148" xr3:uid="{36C24A24-4834-4204-B3A9-3282C70B77E5}" name="Column1137"/>
    <tableColumn id="1149" xr3:uid="{8BEB3CF5-DCF4-4191-9AF6-5E8732E9DE11}" name="Column1138"/>
    <tableColumn id="1150" xr3:uid="{45136FED-90AC-4DDF-B397-9E36245F2B83}" name="Column1139"/>
    <tableColumn id="1151" xr3:uid="{AC9DA8D2-A3C4-4A2F-B0EE-41DFE5F0766F}" name="Column1140"/>
    <tableColumn id="1152" xr3:uid="{0DABF953-D5F6-4AAB-A80A-F1F081B15944}" name="Column1141"/>
    <tableColumn id="1153" xr3:uid="{1DF78CA7-7B18-41F1-86C6-4AF6DF174742}" name="Column1142"/>
    <tableColumn id="1154" xr3:uid="{37E9D4CF-6148-4362-AFF2-1B3F06E77EBD}" name="Column1143"/>
    <tableColumn id="1155" xr3:uid="{5DD9D97F-B907-48A0-9808-27686D6E9470}" name="Column1144"/>
    <tableColumn id="1156" xr3:uid="{E3A31B64-FE59-4536-A5C2-12AA719B1054}" name="Column1145"/>
    <tableColumn id="1157" xr3:uid="{1A3C87C0-306D-46FD-A21F-88B662ACE9C3}" name="Column1146"/>
    <tableColumn id="1158" xr3:uid="{F72A2B69-9560-467B-94CF-AEC1DF7E73BC}" name="Column1147"/>
    <tableColumn id="1159" xr3:uid="{3977DDCB-873B-4821-AD42-EA19742B5F9D}" name="Column1148"/>
    <tableColumn id="1160" xr3:uid="{4A2FA011-C542-422C-BEFA-F1DC1CE0866D}" name="Column1149"/>
    <tableColumn id="1161" xr3:uid="{C41D6D64-C9D9-4C46-AC16-EDB699139A5E}" name="Column1150"/>
    <tableColumn id="1162" xr3:uid="{940C2E95-F455-49D8-A381-4BC4874E5AB7}" name="Column1151"/>
    <tableColumn id="1163" xr3:uid="{1AE5CDA8-B1F8-4730-9D68-C87D63476EF2}" name="Column1152"/>
    <tableColumn id="1164" xr3:uid="{8AF9CFBD-918F-4173-BB2B-96098AE44C58}" name="Column1153"/>
    <tableColumn id="1165" xr3:uid="{3DD3D899-DBEA-4856-86BF-D348BC7633BF}" name="Column1154"/>
    <tableColumn id="1166" xr3:uid="{E799B2AE-4BFF-4941-91F5-5F7F5626DE2E}" name="Column1155"/>
    <tableColumn id="1167" xr3:uid="{1287D46B-94E2-4E79-A322-862B41741A07}" name="Column1156"/>
    <tableColumn id="1168" xr3:uid="{6B550CCA-8CF0-40BD-B65C-FA694FA8D044}" name="Column1157"/>
    <tableColumn id="1169" xr3:uid="{BD45C6F4-0A1A-4121-987C-11BE167E4082}" name="Column1158"/>
    <tableColumn id="1170" xr3:uid="{36F01B2E-C818-44BD-B902-3336A1A6A1EF}" name="Column1159"/>
    <tableColumn id="1171" xr3:uid="{D366F44E-7F45-41AC-B76F-299F7B485235}" name="Column1160"/>
    <tableColumn id="1172" xr3:uid="{E28CE74C-2918-4356-AE13-C5BBCC998E21}" name="Column1161"/>
    <tableColumn id="1173" xr3:uid="{FCECC12E-4FAF-41D0-95A5-034241C6BE70}" name="Column1162"/>
    <tableColumn id="1174" xr3:uid="{552A0939-26FC-4054-A063-57143BC2D7DB}" name="Column1163"/>
    <tableColumn id="1175" xr3:uid="{F7C5D5DB-2857-4C41-A944-0E9035AEA716}" name="Column1164"/>
    <tableColumn id="1176" xr3:uid="{4D641B8B-C61B-4092-A795-4EF9C453883D}" name="Column1165"/>
    <tableColumn id="1177" xr3:uid="{D90772D8-D4F9-4F05-A6DD-02AB81B2F6BE}" name="Column1166"/>
    <tableColumn id="1178" xr3:uid="{1AC16A01-632A-4E96-B6A9-2FA4B0E2B4C3}" name="Column1167"/>
    <tableColumn id="1179" xr3:uid="{98B28BC2-B767-45B3-B68C-A65B9BF2C9FD}" name="Column1168"/>
    <tableColumn id="1180" xr3:uid="{4B235EBC-7213-4F76-A5D5-4C38CDEA395C}" name="Column1169"/>
    <tableColumn id="1181" xr3:uid="{A77260A0-D1EB-43C7-831C-AED089B2E50A}" name="Column1170"/>
    <tableColumn id="1182" xr3:uid="{ED74FC11-15C0-4087-88C2-D70F480A84EB}" name="Column1171"/>
    <tableColumn id="1183" xr3:uid="{053BB42D-9459-4BFF-9016-79A2240C4081}" name="Column1172"/>
    <tableColumn id="1184" xr3:uid="{86103C76-0E42-4D32-A41A-6C366B57F79D}" name="Column1173"/>
    <tableColumn id="1185" xr3:uid="{DC6FC8EC-367B-46AA-AA58-F467DECA84B8}" name="Column1174"/>
    <tableColumn id="1186" xr3:uid="{0630BFBA-5975-4611-AC1F-5CC22160463B}" name="Column1175"/>
    <tableColumn id="1187" xr3:uid="{8D2A4C40-16A0-44CA-9AFF-D68C830FD5F8}" name="Column1176"/>
    <tableColumn id="1188" xr3:uid="{E4CC084A-F518-4FCA-A009-54431BD107F1}" name="Column1177"/>
    <tableColumn id="1189" xr3:uid="{051092D8-FC44-4769-9E72-56DB7A8A51E5}" name="Column1178"/>
    <tableColumn id="1190" xr3:uid="{9F43C2D5-9313-4F15-A82B-97BFEDF3588B}" name="Column1179"/>
    <tableColumn id="1191" xr3:uid="{E01A257E-7073-4815-B0F2-9F16E4A3C21B}" name="Column1180"/>
    <tableColumn id="1192" xr3:uid="{6514B812-BB1E-4844-830A-7CA48EAEDCBE}" name="Column1181"/>
    <tableColumn id="1193" xr3:uid="{04848E13-8001-436C-87BD-1AE366D99B9C}" name="Column1182"/>
    <tableColumn id="1194" xr3:uid="{0EFC579A-45AC-499D-AB79-256CC66A90DA}" name="Column1183"/>
    <tableColumn id="1195" xr3:uid="{6025A619-F78B-41F8-A6A2-6C287468C806}" name="Column1184"/>
    <tableColumn id="1196" xr3:uid="{3F1B35BE-1E8D-4E6A-907C-18F41D6D95AB}" name="Column1185"/>
    <tableColumn id="1197" xr3:uid="{A228FC80-77A0-4A30-B45B-C813119A3E8B}" name="Column1186"/>
    <tableColumn id="1198" xr3:uid="{B6E1A939-1DEE-40F5-BA51-41C3D49F1FAF}" name="Column1187"/>
    <tableColumn id="1199" xr3:uid="{141A67E9-CD22-4A84-B6E9-C66E40DB30C3}" name="Column1188"/>
    <tableColumn id="1200" xr3:uid="{468996A5-3984-4440-B5A0-BD8F9631799E}" name="Column1189"/>
    <tableColumn id="1201" xr3:uid="{ECEBF68A-D826-41E7-9437-E1F2AD38F782}" name="Column1190"/>
    <tableColumn id="1202" xr3:uid="{FFD8734E-A802-4472-8181-E73D01FBE255}" name="Column1191"/>
    <tableColumn id="1203" xr3:uid="{0228C4F1-A544-4475-B9CB-0C3399C849D3}" name="Column1192"/>
    <tableColumn id="1204" xr3:uid="{E5AC5C7D-95E2-4135-A883-1A07BCA665E5}" name="Column1193"/>
    <tableColumn id="1205" xr3:uid="{42C48B08-F36A-4096-AB0D-2243D77E2D67}" name="Column1194"/>
    <tableColumn id="1206" xr3:uid="{728EF4E1-9294-48A4-87F7-DBFE22ABBA3F}" name="Column1195"/>
    <tableColumn id="1207" xr3:uid="{565DDCD4-9469-4806-8EAF-F149404B7357}" name="Column1196"/>
    <tableColumn id="1208" xr3:uid="{31717FAA-51F2-4C65-88CA-BDE44CCC8CED}" name="Column1197"/>
    <tableColumn id="1209" xr3:uid="{3089286C-6F92-467D-982A-A8356CE8B5FE}" name="Column1198"/>
    <tableColumn id="1210" xr3:uid="{0B4BAC05-8773-4B9D-BA68-B8B1439A2478}" name="Column1199"/>
    <tableColumn id="1211" xr3:uid="{29D7FADE-934F-421F-8FDE-A93537F060B5}" name="Column1200"/>
    <tableColumn id="1212" xr3:uid="{16AAFF81-B299-4B40-AF02-15467E7070B2}" name="Column1201"/>
    <tableColumn id="1213" xr3:uid="{D0F542EE-E317-486B-A58B-29B2439F0D62}" name="Column1202"/>
    <tableColumn id="1214" xr3:uid="{B1F64D3A-3FD2-4B88-9C0A-8CCF017A0CEE}" name="Column1203"/>
    <tableColumn id="1215" xr3:uid="{7131BDD7-CFF4-4915-A99B-6A7A55CCD826}" name="Column1204"/>
    <tableColumn id="1216" xr3:uid="{1E33FC25-1B21-41A6-AD6D-462A32D92ECE}" name="Column1205"/>
    <tableColumn id="1217" xr3:uid="{3C813973-91ED-4274-B806-29A033AAE2B4}" name="Column1206"/>
    <tableColumn id="1218" xr3:uid="{38BC34AE-6897-4FD5-AB73-011138373E3C}" name="Column1207"/>
    <tableColumn id="1219" xr3:uid="{9A8D7F9D-9653-41A0-8EE3-ECC90599048A}" name="Column1208"/>
    <tableColumn id="1220" xr3:uid="{E22F05E1-57D0-431C-B620-DDE01B5A4FBF}" name="Column1209"/>
    <tableColumn id="1221" xr3:uid="{887C4587-842F-4A5B-8790-E70F035F1354}" name="Column1210"/>
    <tableColumn id="1222" xr3:uid="{1FE94FE4-3A7F-4F69-991A-8B6E20AACB5E}" name="Column1211"/>
    <tableColumn id="1223" xr3:uid="{C09E2449-2DCC-4131-AC89-C4795D789481}" name="Column1212"/>
    <tableColumn id="1224" xr3:uid="{8BE13B1A-D08A-4309-B174-46569279AB0E}" name="Column1213"/>
    <tableColumn id="1225" xr3:uid="{B9C50608-4383-41FA-B8F5-EDD3395F9C0F}" name="Column1214"/>
    <tableColumn id="1226" xr3:uid="{7F975D38-19B3-4A1B-8743-8C2CF8EDAFA6}" name="Column1215"/>
    <tableColumn id="1227" xr3:uid="{EFA0A35E-1261-4720-9802-CDDCE105B5CC}" name="Column1216"/>
    <tableColumn id="1228" xr3:uid="{1EE2A25E-A1E4-48C9-847D-39CD45F9435E}" name="Column1217"/>
    <tableColumn id="1229" xr3:uid="{1F47FBF0-9E39-4003-AA5F-BF100D713F33}" name="Column1218"/>
    <tableColumn id="1230" xr3:uid="{3DCD05EF-48AA-48C4-92A4-D3F2B4FAF305}" name="Column1219"/>
    <tableColumn id="1231" xr3:uid="{857BF455-36E7-4DF8-B0F5-64EE53742FD1}" name="Column1220"/>
    <tableColumn id="1232" xr3:uid="{5955B22F-E2CD-4060-86F5-876E7939C12E}" name="Column1221"/>
    <tableColumn id="1233" xr3:uid="{73376607-790C-4963-A606-DE323F6C7126}" name="Column1222"/>
    <tableColumn id="1234" xr3:uid="{2E7B598E-CC7B-41F2-9B22-DF28055AA431}" name="Column1223"/>
    <tableColumn id="1235" xr3:uid="{371145B2-B192-41D7-BD0E-F5D37C2B4856}" name="Column1224"/>
    <tableColumn id="1236" xr3:uid="{3BF12A45-46C2-4A7C-A153-E019BEF64680}" name="Column1225"/>
    <tableColumn id="1237" xr3:uid="{44882CD2-3C61-4E49-9F26-0B1739724178}" name="Column1226"/>
    <tableColumn id="1238" xr3:uid="{B55417F0-BE3B-4535-872C-AD189F29A9AD}" name="Column1227"/>
    <tableColumn id="1239" xr3:uid="{DCD95C65-5AD5-4950-9A14-1EAA476AE83C}" name="Column1228"/>
    <tableColumn id="1240" xr3:uid="{E473481D-5C00-49B2-88BE-26465D35D3BF}" name="Column1229"/>
    <tableColumn id="1241" xr3:uid="{17E15328-B825-451A-A6B7-4665630EA4B3}" name="Column1230"/>
    <tableColumn id="1242" xr3:uid="{C089DB8F-DA24-49CD-BD41-967C86714B3B}" name="Column1231"/>
    <tableColumn id="1243" xr3:uid="{72DF8100-FE79-43F9-8BB7-92FC7E90878C}" name="Column1232"/>
    <tableColumn id="1244" xr3:uid="{E0B5B80F-B587-47E6-A356-CCBD18F28C9B}" name="Column1233"/>
    <tableColumn id="1245" xr3:uid="{7297B142-3AD1-4C54-9406-40B7E4CBCD8D}" name="Column1234"/>
    <tableColumn id="1246" xr3:uid="{4568F1F1-A9B3-4BF4-814D-45700A9A7618}" name="Column1235"/>
    <tableColumn id="1247" xr3:uid="{27F4A3E1-F776-40A9-BD4E-70A2FAB62282}" name="Column1236"/>
    <tableColumn id="1248" xr3:uid="{F03E06F4-C202-430D-8DFD-79267B8DEA76}" name="Column1237"/>
    <tableColumn id="1249" xr3:uid="{1F4B706C-7200-469B-B55B-C5A43230D11E}" name="Column1238"/>
    <tableColumn id="1250" xr3:uid="{A2C09456-09F7-4838-97A7-962F111AC041}" name="Column1239"/>
    <tableColumn id="1251" xr3:uid="{8EDEE552-BB77-4661-AB64-388D87A9EC08}" name="Column1240"/>
    <tableColumn id="1252" xr3:uid="{4331C944-AF20-47A6-B1E8-877356103D82}" name="Column1241"/>
    <tableColumn id="1253" xr3:uid="{1AFB61E6-54D4-428B-B652-2A449B40655E}" name="Column1242"/>
    <tableColumn id="1254" xr3:uid="{35ED088D-F90E-43B4-B340-B92875086C0A}" name="Column1243"/>
    <tableColumn id="1255" xr3:uid="{0DBECB23-638A-4539-B0C1-AC232179F904}" name="Column1244"/>
    <tableColumn id="1256" xr3:uid="{B4D9D28F-E06E-4377-83FC-5D7825F4F49A}" name="Column1245"/>
    <tableColumn id="1257" xr3:uid="{41E1C953-19D8-4004-9062-5E1A90BE5AC2}" name="Column1246"/>
    <tableColumn id="1258" xr3:uid="{D5CC1649-1C61-4E4D-8EF0-8C3FD1298C18}" name="Column1247"/>
    <tableColumn id="1259" xr3:uid="{B482A49C-3EFF-4D8D-8288-C0F5684D64CB}" name="Column1248"/>
    <tableColumn id="1260" xr3:uid="{48711467-2883-41F5-A5C4-D6ABCE91001A}" name="Column1249"/>
    <tableColumn id="1261" xr3:uid="{4F049580-A437-43B5-B957-CC66455BC76A}" name="Column1250"/>
    <tableColumn id="1262" xr3:uid="{6B3EC82A-A0CA-40B9-8A46-C63979E11C0F}" name="Column1251"/>
    <tableColumn id="1263" xr3:uid="{2BEA8D1C-75BD-4055-9E5D-C299719901A9}" name="Column1252"/>
    <tableColumn id="1264" xr3:uid="{62E01DF2-5A25-4758-95E4-9139A019F33F}" name="Column1253"/>
    <tableColumn id="1265" xr3:uid="{6A8B985E-8E78-437F-BDC3-7209A5A3DA1D}" name="Column1254"/>
    <tableColumn id="1266" xr3:uid="{5AD7A425-A555-4574-B632-641A529ACB33}" name="Column1255"/>
    <tableColumn id="1267" xr3:uid="{D12921BC-2787-407A-AAE9-E501336DA590}" name="Column1256"/>
    <tableColumn id="1268" xr3:uid="{6B321586-9312-4B0E-B101-017F6AF0E455}" name="Column1257"/>
    <tableColumn id="1269" xr3:uid="{A10AE3FA-B985-4AEF-8E20-4F534F552271}" name="Column1258"/>
    <tableColumn id="1270" xr3:uid="{31141ED5-2718-4C12-A7C5-033E139EB92E}" name="Column1259"/>
    <tableColumn id="1271" xr3:uid="{4B6939AD-7C7D-439E-9386-38A5538467AF}" name="Column1260"/>
    <tableColumn id="1272" xr3:uid="{C6AEA364-5856-4EED-820F-946505EA0569}" name="Column1261"/>
    <tableColumn id="1273" xr3:uid="{EB11BDED-A707-4251-B084-7EE6A34288AC}" name="Column1262"/>
    <tableColumn id="1274" xr3:uid="{1ED9FDDB-5B39-42EA-BB06-D955C464ACD2}" name="Column1263"/>
    <tableColumn id="1275" xr3:uid="{33B7F832-6E5F-47FC-8BE1-B925EE31DD5E}" name="Column1264"/>
    <tableColumn id="1276" xr3:uid="{DD905532-6535-481A-8172-6298EE22F8EC}" name="Column1265"/>
    <tableColumn id="1277" xr3:uid="{1221F6F3-83FF-4EB9-962E-EDDF51591D80}" name="Column1266"/>
    <tableColumn id="1278" xr3:uid="{582CFE0F-F812-4F15-89A2-B9E371081E40}" name="Column1267"/>
    <tableColumn id="1279" xr3:uid="{E38A33C8-A04B-442B-84E1-C24D9CE523BB}" name="Column1268"/>
    <tableColumn id="1280" xr3:uid="{817A50FF-6A2B-4FFE-BDE5-65D786326608}" name="Column1269"/>
    <tableColumn id="1281" xr3:uid="{0BADE4D9-02BC-4D60-AEA1-1CF1D967FE1A}" name="Column1270"/>
    <tableColumn id="1282" xr3:uid="{0EFBB08E-F36A-487C-809C-4CE01E6F230B}" name="Column1271"/>
    <tableColumn id="1283" xr3:uid="{CF44F99D-97AB-47B9-A46B-7BB8F6D9881D}" name="Column1272"/>
    <tableColumn id="1284" xr3:uid="{2F03A25F-B056-49E1-BC85-1CDE2B952DA7}" name="Column1273"/>
    <tableColumn id="1285" xr3:uid="{32626AF0-0EAD-4C90-AF4C-1A7DEE83194D}" name="Column1274"/>
    <tableColumn id="1286" xr3:uid="{9CED339D-66DB-45BC-942D-30EF185ACC55}" name="Column1275"/>
    <tableColumn id="1287" xr3:uid="{51A390FE-03BD-462C-A501-F8E76CB96B20}" name="Column1276"/>
    <tableColumn id="1288" xr3:uid="{5764DAF5-93E4-4396-8FDA-97AEAAF6CB2B}" name="Column1277"/>
    <tableColumn id="1289" xr3:uid="{582EF463-9D3B-4842-B259-76F82378C4A8}" name="Column1278"/>
    <tableColumn id="1290" xr3:uid="{5D81177F-87C8-48E5-8223-02BD0852C96F}" name="Column1279"/>
    <tableColumn id="1291" xr3:uid="{0CF8C3F2-BE56-49C1-9BF5-453C11B1FABF}" name="Column1280"/>
    <tableColumn id="1292" xr3:uid="{5542014B-5F28-422A-AC63-1E54A4234529}" name="Column1281"/>
    <tableColumn id="1293" xr3:uid="{6B8C0FB7-003A-4099-B5B8-D715D6C499BC}" name="Column1282"/>
    <tableColumn id="1294" xr3:uid="{AE540D80-4ECB-4D03-A686-5B4D97681D72}" name="Column1283"/>
    <tableColumn id="1295" xr3:uid="{CF86464D-FF3D-48F2-AAF2-AC8DD588B6B9}" name="Column1284"/>
    <tableColumn id="1296" xr3:uid="{A413B4C3-E543-4699-8EFF-050E9DA86BFC}" name="Column1285"/>
    <tableColumn id="1297" xr3:uid="{21457581-5A5B-47DF-BE10-D43035B704B6}" name="Column1286"/>
    <tableColumn id="1298" xr3:uid="{C4F443B6-F478-4D5F-A44F-07144C271DF0}" name="Column1287"/>
    <tableColumn id="1299" xr3:uid="{A8D0F83A-3C34-455F-AA6C-34BBDB118BD0}" name="Column1288"/>
    <tableColumn id="1300" xr3:uid="{41EF702E-8FC6-4208-8F20-6E46A9F9E1AA}" name="Column1289"/>
    <tableColumn id="1301" xr3:uid="{F619917A-DBBD-4C7F-864A-CE52629AA758}" name="Column1290"/>
    <tableColumn id="1302" xr3:uid="{33D9B4DD-23D2-46D7-AC8E-D1DA312909AA}" name="Column1291"/>
    <tableColumn id="1303" xr3:uid="{01CED2B1-9D00-457A-A079-5CFBA1A97057}" name="Column1292"/>
    <tableColumn id="1304" xr3:uid="{48EC3741-BB5E-4015-B4D1-8D0A09EFEB2C}" name="Column1293"/>
    <tableColumn id="1305" xr3:uid="{3EC36F97-BC64-449C-9EC5-9E20FAB7D6D6}" name="Column1294"/>
    <tableColumn id="1306" xr3:uid="{F0A90DC3-8F4A-4EE2-864D-E2362A53EFFF}" name="Column1295"/>
    <tableColumn id="1307" xr3:uid="{32737527-D61A-4885-85BB-E410859373A6}" name="Column1296"/>
    <tableColumn id="1308" xr3:uid="{B2800E2D-53AF-43A2-BB0C-0B24706BE95F}" name="Column1297"/>
    <tableColumn id="1309" xr3:uid="{D5C6181A-010A-4D84-87CB-66C7ABC77425}" name="Column1298"/>
    <tableColumn id="1310" xr3:uid="{7F16EF8F-E560-44F5-8F97-0739BD15F780}" name="Column1299"/>
    <tableColumn id="1311" xr3:uid="{3C52F060-DA7A-438A-A3F0-FC1BC5B303E9}" name="Column1300"/>
    <tableColumn id="1312" xr3:uid="{A81F3620-1A02-4126-985A-60EEC7FD720B}" name="Column1301"/>
    <tableColumn id="1313" xr3:uid="{97FD3793-632A-4414-A043-E021A88A4A16}" name="Column1302"/>
    <tableColumn id="1314" xr3:uid="{ED4B7BE8-FE49-44CB-AA03-2F0977050C64}" name="Column1303"/>
    <tableColumn id="1315" xr3:uid="{B253BA2A-0F10-4532-BF9B-0B761195A0E3}" name="Column1304"/>
    <tableColumn id="1316" xr3:uid="{6A73D146-23A6-4B91-9552-C52AE33C7BED}" name="Column1305"/>
    <tableColumn id="1317" xr3:uid="{9DDD206D-E398-4551-BD89-5A4E0EC0F57A}" name="Column1306"/>
    <tableColumn id="1318" xr3:uid="{59DC8AB9-ECB0-4319-9E0A-48C44E98128A}" name="Column1307"/>
    <tableColumn id="1319" xr3:uid="{7EEC4362-2228-4876-AA68-3D75F943A0AE}" name="Column1308"/>
    <tableColumn id="1320" xr3:uid="{3488F4A2-EE44-4280-A068-055E1FD5F57E}" name="Column1309"/>
    <tableColumn id="1321" xr3:uid="{9D7F4367-C6F7-4A30-9D60-C0FD05DE1F86}" name="Column1310"/>
    <tableColumn id="1322" xr3:uid="{499E96EC-6D2C-44C5-A821-07A8EDAF71E8}" name="Column1311"/>
    <tableColumn id="1323" xr3:uid="{8AB26C70-0D66-4A29-B51D-C372D2EAF3FA}" name="Column1312"/>
    <tableColumn id="1324" xr3:uid="{6C63844F-A9A9-429D-B1A6-EF60F8D403DB}" name="Column1313"/>
    <tableColumn id="1325" xr3:uid="{291456BA-637A-4863-A4DD-028D6F1DC3C7}" name="Column1314"/>
    <tableColumn id="1326" xr3:uid="{CEB06786-5C69-4247-AD4C-406735DC2B9B}" name="Column1315"/>
    <tableColumn id="1327" xr3:uid="{5872F83B-DABC-4A60-AE3F-AD6AEAE9F716}" name="Column1316"/>
    <tableColumn id="1328" xr3:uid="{67840C8A-10F2-45DD-9ADD-FBAD53713FDE}" name="Column1317"/>
    <tableColumn id="1329" xr3:uid="{B1FACE20-DF90-448E-B56C-7072E207173F}" name="Column1318"/>
    <tableColumn id="1330" xr3:uid="{CF37E657-F1C4-4862-B4E9-273F4896475B}" name="Column1319"/>
    <tableColumn id="1331" xr3:uid="{B71EBC72-1E09-4A22-987C-E862DFE5772A}" name="Column1320"/>
    <tableColumn id="1332" xr3:uid="{EF473177-8D17-4A01-8E0E-646282E8D7A8}" name="Column1321"/>
    <tableColumn id="1333" xr3:uid="{AA6A72B7-46AE-418A-B8E9-E2E575DA9AA1}" name="Column1322"/>
    <tableColumn id="1334" xr3:uid="{A9712080-EBD5-4183-BEA6-D3B1F2411D15}" name="Column1323"/>
    <tableColumn id="1335" xr3:uid="{C912D2A5-4CB3-46B5-9B81-859805FF4614}" name="Column1324"/>
    <tableColumn id="1336" xr3:uid="{41E84DBC-528D-4A7A-9F5C-ABDF4B1CC4F7}" name="Column1325"/>
    <tableColumn id="1337" xr3:uid="{BB96E23C-AFFD-4D3D-A3D5-06E05F8B6F06}" name="Column1326"/>
    <tableColumn id="1338" xr3:uid="{2B3B3385-9043-4808-835C-48E4F046F1E2}" name="Column1327"/>
    <tableColumn id="1339" xr3:uid="{B4FE002D-D7C0-4121-B940-5BF9D070BBF8}" name="Column1328"/>
    <tableColumn id="1340" xr3:uid="{A4D074EE-1D51-4C19-AD54-EF25FD3796A7}" name="Column1329"/>
    <tableColumn id="1341" xr3:uid="{4AAE7D51-B139-4446-9989-1AA00C35574E}" name="Column1330"/>
    <tableColumn id="1342" xr3:uid="{CB116410-42C4-4EB6-8A2B-8F3531566E77}" name="Column1331"/>
    <tableColumn id="1343" xr3:uid="{1E7B6620-22E3-4494-8704-99DF73D96981}" name="Column1332"/>
    <tableColumn id="1344" xr3:uid="{A37A3789-17B9-4613-9C94-F56375833F9D}" name="Column1333"/>
    <tableColumn id="1345" xr3:uid="{49F7A7C5-F144-4BE0-8EF5-4D09B0F0107D}" name="Column1334"/>
    <tableColumn id="1346" xr3:uid="{C391DACE-B91E-4262-80B3-CC2B195D548C}" name="Column1335"/>
    <tableColumn id="1347" xr3:uid="{8C35D5BC-6081-442A-BFEE-CC39D95FA5E7}" name="Column1336"/>
    <tableColumn id="1348" xr3:uid="{B4528F56-E6C1-45CF-BD4A-7257AFE51C36}" name="Column1337"/>
    <tableColumn id="1349" xr3:uid="{B3598E43-CD5A-450E-AFBF-AD704927CFA3}" name="Column1338"/>
    <tableColumn id="1350" xr3:uid="{4C712F6A-5764-4797-94A8-1EA55AE49EBA}" name="Column1339"/>
    <tableColumn id="1351" xr3:uid="{E9CE5005-DB5B-4191-B59C-D7C400DB6D9E}" name="Column1340"/>
    <tableColumn id="1352" xr3:uid="{2C9794D4-49AC-4261-9657-FB5C15849F03}" name="Column1341"/>
    <tableColumn id="1353" xr3:uid="{D669C879-DF7B-4CC9-B57C-378712DAA5B6}" name="Column1342"/>
    <tableColumn id="1354" xr3:uid="{92A38737-6B5D-4625-8B96-8E84B498B104}" name="Column1343"/>
    <tableColumn id="1355" xr3:uid="{292924E9-1F76-4639-977A-9D70A7CED13C}" name="Column1344"/>
    <tableColumn id="1356" xr3:uid="{E07C2D30-2A7A-4152-AE2E-90EB87C9C632}" name="Column1345"/>
    <tableColumn id="1357" xr3:uid="{F98DF391-FDC3-4BD8-84BB-5701335AAF7D}" name="Column1346"/>
    <tableColumn id="1358" xr3:uid="{13C1BCFE-44F7-42EC-8001-F0D1C2BD1F3C}" name="Column1347"/>
    <tableColumn id="1359" xr3:uid="{CF6435B1-0CDD-422F-A531-AB4028780962}" name="Column1348"/>
    <tableColumn id="1360" xr3:uid="{D3FE0C08-D860-4007-A928-2C65F2B8D6CB}" name="Column1349"/>
    <tableColumn id="1361" xr3:uid="{8E0E6799-B217-4322-9E01-91FC3CFDC3BE}" name="Column1350"/>
    <tableColumn id="1362" xr3:uid="{BA62B79B-AF1C-4DDF-83D4-7112F8BA0D8D}" name="Column1351"/>
    <tableColumn id="1363" xr3:uid="{3CF476F1-1BCC-4FAF-A99A-2F43B8532E3A}" name="Column1352"/>
    <tableColumn id="1364" xr3:uid="{507EFA65-1059-475D-9A2C-336540028C82}" name="Column1353"/>
    <tableColumn id="1365" xr3:uid="{65429A06-894F-4715-B816-F819FB5D2E74}" name="Column1354"/>
    <tableColumn id="1366" xr3:uid="{A4CE860C-B05D-41BB-B126-9B96F353E138}" name="Column1355"/>
    <tableColumn id="1367" xr3:uid="{BC4AEBF5-BF98-41D3-850F-89DF072FD2C5}" name="Column1356"/>
    <tableColumn id="1368" xr3:uid="{396940A3-3C91-495F-94A3-68F4A1653E3B}" name="Column1357"/>
    <tableColumn id="1369" xr3:uid="{07EBF5F2-6597-4494-A5F2-693CF4FA033C}" name="Column1358"/>
    <tableColumn id="1370" xr3:uid="{215C2181-2BCE-4425-AAB5-267D0A1E526F}" name="Column1359"/>
    <tableColumn id="1371" xr3:uid="{5A94F635-599B-4B2A-B4B1-FDA52C4EFC12}" name="Column1360"/>
    <tableColumn id="1372" xr3:uid="{0130866A-1E74-46AF-9DFE-A5696B73604B}" name="Column1361"/>
    <tableColumn id="1373" xr3:uid="{7869033B-039B-4ED2-A5B0-3D25260C5553}" name="Column1362"/>
    <tableColumn id="1374" xr3:uid="{88A5A22A-A6CB-48D4-AA8E-5520FDBC1F2C}" name="Column1363"/>
    <tableColumn id="1375" xr3:uid="{C156618B-D032-40F0-AB0E-D1CDAA3694D1}" name="Column1364"/>
    <tableColumn id="1376" xr3:uid="{F33CE2E1-729D-4DD8-9545-93C0B2F7B76F}" name="Column1365"/>
    <tableColumn id="1377" xr3:uid="{0CC0C2B8-18EF-4A89-AD4A-AC2546F016BC}" name="Column1366"/>
    <tableColumn id="1378" xr3:uid="{312C5DF9-7BD1-4304-84BD-A767234AECF0}" name="Column1367"/>
    <tableColumn id="1379" xr3:uid="{35605E50-2D77-4349-8E0D-3ADA3A9B016D}" name="Column1368"/>
    <tableColumn id="1380" xr3:uid="{C4EB30FC-F001-4631-8D98-C53DC14A0C77}" name="Column1369"/>
    <tableColumn id="1381" xr3:uid="{CEC66FEA-809B-4E5C-8DE0-BDC061353D27}" name="Column1370"/>
    <tableColumn id="1382" xr3:uid="{F14372A1-2B12-4C88-B2CC-B9FB49EDC38A}" name="Column1371"/>
    <tableColumn id="1383" xr3:uid="{0801F76F-74D0-4516-84A9-229B59A0CD1B}" name="Column1372"/>
    <tableColumn id="1384" xr3:uid="{E98F9BC6-9576-4D30-9CAB-94C1E832A370}" name="Column1373"/>
    <tableColumn id="1385" xr3:uid="{B3B7EE06-4E8B-4661-B968-AE6350D63A86}" name="Column1374"/>
    <tableColumn id="1386" xr3:uid="{5DBF9F0B-B03B-4017-8B3D-175381BFEEEB}" name="Column1375"/>
    <tableColumn id="1387" xr3:uid="{FB5B03F6-F6C6-4FC9-B4D3-171674AD77BA}" name="Column1376"/>
    <tableColumn id="1388" xr3:uid="{AA9A2E9B-6E4B-43D6-A202-F3F2E70B24EF}" name="Column1377"/>
    <tableColumn id="1389" xr3:uid="{94BCDE90-A707-492D-8F16-37B8FF299D2A}" name="Column1378"/>
    <tableColumn id="1390" xr3:uid="{6E7E3F63-E5A4-4FEC-9E1D-797C37434D46}" name="Column1379"/>
    <tableColumn id="1391" xr3:uid="{FE6529B7-E5AB-4264-96C8-C54E81FEBE33}" name="Column1380"/>
    <tableColumn id="1392" xr3:uid="{0FF21252-7A3C-4BD3-A48F-4F6A3FDECF82}" name="Column1381"/>
    <tableColumn id="1393" xr3:uid="{EDE5C8D8-3D19-44AF-B296-00210FBF566C}" name="Column1382"/>
    <tableColumn id="1394" xr3:uid="{834EE318-4408-41A0-BF8C-6B7C50D71754}" name="Column1383"/>
    <tableColumn id="1395" xr3:uid="{789F716A-93D1-44BC-9120-5D31A8870EEA}" name="Column1384"/>
    <tableColumn id="1396" xr3:uid="{871901EB-A059-49D0-89DB-1E791320DA10}" name="Column1385"/>
    <tableColumn id="1397" xr3:uid="{55F10FFA-DE0F-480D-9E9E-6BECE5E2C986}" name="Column1386"/>
    <tableColumn id="1398" xr3:uid="{EC82D18B-E517-4051-AC31-8EC3068D4F05}" name="Column1387"/>
    <tableColumn id="1399" xr3:uid="{5B7443EB-E1B4-48FF-9580-1024EA49284A}" name="Column1388"/>
    <tableColumn id="1400" xr3:uid="{3081DE24-D9CE-4239-ADCC-7561124A89D7}" name="Column1389"/>
    <tableColumn id="1401" xr3:uid="{A2381B91-45BF-4B1A-A658-CFDB28A0ACB4}" name="Column1390"/>
    <tableColumn id="1402" xr3:uid="{2031E746-4DB1-4016-92F4-18F7B5EB0D13}" name="Column1391"/>
    <tableColumn id="1403" xr3:uid="{03AF9C90-83D2-455C-93CB-A72BD4AC804B}" name="Column1392"/>
    <tableColumn id="1404" xr3:uid="{3DCC5409-6D8E-4388-B2BD-9881461BA2C9}" name="Column1393"/>
    <tableColumn id="1405" xr3:uid="{A645C730-7567-4F4C-BC66-71FC87DEF0C2}" name="Column1394"/>
    <tableColumn id="1406" xr3:uid="{64327607-662F-4ECC-83A8-FA2478BEC7B7}" name="Column1395"/>
    <tableColumn id="1407" xr3:uid="{6E76287D-F2EE-4647-82FF-620B9D3486A5}" name="Column1396"/>
    <tableColumn id="1408" xr3:uid="{5196433F-E0BB-4D03-8305-EB007B2F7732}" name="Column1397"/>
    <tableColumn id="1409" xr3:uid="{82395A18-FBFA-4CFA-8D46-2657A8ADC059}" name="Column1398"/>
    <tableColumn id="1410" xr3:uid="{E3A3FCAF-168B-4237-B451-567F73365CB6}" name="Column1399"/>
    <tableColumn id="1411" xr3:uid="{6857CFE4-124F-4590-AAD5-CBB644BEB38C}" name="Column1400"/>
    <tableColumn id="1412" xr3:uid="{1046B01D-FAC5-40A4-B0C2-40D61BE2C0C1}" name="Column1401"/>
    <tableColumn id="1413" xr3:uid="{50AE765D-86B2-4FF8-8C9D-D7FDBE066EEB}" name="Column1402"/>
    <tableColumn id="1414" xr3:uid="{D3CA2414-EB5D-46F7-A952-5CAF22FB50C7}" name="Column1403"/>
    <tableColumn id="1415" xr3:uid="{CF6A928D-3513-49D7-865A-96153E9680DD}" name="Column1404"/>
    <tableColumn id="1416" xr3:uid="{0EC635ED-916D-40CA-9868-707AFE683D9F}" name="Column1405"/>
    <tableColumn id="1417" xr3:uid="{3FC7A66F-D2A2-43C3-AEA7-BD3B13B391CB}" name="Column1406"/>
    <tableColumn id="1418" xr3:uid="{032144C3-2605-4736-9F97-23D96CB81B01}" name="Column1407"/>
    <tableColumn id="1419" xr3:uid="{D847EB43-405A-4EE5-B0AE-18B25E03735A}" name="Column1408"/>
    <tableColumn id="1420" xr3:uid="{54838298-14A8-483B-AC4A-7B5B15D0F68D}" name="Column1409"/>
    <tableColumn id="1421" xr3:uid="{3DBA7D2E-38DB-450A-BCDC-B47585DBFB5B}" name="Column1410"/>
    <tableColumn id="1422" xr3:uid="{8301CD36-B86E-44E1-BFAA-28D7633478BC}" name="Column1411"/>
    <tableColumn id="1423" xr3:uid="{438DB1DD-BFF6-4B1E-9983-16A9C99EC773}" name="Column1412"/>
    <tableColumn id="1424" xr3:uid="{A7645AFE-54F0-47C0-977F-7F1E66AD78AC}" name="Column1413"/>
    <tableColumn id="1425" xr3:uid="{DD00E9AB-29B7-4505-9366-A041F110D77A}" name="Column1414"/>
    <tableColumn id="1426" xr3:uid="{AADA1FCA-8C68-4F03-8EA3-BF98BAB6CE1D}" name="Column1415"/>
    <tableColumn id="1427" xr3:uid="{BF3573FD-59AC-4E32-A7B0-7589E882A084}" name="Column1416"/>
    <tableColumn id="1428" xr3:uid="{7B00B901-1B1D-43CA-B929-26CD99B65998}" name="Column1417"/>
    <tableColumn id="1429" xr3:uid="{00AB3B16-F900-4AD7-A6C5-B12CC511915C}" name="Column1418"/>
    <tableColumn id="1430" xr3:uid="{F2672335-52E4-4EA6-B427-4302FD334178}" name="Column1419"/>
    <tableColumn id="1431" xr3:uid="{5547F91F-3CC9-4647-8EE9-143E0C644E16}" name="Column1420"/>
    <tableColumn id="1432" xr3:uid="{3859281A-0574-48B9-A170-0D7DDDDA2D4D}" name="Column1421"/>
    <tableColumn id="1433" xr3:uid="{35187031-ED2E-483F-8EE0-C8DE2EA3580C}" name="Column1422"/>
    <tableColumn id="1434" xr3:uid="{A4CF4607-80CE-4C14-B5AF-D1545540CDB9}" name="Column1423"/>
    <tableColumn id="1435" xr3:uid="{C907DC6F-5B81-4595-8EDA-FB7131841D5D}" name="Column1424"/>
    <tableColumn id="1436" xr3:uid="{17B5015B-FD32-428F-B584-69EF5AEB3604}" name="Column1425"/>
    <tableColumn id="1437" xr3:uid="{18489902-F2F7-4ED0-B24E-2F79029D1992}" name="Column1426"/>
    <tableColumn id="1438" xr3:uid="{BE4878FE-FB8F-445B-8320-8D0FA6B575BA}" name="Column1427"/>
    <tableColumn id="1439" xr3:uid="{2C56C13A-85EA-41A8-BB48-7B50FA6375DA}" name="Column1428"/>
    <tableColumn id="1440" xr3:uid="{A315B2BF-A9D3-487A-BBE7-E4359C259038}" name="Column1429"/>
    <tableColumn id="1441" xr3:uid="{4AF5F27F-3E4C-42E9-B50A-7FE87CBFFB6C}" name="Column1430"/>
    <tableColumn id="1442" xr3:uid="{FF15D71A-21A8-4516-B233-876094CE8FBF}" name="Column1431"/>
    <tableColumn id="1443" xr3:uid="{BC45B98F-AAFA-4138-AF91-D71DA5FFB422}" name="Column1432"/>
    <tableColumn id="1444" xr3:uid="{1E295090-2BEF-42CF-87ED-8543F9CEF703}" name="Column1433"/>
    <tableColumn id="1445" xr3:uid="{91AE429F-41B7-4F7A-9DF1-55C4CFB943BD}" name="Column1434"/>
    <tableColumn id="1446" xr3:uid="{F9645EF9-06CD-42BD-B61D-0018901A2B95}" name="Column1435"/>
    <tableColumn id="1447" xr3:uid="{5B40F1D6-C2C8-4AAF-9691-34FD7DD4105F}" name="Column1436"/>
    <tableColumn id="1448" xr3:uid="{D3741B1B-7EFF-42A0-9D34-D4A4DBEEEA19}" name="Column1437"/>
    <tableColumn id="1449" xr3:uid="{C43AE022-2187-4B2B-AC72-B6079323AF8C}" name="Column1438"/>
    <tableColumn id="1450" xr3:uid="{926D7636-CEAA-421E-90C3-A8581C48505F}" name="Column1439"/>
    <tableColumn id="1451" xr3:uid="{A9448405-C8FD-415E-A186-EE5403260F77}" name="Column1440"/>
    <tableColumn id="1452" xr3:uid="{AA4FE50F-5D5C-4AF1-AA4E-794252403637}" name="Column1441"/>
    <tableColumn id="1453" xr3:uid="{7010A2E5-3558-4479-9AC6-8D8EC151D693}" name="Column1442"/>
    <tableColumn id="1454" xr3:uid="{4D493F60-1CC0-472D-B4D7-A420B9CE6D8B}" name="Column1443"/>
    <tableColumn id="1455" xr3:uid="{86E3953D-C067-4118-A2AB-EC86F8E09CDB}" name="Column1444"/>
    <tableColumn id="1456" xr3:uid="{048C1FFE-38BF-4470-9461-9DD455091B0A}" name="Column1445"/>
    <tableColumn id="1457" xr3:uid="{75C91566-985B-4549-8158-7A37F181A7BB}" name="Column1446"/>
    <tableColumn id="1458" xr3:uid="{94A3FAF0-D36E-49A5-BD5D-99FC08AE5223}" name="Column1447"/>
    <tableColumn id="1459" xr3:uid="{CB09A648-BEF2-4233-A804-39423C338711}" name="Column1448"/>
    <tableColumn id="1460" xr3:uid="{986220B0-0F40-4649-B93E-916F5A4EA138}" name="Column1449"/>
    <tableColumn id="1461" xr3:uid="{457ACBA4-27C1-468C-98E5-6B6EE3645BC8}" name="Column1450"/>
    <tableColumn id="1462" xr3:uid="{823D1FEB-2F87-4D2D-846C-6CC00BBF10E4}" name="Column1451"/>
    <tableColumn id="1463" xr3:uid="{12CCB80E-8199-4E6D-9B12-FE1F7753A454}" name="Column1452"/>
    <tableColumn id="1464" xr3:uid="{1445BC68-6B52-4591-B347-801636214BFE}" name="Column1453"/>
    <tableColumn id="1465" xr3:uid="{6C7D1B06-F424-41DD-B8EF-934C447BBB56}" name="Column1454"/>
    <tableColumn id="1466" xr3:uid="{4A7165DD-EF2B-4BC2-A9B7-2870BA680F6B}" name="Column1455"/>
    <tableColumn id="1467" xr3:uid="{08921964-0400-4FC4-BCF6-CD8814AAD4CA}" name="Column1456"/>
    <tableColumn id="1468" xr3:uid="{4EDD740E-C518-47C3-818F-06D2E561F720}" name="Column1457"/>
    <tableColumn id="1469" xr3:uid="{E5AE6F89-F6CA-4AAA-94B3-CA3D3982BC63}" name="Column1458"/>
    <tableColumn id="1470" xr3:uid="{E3029FFF-317D-4F40-8252-BC0A9FA66B08}" name="Column1459"/>
    <tableColumn id="1471" xr3:uid="{AE3A1019-876A-4F5A-A3D2-C6824DA62509}" name="Column1460"/>
    <tableColumn id="1472" xr3:uid="{77DD32AF-9D77-48BB-895B-79C0167436F8}" name="Column1461"/>
    <tableColumn id="1473" xr3:uid="{C021656A-95C4-455F-AACC-F9B6A893C821}" name="Column1462"/>
    <tableColumn id="1474" xr3:uid="{3D65DE37-9538-4E08-AFE0-0AB15046D223}" name="Column1463"/>
    <tableColumn id="1475" xr3:uid="{B6B53999-2993-4FC0-B020-A107FB84769C}" name="Column1464"/>
    <tableColumn id="1476" xr3:uid="{FDF675C9-9806-46F4-9695-53D0E9EFC1F8}" name="Column1465"/>
    <tableColumn id="1477" xr3:uid="{BF86E82F-6F7A-4788-9181-8B78F9368051}" name="Column1466"/>
    <tableColumn id="1478" xr3:uid="{AC818E15-DFD6-4DCA-B503-75405B4B52CC}" name="Column1467"/>
    <tableColumn id="1479" xr3:uid="{E20284F0-B29D-459A-82F2-F78D41E759D5}" name="Column1468"/>
    <tableColumn id="1480" xr3:uid="{D431A917-35C0-4A8F-B110-8CA312ECE671}" name="Column1469"/>
    <tableColumn id="1481" xr3:uid="{AA1D51A9-222A-4951-B90A-001838D26080}" name="Column1470"/>
    <tableColumn id="1482" xr3:uid="{CDF4A7E5-8965-4CE7-A041-F38744D3C908}" name="Column1471"/>
    <tableColumn id="1483" xr3:uid="{9A2536F0-291F-4712-8505-ED99273BC5B7}" name="Column1472"/>
    <tableColumn id="1484" xr3:uid="{A78A84B2-E51D-449D-B193-56617E48A3C5}" name="Column1473"/>
    <tableColumn id="1485" xr3:uid="{088D7659-E7D8-4635-963D-7B206318DB74}" name="Column1474"/>
    <tableColumn id="1486" xr3:uid="{A86B1EFE-6621-431A-B908-3FE61C87C79A}" name="Column1475"/>
    <tableColumn id="1487" xr3:uid="{74C0CDDF-D7B0-41CB-B8B3-AEF676FB46B1}" name="Column1476"/>
    <tableColumn id="1488" xr3:uid="{15FC82E9-2D40-49F2-8EAE-46D5BD31DFAA}" name="Column1477"/>
    <tableColumn id="1489" xr3:uid="{8BA9900D-F045-471F-9BEE-20EB2F3E01C7}" name="Column1478"/>
    <tableColumn id="1490" xr3:uid="{387C3C5A-2B26-4173-9FFB-BE3BD74E1C21}" name="Column1479"/>
    <tableColumn id="1491" xr3:uid="{0F3E01C5-8C4A-4A4F-8CD0-05DCED11AA90}" name="Column1480"/>
    <tableColumn id="1492" xr3:uid="{25485846-51FC-4D81-B93F-EBBD2FD86A8E}" name="Column1481"/>
    <tableColumn id="1493" xr3:uid="{5CE7B337-54CF-459D-8A18-BC831EF68847}" name="Column1482"/>
    <tableColumn id="1494" xr3:uid="{A20C496C-28E9-402D-8FA5-390002744D7D}" name="Column1483"/>
    <tableColumn id="1495" xr3:uid="{E6641124-94CD-418D-B9E5-AA8123BC5F9F}" name="Column1484"/>
    <tableColumn id="1496" xr3:uid="{2E0E4977-31E3-4B66-B53E-C19EBE954987}" name="Column1485"/>
    <tableColumn id="1497" xr3:uid="{86CA83E3-ED60-46DA-B052-B55902552F05}" name="Column1486"/>
    <tableColumn id="1498" xr3:uid="{0C7148BD-999F-4FAF-9FEC-4F9E3B56E539}" name="Column1487"/>
    <tableColumn id="1499" xr3:uid="{397F9F33-63A6-4763-96B5-6BF359494FA2}" name="Column1488"/>
    <tableColumn id="1500" xr3:uid="{618BA04D-E460-4064-8997-79CB6EBFAF0A}" name="Column1489"/>
    <tableColumn id="1501" xr3:uid="{CD26469E-8F52-480D-90D0-75713017AF5F}" name="Column1490"/>
    <tableColumn id="1502" xr3:uid="{7B723596-1127-4738-A78C-848BDDC0E501}" name="Column1491"/>
    <tableColumn id="1503" xr3:uid="{B87AFB2B-6962-4541-A7B6-F90F46B03B0F}" name="Column1492"/>
    <tableColumn id="1504" xr3:uid="{55B79642-4D06-408C-AEE4-46F098702DA7}" name="Column1493"/>
    <tableColumn id="1505" xr3:uid="{99D1A991-B531-4CA8-B25E-482399B8657F}" name="Column1494"/>
    <tableColumn id="1506" xr3:uid="{FE8AAC72-BCBF-41CF-9FC2-07633D55A03F}" name="Column1495"/>
    <tableColumn id="1507" xr3:uid="{04CFF38D-02BF-48AA-AA75-329EFB89DB50}" name="Column1496"/>
    <tableColumn id="1508" xr3:uid="{ED12CB23-62E9-48F8-97FF-4271D898158A}" name="Column1497"/>
    <tableColumn id="1509" xr3:uid="{D9B809D8-348A-4798-8AFF-03E41B3EE864}" name="Column1498"/>
    <tableColumn id="1510" xr3:uid="{B9CD441B-0E63-4075-B551-90F6A7DF1788}" name="Column1499"/>
    <tableColumn id="1511" xr3:uid="{05B8AE3F-1A82-4C22-A5CA-74BB5E6BCC64}" name="Column1500"/>
    <tableColumn id="1512" xr3:uid="{56D27CB8-8DF5-4B21-A653-28A2692ED02D}" name="Column1501"/>
    <tableColumn id="1513" xr3:uid="{96C20D32-7D89-4A7D-A5B4-A09704FBD713}" name="Column1502"/>
    <tableColumn id="1514" xr3:uid="{592D420E-065D-4824-9705-098900EF90AF}" name="Column1503"/>
    <tableColumn id="1515" xr3:uid="{CD186061-680A-4982-9934-3D5F9D7D2CDC}" name="Column1504"/>
    <tableColumn id="1516" xr3:uid="{198D881F-C748-4715-BB97-64672AE63B65}" name="Column1505"/>
    <tableColumn id="1517" xr3:uid="{8023C281-990F-4134-9529-2A03ADF282FB}" name="Column1506"/>
    <tableColumn id="1518" xr3:uid="{20B1EC40-05C9-4F2B-854A-71BE2CB34145}" name="Column1507"/>
    <tableColumn id="1519" xr3:uid="{814AF9DE-44C2-461E-98FD-25B97FBEF0F0}" name="Column1508"/>
    <tableColumn id="1520" xr3:uid="{9C5C83A1-0850-4F2F-A797-305A43056A8F}" name="Column1509"/>
    <tableColumn id="1521" xr3:uid="{33EC941F-06D6-4080-BBA5-4A5C3D4BE910}" name="Column1510"/>
    <tableColumn id="1522" xr3:uid="{81CC57B4-AFCD-43A2-9105-EC9637DA8C1B}" name="Column1511"/>
    <tableColumn id="1523" xr3:uid="{77119EDD-F2AC-44B1-A625-A06C7982F10C}" name="Column1512"/>
    <tableColumn id="1524" xr3:uid="{238F9FCB-AC63-4A43-B1BE-B8E408808422}" name="Column1513"/>
    <tableColumn id="1525" xr3:uid="{F4DCBB9F-7C6C-4A03-8DDE-AA647725F5DA}" name="Column1514"/>
    <tableColumn id="1526" xr3:uid="{4343552E-0098-46C1-8BEB-D7EDEA83AC1F}" name="Column1515"/>
    <tableColumn id="1527" xr3:uid="{8015B14C-FBEE-4508-B73F-EC05EB909EE9}" name="Column1516"/>
    <tableColumn id="1528" xr3:uid="{1D71922A-8606-4B59-81FB-1E94CD3EB3CC}" name="Column1517"/>
    <tableColumn id="1529" xr3:uid="{E40F7271-B654-4156-A634-EBE2163F68AB}" name="Column1518"/>
    <tableColumn id="1530" xr3:uid="{C8CF8C03-46A8-4A3F-8EDB-9B90F431DFE2}" name="Column1519"/>
    <tableColumn id="1531" xr3:uid="{19D29316-ABB3-4242-B326-6E7208B6323E}" name="Column1520"/>
    <tableColumn id="1532" xr3:uid="{A8936633-3F15-4B3A-AFD0-6F253559EA6D}" name="Column1521"/>
    <tableColumn id="1533" xr3:uid="{920F1370-DA65-42E6-98FC-CE368B1D5459}" name="Column1522"/>
    <tableColumn id="1534" xr3:uid="{14569C2F-9472-4AF2-96A2-08BF7042DBAA}" name="Column1523"/>
    <tableColumn id="1535" xr3:uid="{8248B45F-DBDC-4D15-85BC-DB7FA6E8DFE8}" name="Column1524"/>
    <tableColumn id="1536" xr3:uid="{86061FD0-4901-4B19-90EB-5D3A9841401C}" name="Column1525"/>
    <tableColumn id="1537" xr3:uid="{32DC4A87-7086-4E12-BCB0-F5C660895DCC}" name="Column1526"/>
    <tableColumn id="1538" xr3:uid="{A6025F2B-65A2-4498-A637-98E743BE61D5}" name="Column1527"/>
    <tableColumn id="1539" xr3:uid="{3196AD19-DC82-4829-87C6-6BE6CE499BC6}" name="Column1528"/>
    <tableColumn id="1540" xr3:uid="{C8043D0B-0C04-4AB2-B4FF-4CF3715AD51D}" name="Column1529"/>
    <tableColumn id="1541" xr3:uid="{A1C96C8A-C541-45C2-B6C2-ADFD1F2E15F3}" name="Column1530"/>
    <tableColumn id="1542" xr3:uid="{0636370F-A95E-4174-9C89-FBA46C9F932B}" name="Column1531"/>
    <tableColumn id="1543" xr3:uid="{7EEFC8B5-8696-4A0E-8DCF-99EEEF87B003}" name="Column1532"/>
    <tableColumn id="1544" xr3:uid="{04FD67D6-3033-42B3-B2DC-650C94E0A69B}" name="Column1533"/>
    <tableColumn id="1545" xr3:uid="{BB4F6569-456E-4FA3-935E-7270DFC1B855}" name="Column1534"/>
    <tableColumn id="1546" xr3:uid="{AB7C3F47-B9B0-4D09-8CE0-D7873B9AA8C7}" name="Column1535"/>
    <tableColumn id="1547" xr3:uid="{7704FF5C-3F70-4637-8158-25226574E8E0}" name="Column1536"/>
    <tableColumn id="1548" xr3:uid="{CEE1C114-0AA3-4103-9149-5B903591ACDE}" name="Column1537"/>
    <tableColumn id="1549" xr3:uid="{81436AD7-C3D4-4C24-9694-A7A6EAF8FF9C}" name="Column1538"/>
    <tableColumn id="1550" xr3:uid="{255C7BD9-BA6B-43AA-9A0E-563561F5CD47}" name="Column1539"/>
    <tableColumn id="1551" xr3:uid="{FE53B25F-2D8C-46E2-AB2E-A47C33D0153F}" name="Column1540"/>
    <tableColumn id="1552" xr3:uid="{7CA36F9C-0E64-440D-A2D7-39DD96DD226E}" name="Column1541"/>
    <tableColumn id="1553" xr3:uid="{D6B2ACCB-0A83-47E7-878F-DD09FC6B25FC}" name="Column1542"/>
    <tableColumn id="1554" xr3:uid="{E944841C-463B-4216-AE0E-0D75FF215436}" name="Column1543"/>
    <tableColumn id="1555" xr3:uid="{5AD50569-96B1-4BA3-847D-2C3F04C49825}" name="Column1544"/>
    <tableColumn id="1556" xr3:uid="{00427316-03B2-4614-9085-2114C59FC461}" name="Column1545"/>
    <tableColumn id="1557" xr3:uid="{98701C14-45DE-4D7A-AE51-9CD0410B5F0F}" name="Column1546"/>
    <tableColumn id="1558" xr3:uid="{9371BB77-AB5F-438F-9E34-61A89803145D}" name="Column1547"/>
    <tableColumn id="1559" xr3:uid="{0FEC4F65-FAC0-4E5C-9774-6153BD1107D4}" name="Column1548"/>
    <tableColumn id="1560" xr3:uid="{1549B6D5-8CE7-4E87-AEB4-875C6F337467}" name="Column1549"/>
    <tableColumn id="1561" xr3:uid="{F7065500-A925-49B5-AD44-CE88524E6450}" name="Column1550"/>
    <tableColumn id="1562" xr3:uid="{A662B567-8764-4B60-9D0F-7282F43410E4}" name="Column1551"/>
    <tableColumn id="1563" xr3:uid="{E0868418-1C91-46C1-A085-13E4B45E0872}" name="Column1552"/>
    <tableColumn id="1564" xr3:uid="{F281001A-E9A8-4B67-B7CA-CB94E7565A69}" name="Column1553"/>
    <tableColumn id="1565" xr3:uid="{43AC6E10-3891-4F60-9464-839A0CBA4DA3}" name="Column1554"/>
    <tableColumn id="1566" xr3:uid="{5AD88738-9149-4B35-B55C-85A83964BAB4}" name="Column1555"/>
    <tableColumn id="1567" xr3:uid="{E2B3CBD1-5547-44E3-9519-87F8F2E3F499}" name="Column1556"/>
    <tableColumn id="1568" xr3:uid="{DEE279B2-63E0-4AFE-885D-2411DA601324}" name="Column1557"/>
    <tableColumn id="1569" xr3:uid="{A0C52728-C263-496E-95A3-77B220029770}" name="Column1558"/>
    <tableColumn id="1570" xr3:uid="{2B5CDA18-C6AA-4B24-9B65-74456E1E548C}" name="Column1559"/>
    <tableColumn id="1571" xr3:uid="{6E4B904A-CA7E-4490-84AE-1D4CB2DC5AEE}" name="Column1560"/>
    <tableColumn id="1572" xr3:uid="{B6F2FEEF-C94B-4F87-A497-113E665AE57C}" name="Column1561"/>
    <tableColumn id="1573" xr3:uid="{4D927D04-75F7-48A2-946F-5D88FD1CBF0D}" name="Column1562"/>
    <tableColumn id="1574" xr3:uid="{CDB427D4-F221-400E-BE32-E047166BF273}" name="Column1563"/>
    <tableColumn id="1575" xr3:uid="{8AD9974C-83B0-4396-8DE8-C21B86EA2A89}" name="Column1564"/>
    <tableColumn id="1576" xr3:uid="{27863E48-AA2B-4C2C-8DC1-8F20035032FE}" name="Column1565"/>
    <tableColumn id="1577" xr3:uid="{C728529E-B391-4433-B1B8-0E9036F9F13E}" name="Column1566"/>
    <tableColumn id="1578" xr3:uid="{68D7C552-8FAC-4CC4-97EE-51EC4FA08988}" name="Column1567"/>
    <tableColumn id="1579" xr3:uid="{5DC065DA-61EC-46F0-93D9-EF07988DFCB5}" name="Column1568"/>
    <tableColumn id="1580" xr3:uid="{D1AD8896-44C4-4A93-85BF-FD96C2138090}" name="Column1569"/>
    <tableColumn id="1581" xr3:uid="{B2804C8C-3CD4-46BD-B53A-2A06308972E9}" name="Column1570"/>
    <tableColumn id="1582" xr3:uid="{AE4045A7-0846-4DC1-B84F-01356C621F9C}" name="Column1571"/>
    <tableColumn id="1583" xr3:uid="{20D46995-08BC-49FA-AC43-3090A1F07F88}" name="Column1572"/>
    <tableColumn id="1584" xr3:uid="{E7DD1684-541E-40F2-BF92-0704964A1352}" name="Column1573"/>
    <tableColumn id="1585" xr3:uid="{9154FDEF-DA1E-4A47-9A05-A2D49136F1BB}" name="Column1574"/>
    <tableColumn id="1586" xr3:uid="{F9D472B1-7F91-4407-A119-12D1F8B217E9}" name="Column1575"/>
    <tableColumn id="1587" xr3:uid="{81A2785D-D131-4560-B592-D64F97A7DEA8}" name="Column1576"/>
    <tableColumn id="1588" xr3:uid="{1F5F4BA6-EA6B-49FC-9701-6AA628F84F05}" name="Column1577"/>
    <tableColumn id="1589" xr3:uid="{A981814F-1A82-4011-9E79-1403C1DC4003}" name="Column1578"/>
    <tableColumn id="1590" xr3:uid="{0BCBD5D3-D1D0-422A-A9F8-3A2E446A5DD5}" name="Column1579"/>
    <tableColumn id="1591" xr3:uid="{6791B543-4324-4D6C-97FE-8E8E9B09F8DB}" name="Column1580"/>
    <tableColumn id="1592" xr3:uid="{411DC447-4B9B-40A4-B27B-240FDBB145C8}" name="Column1581"/>
    <tableColumn id="1593" xr3:uid="{898D7A0B-8443-4D3C-83C0-1667961FEECB}" name="Column1582"/>
    <tableColumn id="1594" xr3:uid="{FB5A4EAD-7919-4C20-BEA0-DC578FC9DF03}" name="Column1583"/>
    <tableColumn id="1595" xr3:uid="{0CA8E1ED-A6DA-490B-BCD4-985F69BE51E6}" name="Column1584"/>
    <tableColumn id="1596" xr3:uid="{DDB1CD9B-63AA-41C6-8CC6-FFE09A07FA3E}" name="Column1585"/>
    <tableColumn id="1597" xr3:uid="{D5D96F67-4D52-40E4-801B-93A09279BE42}" name="Column1586"/>
    <tableColumn id="1598" xr3:uid="{50742B7F-0711-4CA1-B6A3-F18CE38917AF}" name="Column1587"/>
    <tableColumn id="1599" xr3:uid="{CA4967FD-2061-4F1B-B6F6-BE6898778B6F}" name="Column1588"/>
    <tableColumn id="1600" xr3:uid="{FCA43AD8-D5B0-4741-B266-D19EE9A44615}" name="Column1589"/>
    <tableColumn id="1601" xr3:uid="{767ED6B6-1A32-4388-AFAA-09710B003064}" name="Column1590"/>
    <tableColumn id="1602" xr3:uid="{F3C3CBE6-1D89-430E-B21A-9119D21F0D25}" name="Column1591"/>
    <tableColumn id="1603" xr3:uid="{7558A775-2F0A-4EB0-AB22-68FB23043971}" name="Column1592"/>
    <tableColumn id="1604" xr3:uid="{CCFCB4FD-A439-4DA9-A250-FFC365784730}" name="Column1593"/>
    <tableColumn id="1605" xr3:uid="{F6D11583-AB13-4D05-9299-EEF147634FE3}" name="Column1594"/>
    <tableColumn id="1606" xr3:uid="{3F1D428A-DC40-4E3C-9500-551925269C13}" name="Column1595"/>
    <tableColumn id="1607" xr3:uid="{353E0F49-650C-4BB4-92BA-3E638AA50BCA}" name="Column1596"/>
    <tableColumn id="1608" xr3:uid="{B171A69B-DCCB-4ECA-B196-D2A6EB58B580}" name="Column1597"/>
    <tableColumn id="1609" xr3:uid="{870D2B0E-175D-4524-8167-0DC7A192F68B}" name="Column1598"/>
    <tableColumn id="1610" xr3:uid="{270B7189-283F-4658-B50F-326F1FB08821}" name="Column1599"/>
    <tableColumn id="1611" xr3:uid="{344CFCDE-10F4-40ED-8693-0244612F8921}" name="Column1600"/>
    <tableColumn id="1612" xr3:uid="{6F7C462E-5866-4172-AFA5-250E11F9418E}" name="Column1601"/>
    <tableColumn id="1613" xr3:uid="{425422E3-5567-4B15-A76E-1C5CF7CB56DA}" name="Column1602"/>
    <tableColumn id="1614" xr3:uid="{0B949228-3FD2-495C-B52D-21215B7512B4}" name="Column1603"/>
    <tableColumn id="1615" xr3:uid="{731F3A67-DE5A-42E3-8271-D2E9E7746509}" name="Column1604"/>
    <tableColumn id="1616" xr3:uid="{3BC0765B-CB7D-45BB-B597-10DD2D1DC310}" name="Column1605"/>
    <tableColumn id="1617" xr3:uid="{47C9346A-361B-4FE5-9F44-C4D4B62F8F71}" name="Column1606"/>
    <tableColumn id="1618" xr3:uid="{9CDBAB2C-2827-40D1-B239-A5F0F5E86C13}" name="Column1607"/>
    <tableColumn id="1619" xr3:uid="{7EC078EF-2298-4799-9BBC-D78842F1CD48}" name="Column1608"/>
    <tableColumn id="1620" xr3:uid="{DAA397E1-4866-4D04-886C-1BBF2BD047B3}" name="Column1609"/>
    <tableColumn id="1621" xr3:uid="{2545A4A5-E184-4283-8740-BEEFD9CDEA60}" name="Column1610"/>
    <tableColumn id="1622" xr3:uid="{5B033C39-7DE3-4F8B-AFEC-1E9E134E066F}" name="Column1611"/>
    <tableColumn id="1623" xr3:uid="{818F95B1-A7C5-448E-AE43-B0334C156912}" name="Column1612"/>
    <tableColumn id="1624" xr3:uid="{37FA06F1-5EB1-4EEB-9F8B-4814BAAED6C9}" name="Column1613"/>
    <tableColumn id="1625" xr3:uid="{9B67C69F-28ED-43E2-93ED-EA05D47EF384}" name="Column1614"/>
    <tableColumn id="1626" xr3:uid="{02BBC7B2-8FA8-44D4-B8C5-289AD1A4B901}" name="Column1615"/>
    <tableColumn id="1627" xr3:uid="{9CF517B2-4DB4-4723-AF8F-6DEA62C40E77}" name="Column1616"/>
    <tableColumn id="1628" xr3:uid="{EC3D7451-1371-431A-96F5-9B9892203A8A}" name="Column1617"/>
    <tableColumn id="1629" xr3:uid="{C0ED4E93-9667-48DF-96CC-43ED100F63E6}" name="Column1618"/>
    <tableColumn id="1630" xr3:uid="{644306A9-45AA-416C-A241-4A8C73F9E9B2}" name="Column1619"/>
    <tableColumn id="1631" xr3:uid="{38C31E4C-CCC0-4A47-8DE6-0B63103847DF}" name="Column1620"/>
    <tableColumn id="1632" xr3:uid="{50DD9359-AF9C-4C71-A874-574D023A7B13}" name="Column1621"/>
    <tableColumn id="1633" xr3:uid="{8CE75956-9548-46F9-AB8E-1177B7BCF7B8}" name="Column1622"/>
    <tableColumn id="1634" xr3:uid="{961C6B7F-CD9F-4D5D-BD60-BCC1383245A5}" name="Column1623"/>
    <tableColumn id="1635" xr3:uid="{2FE1A634-ED98-4FC6-AF1B-1BB2D9EBC1BA}" name="Column1624"/>
    <tableColumn id="1636" xr3:uid="{6B841843-C743-42EC-A155-A260CA5924E7}" name="Column1625"/>
    <tableColumn id="1637" xr3:uid="{FE6EAE81-EB48-43E9-8E41-0236B134655B}" name="Column1626"/>
    <tableColumn id="1638" xr3:uid="{71442481-DE1B-44A3-B122-A50A39ADE219}" name="Column1627"/>
    <tableColumn id="1639" xr3:uid="{07C331B6-3005-40FE-84FC-41BC54F7ADE9}" name="Column1628"/>
    <tableColumn id="1640" xr3:uid="{C582A021-7D49-4BF0-8B41-6A40D1D669EB}" name="Column1629"/>
    <tableColumn id="1641" xr3:uid="{98771D48-71C1-4422-9D00-2052D6A90DE2}" name="Column1630"/>
    <tableColumn id="1642" xr3:uid="{55566D63-EB61-4E1D-A0CA-C6D053D08EAB}" name="Column1631"/>
    <tableColumn id="1643" xr3:uid="{5D9A068C-AD50-4D4D-B507-EE295274EFC2}" name="Column1632"/>
    <tableColumn id="1644" xr3:uid="{E23BEAA0-D7E3-42B6-8D8F-0472137F9D57}" name="Column1633"/>
    <tableColumn id="1645" xr3:uid="{680907B3-ED7C-4F38-B2CA-B926E382BF4C}" name="Column1634"/>
    <tableColumn id="1646" xr3:uid="{B5819B69-D5D4-4E1B-B3C1-ECE2ED81173D}" name="Column1635"/>
    <tableColumn id="1647" xr3:uid="{359C44F6-6A34-4DFE-991E-06A85386EA56}" name="Column1636"/>
    <tableColumn id="1648" xr3:uid="{8BD28F8E-4AEA-4706-AB82-328D4FD20EBA}" name="Column1637"/>
    <tableColumn id="1649" xr3:uid="{D249FC84-8BC3-41DB-9E45-7E15EEDB4C53}" name="Column1638"/>
    <tableColumn id="1650" xr3:uid="{CE3829C8-2F65-4BDC-B49F-376B54D84F9D}" name="Column1639"/>
    <tableColumn id="1651" xr3:uid="{8A76433F-296E-440C-9FC5-7114FBBEF693}" name="Column1640"/>
    <tableColumn id="1652" xr3:uid="{C8CF200D-88A4-4D7F-845F-5796FDD5229A}" name="Column1641"/>
    <tableColumn id="1653" xr3:uid="{29158988-78B2-476F-A882-F221653FA934}" name="Column1642"/>
    <tableColumn id="1654" xr3:uid="{BE790E7F-C640-4A6B-A9A1-F54A1F1E9866}" name="Column1643"/>
    <tableColumn id="1655" xr3:uid="{EF53A783-77EB-40E6-8C61-1A67E7A7B42C}" name="Column1644"/>
    <tableColumn id="1656" xr3:uid="{78FDC527-D8FE-4C4C-8068-8A310F19D91C}" name="Column1645"/>
    <tableColumn id="1657" xr3:uid="{9E8F9DCB-EDB3-44EB-B41B-3756B1FE8707}" name="Column1646"/>
    <tableColumn id="1658" xr3:uid="{5C8DCD8B-6B03-4B25-A3F8-C074B147F8A3}" name="Column1647"/>
    <tableColumn id="1659" xr3:uid="{D5E950C3-ED05-43B4-97B4-F13E86621A9A}" name="Column1648"/>
    <tableColumn id="1660" xr3:uid="{17957CF2-B2F5-4725-AE28-14D19416C8EC}" name="Column1649"/>
    <tableColumn id="1661" xr3:uid="{89FE90AF-CEC6-4E9A-A8A4-8165083EFF12}" name="Column1650"/>
    <tableColumn id="1662" xr3:uid="{8F4882FD-835D-4458-8A3B-4F8E9B70BBCC}" name="Column1651"/>
    <tableColumn id="1663" xr3:uid="{DCC33C69-A9B1-4129-91FB-4019E774B60A}" name="Column1652"/>
    <tableColumn id="1664" xr3:uid="{7F6C618E-DE11-40F1-9B3D-18FD79549278}" name="Column1653"/>
    <tableColumn id="1665" xr3:uid="{1D1619D0-61E0-4689-A5D6-E270672F8E96}" name="Column1654"/>
    <tableColumn id="1666" xr3:uid="{13331CD0-DF49-4627-80B7-63C65DE7AB2E}" name="Column1655"/>
    <tableColumn id="1667" xr3:uid="{E24C8E15-EDE8-4BC1-B665-BB3D43C7BC9B}" name="Column1656"/>
    <tableColumn id="1668" xr3:uid="{BDEBF1BA-3D5B-4C7B-81ED-FC95ED00A5BD}" name="Column1657"/>
    <tableColumn id="1669" xr3:uid="{9E20DCAB-B36A-4292-A9BB-42C068E3D19B}" name="Column1658"/>
    <tableColumn id="1670" xr3:uid="{B3C94F51-3F4B-4764-BED0-D3149382DE35}" name="Column1659"/>
    <tableColumn id="1671" xr3:uid="{2B1D6302-0161-47CE-B9D9-E5701E0F73AD}" name="Column1660"/>
    <tableColumn id="1672" xr3:uid="{0AA36D64-DD0E-48A1-A988-C64EADEDC9D4}" name="Column1661"/>
    <tableColumn id="1673" xr3:uid="{64DFFF49-8338-4ED9-A367-F82ABB41A2F7}" name="Column1662"/>
    <tableColumn id="1674" xr3:uid="{561F765A-ABC7-4F37-B9BC-2F24902F72EC}" name="Column1663"/>
    <tableColumn id="1675" xr3:uid="{5926C622-1C13-4E88-B8D5-FBFCFD362E48}" name="Column1664"/>
    <tableColumn id="1676" xr3:uid="{4598B3BC-4D87-4EBC-AF39-F6B029374A12}" name="Column1665"/>
    <tableColumn id="1677" xr3:uid="{B1E93EDC-1C5A-4A01-9DF2-91618EA00F0B}" name="Column1666"/>
    <tableColumn id="1678" xr3:uid="{6ACD9019-EE94-4D93-8322-2D0C73E1D08F}" name="Column1667"/>
    <tableColumn id="1679" xr3:uid="{D8C7BF31-F7AD-4414-9375-D37C6CF45515}" name="Column1668"/>
    <tableColumn id="1680" xr3:uid="{198F65A8-3F38-4001-98EC-5AAB26CCD44D}" name="Column1669"/>
    <tableColumn id="1681" xr3:uid="{F1BB2D56-F4F4-4856-8412-E94427F7A98D}" name="Column1670"/>
    <tableColumn id="1682" xr3:uid="{2D27E533-BA07-4E7A-A349-31473D76B4DA}" name="Column1671"/>
    <tableColumn id="1683" xr3:uid="{3955DA24-0D00-48C8-8B2A-B747222FDCFB}" name="Column1672"/>
    <tableColumn id="1684" xr3:uid="{DBC6CACF-B757-4363-A909-146B2EF3BF22}" name="Column1673"/>
    <tableColumn id="1685" xr3:uid="{A0C945FB-6F2F-46E9-B33E-CD5B6FA2A2F3}" name="Column1674"/>
    <tableColumn id="1686" xr3:uid="{C2A74268-81B7-4C20-9844-9A534DDEBEC9}" name="Column1675"/>
    <tableColumn id="1687" xr3:uid="{546B33E4-2E66-473F-B904-8EF70AD6B3AC}" name="Column1676"/>
    <tableColumn id="1688" xr3:uid="{E3D2CA37-1EDD-4460-AA98-16BFA2950E52}" name="Column1677"/>
    <tableColumn id="1689" xr3:uid="{BAE0746B-974C-4482-AF1A-6D497A930D38}" name="Column1678"/>
    <tableColumn id="1690" xr3:uid="{667B0F1B-378B-42A6-BEBB-794BD1ACB021}" name="Column1679"/>
    <tableColumn id="1691" xr3:uid="{CD32D6F3-5A98-4501-97D0-557A16D537DD}" name="Column1680"/>
    <tableColumn id="1692" xr3:uid="{F13127AB-F5C9-47CF-A34A-876D685E9881}" name="Column1681"/>
    <tableColumn id="1693" xr3:uid="{04AA0918-9947-4734-94D2-293E6A025527}" name="Column1682"/>
    <tableColumn id="1694" xr3:uid="{BEBE15FC-75C5-4223-8712-3726C62D2C0F}" name="Column1683"/>
    <tableColumn id="1695" xr3:uid="{DB852F74-7976-4BB6-A5F9-0CA071DC71E4}" name="Column1684"/>
    <tableColumn id="1696" xr3:uid="{CBEDA138-DFEB-4E07-A152-EA0AC3D7FE76}" name="Column1685"/>
    <tableColumn id="1697" xr3:uid="{B8C1766E-B7D0-43F4-8E34-CA3B0CFB93DB}" name="Column1686"/>
    <tableColumn id="1698" xr3:uid="{3796CCA4-AADF-4B8A-BD20-512249CD2691}" name="Column1687"/>
    <tableColumn id="1699" xr3:uid="{3D081AB5-CE8D-4D6C-83A6-FF424BFDB115}" name="Column1688"/>
    <tableColumn id="1700" xr3:uid="{29C79DF6-9061-4575-8245-4676483FBAA8}" name="Column1689"/>
    <tableColumn id="1701" xr3:uid="{899E7F7F-7285-4FA2-8F41-CEF970FFAEDB}" name="Column1690"/>
    <tableColumn id="1702" xr3:uid="{5651491C-1E6A-442C-8145-84AFFE18E12C}" name="Column1691"/>
    <tableColumn id="1703" xr3:uid="{6BA98D06-7883-477C-9890-E6A6B6BF13BF}" name="Column1692"/>
    <tableColumn id="1704" xr3:uid="{BB90963C-B002-4083-86FD-050CC4F41A91}" name="Column1693"/>
    <tableColumn id="1705" xr3:uid="{6BDCDF08-3782-4F7E-8ABD-0E03C6C54ACF}" name="Column1694"/>
    <tableColumn id="1706" xr3:uid="{D1F9DCA4-75FF-4EE8-B5BA-F611C631AD2F}" name="Column1695"/>
    <tableColumn id="1707" xr3:uid="{28E486AB-A57F-4838-934E-82EF1C935385}" name="Column1696"/>
    <tableColumn id="1708" xr3:uid="{63863394-4709-4642-A8CA-53D57E7E2DA4}" name="Column1697"/>
    <tableColumn id="1709" xr3:uid="{03616D0F-4388-4E75-A28B-0401E8EA6BB8}" name="Column1698"/>
    <tableColumn id="1710" xr3:uid="{CFD32707-2D91-4C28-ACA0-E0A7A2980E2D}" name="Column1699"/>
    <tableColumn id="1711" xr3:uid="{D1DFB21E-5B34-4D03-9BD4-2D3D7208DF83}" name="Column1700"/>
    <tableColumn id="1712" xr3:uid="{840656F3-364E-4738-A494-45D9509E610A}" name="Column1701"/>
    <tableColumn id="1713" xr3:uid="{886534C9-C1D2-4903-9057-8F3F62C2FD6E}" name="Column1702"/>
    <tableColumn id="1714" xr3:uid="{C65BE48F-CFCA-47DC-ADDA-8D9B3CB8931B}" name="Column1703"/>
    <tableColumn id="1715" xr3:uid="{4FD7F417-1165-4A0A-B834-4CD1ABC44A64}" name="Column1704"/>
    <tableColumn id="1716" xr3:uid="{FA79E6C9-F80C-467F-A7DA-AD8C66BB7902}" name="Column1705"/>
    <tableColumn id="1717" xr3:uid="{7F5A1BB7-FB12-42F3-8BEC-287BD8778F8C}" name="Column1706"/>
    <tableColumn id="1718" xr3:uid="{89EA7545-31EB-4E35-B51A-DACA585D9C2C}" name="Column1707"/>
    <tableColumn id="1719" xr3:uid="{6BE30411-700C-4142-A817-426E5034D95F}" name="Column1708"/>
    <tableColumn id="1720" xr3:uid="{1FAF08DF-DC60-4FC7-8299-8F73BC6EF130}" name="Column1709"/>
    <tableColumn id="1721" xr3:uid="{A55A39E1-D1DB-4075-BDA1-07C9C33CAA06}" name="Column1710"/>
    <tableColumn id="1722" xr3:uid="{25359D9F-E96A-410F-94C7-3F78388333F0}" name="Column1711"/>
    <tableColumn id="1723" xr3:uid="{CBB6E28A-6F40-4FE2-A851-489EFCF85E87}" name="Column1712"/>
    <tableColumn id="1724" xr3:uid="{626C352D-BD83-4773-A8F7-A5451D0CDB70}" name="Column1713"/>
    <tableColumn id="1725" xr3:uid="{5330D6FC-2589-47F0-A8AD-99EA06124293}" name="Column1714"/>
    <tableColumn id="1726" xr3:uid="{15ADA01A-184B-4DDF-AC52-4CDE0B8745F8}" name="Column1715"/>
    <tableColumn id="1727" xr3:uid="{461700A2-3AB5-412B-9EF1-EC723A5F3F61}" name="Column1716"/>
    <tableColumn id="1728" xr3:uid="{0000CADE-B81D-4C2C-A77C-BAAEF1EC1A4E}" name="Column1717"/>
    <tableColumn id="1729" xr3:uid="{BAC96636-05BC-4EF3-811D-612651CFCAC4}" name="Column1718"/>
    <tableColumn id="1730" xr3:uid="{CE3315B1-A14A-4DB1-BFF8-8F4EAE746CFC}" name="Column1719"/>
    <tableColumn id="1731" xr3:uid="{3DE42B3C-A78D-4A72-B6AA-6CEC5143A08D}" name="Column1720"/>
    <tableColumn id="1732" xr3:uid="{ABA17F4D-49D3-4821-B778-5C58FEB814AE}" name="Column1721"/>
    <tableColumn id="1733" xr3:uid="{C1F322BD-6A2D-4570-832D-A640CC2B5BA1}" name="Column1722"/>
    <tableColumn id="1734" xr3:uid="{E6658260-BA7D-408E-AD77-BB61AC32DEE4}" name="Column1723"/>
    <tableColumn id="1735" xr3:uid="{727D280F-A513-49F4-B360-36AD94FEA85D}" name="Column1724"/>
    <tableColumn id="1736" xr3:uid="{3FCE0734-9F26-471C-89C4-8CDAB880E860}" name="Column1725"/>
    <tableColumn id="1737" xr3:uid="{E5E177C4-E6E6-4EAC-8EFE-53A17BB98A02}" name="Column1726"/>
    <tableColumn id="1738" xr3:uid="{FFDC0875-D311-49EB-A5DF-B5AB14B2EA0F}" name="Column1727"/>
    <tableColumn id="1739" xr3:uid="{28FB529C-EF14-4B9F-AB0A-FCA307CB488C}" name="Column1728"/>
    <tableColumn id="1740" xr3:uid="{D2C7617B-C023-4073-96D6-4396E5D91A1C}" name="Column1729"/>
    <tableColumn id="1741" xr3:uid="{AB418407-2B22-46F2-B53C-03F2477C5E22}" name="Column1730"/>
    <tableColumn id="1742" xr3:uid="{60EE7D64-EAFE-4AD3-96BF-943AC5A137FF}" name="Column1731"/>
    <tableColumn id="1743" xr3:uid="{35FCF409-1E0E-4727-B019-AECFA3085E90}" name="Column1732"/>
    <tableColumn id="1744" xr3:uid="{072202F6-593F-44A8-B2F7-8C285E5E2A6C}" name="Column1733"/>
    <tableColumn id="1745" xr3:uid="{BD763F1B-6E1A-40A8-ADF7-9E7DEE4A2668}" name="Column1734"/>
    <tableColumn id="1746" xr3:uid="{C4235033-E426-4747-A736-A36C419300C2}" name="Column1735"/>
    <tableColumn id="1747" xr3:uid="{7FB4AC03-6B50-4B73-9D25-A03CE3A856F8}" name="Column1736"/>
    <tableColumn id="1748" xr3:uid="{5EFA9379-C8E4-4BC2-9F9D-942E76CD2AA7}" name="Column1737"/>
    <tableColumn id="1749" xr3:uid="{BC1D1855-86A0-495E-B218-A76F9ADE2125}" name="Column1738"/>
    <tableColumn id="1750" xr3:uid="{89459F7F-EFAF-4A94-86E8-9DA1B637D855}" name="Column1739"/>
    <tableColumn id="1751" xr3:uid="{9B25F0D9-0116-472A-A589-0F23F8D58FC9}" name="Column1740"/>
    <tableColumn id="1752" xr3:uid="{6539171B-A6B2-4962-9233-D19DAD9D1F76}" name="Column1741"/>
    <tableColumn id="1753" xr3:uid="{C28909BC-5435-4AD2-8B32-47F973A6202F}" name="Column1742"/>
    <tableColumn id="1754" xr3:uid="{80B555F6-028B-4E30-949B-3519833F16DE}" name="Column1743"/>
    <tableColumn id="1755" xr3:uid="{4C00588F-FCA8-40F0-A9F2-5106DB571C2A}" name="Column1744"/>
    <tableColumn id="1756" xr3:uid="{B796AF65-315D-473E-A2F3-438F77C62062}" name="Column1745"/>
    <tableColumn id="1757" xr3:uid="{0CA863BE-56CD-4AF2-BAD5-A1866C6B230A}" name="Column1746"/>
    <tableColumn id="1758" xr3:uid="{963BEAAD-DC23-4A3F-8BB9-D8846BA0C59E}" name="Column1747"/>
    <tableColumn id="1759" xr3:uid="{437705C3-F0D2-4952-A33C-4EF5FCA2D31B}" name="Column1748"/>
    <tableColumn id="1760" xr3:uid="{269EE1ED-CF88-4001-B3B8-A665884FA34A}" name="Column1749"/>
    <tableColumn id="1761" xr3:uid="{E13B4FF8-BCCA-4045-928D-291BF9F0A7B6}" name="Column1750"/>
    <tableColumn id="1762" xr3:uid="{19CED862-DD47-4BE5-BE8A-94CE9834F12D}" name="Column1751"/>
    <tableColumn id="1763" xr3:uid="{1FE5CBDE-0C7D-42CE-BCAD-3D57605672E4}" name="Column1752"/>
    <tableColumn id="1764" xr3:uid="{3DBFC900-EF77-4900-931F-D5DA2AF28005}" name="Column1753"/>
    <tableColumn id="1765" xr3:uid="{A03EE355-8C21-4491-B72F-A13BE5593D00}" name="Column1754"/>
    <tableColumn id="1766" xr3:uid="{80E31EE2-6322-4BA1-AE2E-FEE6B5FDED29}" name="Column1755"/>
    <tableColumn id="1767" xr3:uid="{9C25357E-6CD6-4E94-A483-B9E3332A3913}" name="Column1756"/>
    <tableColumn id="1768" xr3:uid="{FAC587D5-4146-454B-92E7-47223EDBB878}" name="Column1757"/>
    <tableColumn id="1769" xr3:uid="{C58B5496-03A5-4FFD-A9BA-B170EC30D867}" name="Column1758"/>
    <tableColumn id="1770" xr3:uid="{BF1E238E-DA67-4604-96A3-F8FD25E6A909}" name="Column1759"/>
    <tableColumn id="1771" xr3:uid="{4E19C5A6-7412-4867-AA28-BB3670AE0367}" name="Column1760"/>
    <tableColumn id="1772" xr3:uid="{2762528D-1EFF-4EDD-B5E8-B30C9A6780DF}" name="Column1761"/>
    <tableColumn id="1773" xr3:uid="{5A61EE1F-C901-48F0-8CBB-3D438251B0D9}" name="Column1762"/>
    <tableColumn id="1774" xr3:uid="{DD1C203D-CFD6-434F-A265-651D8E843490}" name="Column1763"/>
    <tableColumn id="1775" xr3:uid="{8E4E2B0D-8952-4655-8857-582F2E33D880}" name="Column1764"/>
    <tableColumn id="1776" xr3:uid="{674B8F35-869D-417D-B849-4DFE1BACE0C6}" name="Column1765"/>
    <tableColumn id="1777" xr3:uid="{CA2AF42E-3FFB-44A0-BBD0-595C329E294D}" name="Column1766"/>
    <tableColumn id="1778" xr3:uid="{09FD1D84-FCD7-40F3-895A-24A1089FA779}" name="Column1767"/>
    <tableColumn id="1779" xr3:uid="{0C00AAA4-A7C6-44FD-8EA9-835F7645528D}" name="Column1768"/>
    <tableColumn id="1780" xr3:uid="{07C48B57-993B-42BB-8FB4-0FD0138670FC}" name="Column1769"/>
    <tableColumn id="1781" xr3:uid="{13D57168-D90E-4261-8DFA-2A228069A937}" name="Column1770"/>
    <tableColumn id="1782" xr3:uid="{4B3CB627-D278-4E75-B7B8-4007B1E89B00}" name="Column1771"/>
    <tableColumn id="1783" xr3:uid="{B3E4A1B7-A891-454D-AE86-6BE99AC76A8D}" name="Column1772"/>
    <tableColumn id="1784" xr3:uid="{E50C808D-CCD4-41FF-822E-8ACA67307BF2}" name="Column1773"/>
    <tableColumn id="1785" xr3:uid="{55DD0E9E-B9FE-4A25-B04D-8285DC8D570A}" name="Column1774"/>
    <tableColumn id="1786" xr3:uid="{F072BCC7-5DBD-4102-9537-F89E282B6A9A}" name="Column1775"/>
    <tableColumn id="1787" xr3:uid="{1CCFCCC1-FC94-4C58-B20F-25D9C625E906}" name="Column1776"/>
    <tableColumn id="1788" xr3:uid="{99A25253-9B23-4873-8D1E-365080AC4286}" name="Column1777"/>
    <tableColumn id="1789" xr3:uid="{83FDAF6B-2B46-4804-BEF4-0D4A20A6D3CE}" name="Column1778"/>
    <tableColumn id="1790" xr3:uid="{D6346D1F-72F9-4091-BB0C-EF5D9AFA4793}" name="Column1779"/>
    <tableColumn id="1791" xr3:uid="{0FD345E8-976E-4D70-BFE4-3D3BC2FBB1AD}" name="Column1780"/>
    <tableColumn id="1792" xr3:uid="{071415F1-ED25-450E-BDE1-A8EBB330D19D}" name="Column1781"/>
    <tableColumn id="1793" xr3:uid="{E7917F56-1EB1-48F5-B1F6-5D032FDF3BE3}" name="Column1782"/>
    <tableColumn id="1794" xr3:uid="{32F4E89E-AFF5-4CDE-8357-42144B2A254D}" name="Column1783"/>
    <tableColumn id="1795" xr3:uid="{7E8E9F88-BAA8-4E0F-9AA6-C03144E3A98B}" name="Column1784"/>
    <tableColumn id="1796" xr3:uid="{D1E2773C-A1C6-47AE-B544-44EA046884AD}" name="Column1785"/>
    <tableColumn id="1797" xr3:uid="{A9CBC259-415E-4773-8952-2282A167A5AD}" name="Column1786"/>
    <tableColumn id="1798" xr3:uid="{DF4FE9AB-B25D-49B4-9547-9FDE57191D1E}" name="Column1787"/>
    <tableColumn id="1799" xr3:uid="{1F8E2308-8BAF-4F7B-A26D-1FFA7FFDBB88}" name="Column1788"/>
    <tableColumn id="1800" xr3:uid="{507B5F7E-CA91-4932-AEB5-4819DB366835}" name="Column1789"/>
    <tableColumn id="1801" xr3:uid="{CA000293-24CB-4069-90F3-B9035187FAFA}" name="Column1790"/>
    <tableColumn id="1802" xr3:uid="{E9257831-A91F-4F9A-98D6-F261AF006AA8}" name="Column1791"/>
    <tableColumn id="1803" xr3:uid="{1C1A169E-982C-453E-B633-26833F702E2C}" name="Column1792"/>
    <tableColumn id="1804" xr3:uid="{9B59DB52-5C0F-48DA-8A4B-825102A6CD40}" name="Column1793"/>
    <tableColumn id="1805" xr3:uid="{A508A5AB-16A9-4052-89E3-B3E229545A14}" name="Column1794"/>
    <tableColumn id="1806" xr3:uid="{DC3CED7A-A07E-42F8-9BD7-21C1B475268E}" name="Column1795"/>
    <tableColumn id="1807" xr3:uid="{C235206A-63FF-4418-A395-95BCE9486684}" name="Column1796"/>
    <tableColumn id="1808" xr3:uid="{DF7129BB-F4FD-4EC5-BFF6-D4E51CA8E0EB}" name="Column1797"/>
    <tableColumn id="1809" xr3:uid="{94C46043-B67B-46D1-A7BB-52A540AE1749}" name="Column1798"/>
    <tableColumn id="1810" xr3:uid="{E5E899C0-69BD-4A4B-9208-093B8260E593}" name="Column1799"/>
    <tableColumn id="1811" xr3:uid="{A0317E7A-5E09-4502-B41F-231F1CE8F2F3}" name="Column1800"/>
    <tableColumn id="1812" xr3:uid="{91A948CC-6005-46E3-9DD6-E0E171C2263D}" name="Column1801"/>
    <tableColumn id="1813" xr3:uid="{12DABA1C-D666-4E94-B2DA-1630BCAE002E}" name="Column1802"/>
    <tableColumn id="1814" xr3:uid="{4DCED8C7-1B15-4BC4-9823-8354DF751F98}" name="Column1803"/>
    <tableColumn id="1815" xr3:uid="{49A525B6-2111-4820-9638-4C9782244950}" name="Column1804"/>
    <tableColumn id="1816" xr3:uid="{284DAA03-3CB0-4DF4-889C-4CC1377F7A29}" name="Column1805"/>
    <tableColumn id="1817" xr3:uid="{3E36BEDA-9748-4099-A3A4-4A57507245A2}" name="Column1806"/>
    <tableColumn id="1818" xr3:uid="{FD81A2AA-C65C-49AD-9D80-9B31BB31E021}" name="Column1807"/>
    <tableColumn id="1819" xr3:uid="{BE6B44E7-66DD-4842-838A-6CE7A80505BD}" name="Column1808"/>
    <tableColumn id="1820" xr3:uid="{88A8FE19-1F6F-41C1-B95B-8BA377387CFA}" name="Column1809"/>
    <tableColumn id="1821" xr3:uid="{AA0AA18F-24FD-4170-AFBA-870E13CD8BB8}" name="Column1810"/>
    <tableColumn id="1822" xr3:uid="{44D8595F-8A21-45DC-911D-191F87B1C961}" name="Column1811"/>
    <tableColumn id="1823" xr3:uid="{7377BA0D-8757-4B8E-AC23-3AC69D09567F}" name="Column1812"/>
    <tableColumn id="1824" xr3:uid="{1B8379DC-93DE-4257-903E-C055184F9A02}" name="Column1813"/>
    <tableColumn id="1825" xr3:uid="{9837E5B8-085F-44FD-BD3F-E5549056D5D7}" name="Column1814"/>
    <tableColumn id="1826" xr3:uid="{A69BE2E7-C3FB-4ECF-AD95-55853A25DE24}" name="Column1815"/>
    <tableColumn id="1827" xr3:uid="{24FB39AD-1D52-4CE7-8B35-7F52B31B5A68}" name="Column1816"/>
    <tableColumn id="1828" xr3:uid="{A7BF322E-6F06-4C25-A35E-DCB1F7981EC6}" name="Column1817"/>
    <tableColumn id="1829" xr3:uid="{FCC866D7-83DA-4D9E-8059-E97224E03856}" name="Column1818"/>
    <tableColumn id="1830" xr3:uid="{D3687DF3-9623-4AF8-A837-949A53AE4A90}" name="Column1819"/>
    <tableColumn id="1831" xr3:uid="{2175F9D7-89BE-471C-9E87-7950AD06A6B4}" name="Column1820"/>
    <tableColumn id="1832" xr3:uid="{B69F8E8D-687C-4B46-9345-F7EEDC7E124E}" name="Column1821"/>
    <tableColumn id="1833" xr3:uid="{7291200D-A6DB-4BF7-8E2C-6DC9934F998A}" name="Column1822"/>
    <tableColumn id="1834" xr3:uid="{C99C221C-B3D8-431D-A0E6-A47820DB21A9}" name="Column1823"/>
    <tableColumn id="1835" xr3:uid="{D958686B-E400-459D-BA11-EA5E4FC27C5C}" name="Column1824"/>
    <tableColumn id="1836" xr3:uid="{F399F65B-7D4C-457F-9630-74F9D493A174}" name="Column1825"/>
    <tableColumn id="1837" xr3:uid="{6CB36326-3415-4DB1-BB24-4940090D37C8}" name="Column1826"/>
    <tableColumn id="1838" xr3:uid="{48B8AFCC-D246-49C5-8980-44D055D2F6AA}" name="Column1827"/>
    <tableColumn id="1839" xr3:uid="{A696DC18-739C-4478-97E0-D7C9BDFD233E}" name="Column1828"/>
    <tableColumn id="1840" xr3:uid="{10EECC9D-B67F-44AE-9370-40ECD76402CC}" name="Column1829"/>
    <tableColumn id="1841" xr3:uid="{BC8FCA5C-F396-4BB0-8382-7278C056F1DD}" name="Column1830"/>
    <tableColumn id="1842" xr3:uid="{2F3744F2-535E-4435-B56E-7DB5971552CD}" name="Column1831"/>
    <tableColumn id="1843" xr3:uid="{021565E2-09F2-4C2C-85A1-72BB50DD8A7C}" name="Column1832"/>
    <tableColumn id="1844" xr3:uid="{0C8723E0-B504-4686-8B3C-AFCD93F4A4BB}" name="Column1833"/>
    <tableColumn id="1845" xr3:uid="{1CF5CB8A-79CF-47BC-B360-6772EB5BCA4F}" name="Column1834"/>
    <tableColumn id="1846" xr3:uid="{B9D41AE9-A632-4766-A25E-35B9507115E3}" name="Column1835"/>
    <tableColumn id="1847" xr3:uid="{6DE70C82-D13D-4EF7-9BB7-62D7563BC89D}" name="Column1836"/>
    <tableColumn id="1848" xr3:uid="{EB1C5127-DAA6-472D-8F8F-82A739D62A36}" name="Column1837"/>
    <tableColumn id="1849" xr3:uid="{C5D8C415-407A-4D22-9567-F2E0064480A0}" name="Column1838"/>
    <tableColumn id="1850" xr3:uid="{5A3F87D8-13B8-45DB-BF71-7D24B14FB83B}" name="Column1839"/>
    <tableColumn id="1851" xr3:uid="{C060725F-1209-407B-BCCC-A3AC56270CF2}" name="Column1840"/>
    <tableColumn id="1852" xr3:uid="{9783CB08-B929-4296-AD1B-0366DF4EB862}" name="Column1841"/>
    <tableColumn id="1853" xr3:uid="{AAC196D2-9835-4359-8ABD-86BD7CB10D73}" name="Column1842"/>
    <tableColumn id="1854" xr3:uid="{0BE6B5E8-A81A-45AE-A7FD-ABD55E454E55}" name="Column1843"/>
    <tableColumn id="1855" xr3:uid="{B4578EBA-E4FA-47D8-9C6B-8E78998A7E91}" name="Column1844"/>
    <tableColumn id="1856" xr3:uid="{17E81AE5-2091-49F4-ACAA-9758361E514F}" name="Column1845"/>
    <tableColumn id="1857" xr3:uid="{9C708DC4-7B94-41B8-B469-90A367CDA92F}" name="Column1846"/>
    <tableColumn id="1858" xr3:uid="{6E550555-72FB-45F3-932D-E043B5B4F01B}" name="Column1847"/>
    <tableColumn id="1859" xr3:uid="{DAB1F607-DCFC-4BC3-A8AA-77F7253105EF}" name="Column1848"/>
    <tableColumn id="1860" xr3:uid="{2AC4232C-3085-4B98-97FF-439BF5E8F3D5}" name="Column1849"/>
    <tableColumn id="1861" xr3:uid="{B321BD57-B7D7-4A84-8657-1F3B8ACF2216}" name="Column1850"/>
    <tableColumn id="1862" xr3:uid="{9CF3D748-283C-469C-8500-DD39CFB63808}" name="Column1851"/>
    <tableColumn id="1863" xr3:uid="{67F80976-2681-410D-B022-251D6DD1B0BB}" name="Column1852"/>
    <tableColumn id="1864" xr3:uid="{0CCB03BE-54EC-4E12-8465-19BB0EA54E87}" name="Column1853"/>
    <tableColumn id="1865" xr3:uid="{46A909C3-2C6B-40BC-871B-ED7C8202EE27}" name="Column1854"/>
    <tableColumn id="1866" xr3:uid="{5E33DD56-4ACA-4380-B90A-456AD9369EF2}" name="Column1855"/>
    <tableColumn id="1867" xr3:uid="{5C9BC0F5-498E-4E97-9DA9-BD507A62EA82}" name="Column1856"/>
    <tableColumn id="1868" xr3:uid="{CAADDD34-EB1E-4336-84E2-708DE3B8DD15}" name="Column1857"/>
    <tableColumn id="1869" xr3:uid="{43BC11A2-54B1-46FF-A14F-4BCEE0689732}" name="Column1858"/>
    <tableColumn id="1870" xr3:uid="{23DAA859-96B7-4ADC-B612-AAFFB5557ADE}" name="Column1859"/>
    <tableColumn id="1871" xr3:uid="{A4C92958-A8F5-4924-989F-C3DB0D996B94}" name="Column1860"/>
    <tableColumn id="1872" xr3:uid="{1B0A9E31-5782-4112-B774-F6652216EDF9}" name="Column1861"/>
    <tableColumn id="1873" xr3:uid="{360C2CFD-1226-4278-B31C-E53535A13138}" name="Column1862"/>
    <tableColumn id="1874" xr3:uid="{A09EC9A1-E48D-477A-8961-79E4397311D6}" name="Column1863"/>
    <tableColumn id="1875" xr3:uid="{CE3880FC-22CD-4D11-A72D-4F2D58E6D236}" name="Column1864"/>
    <tableColumn id="1876" xr3:uid="{CEA9A07D-0288-438D-8514-F8B0A44BE585}" name="Column1865"/>
    <tableColumn id="1877" xr3:uid="{58736199-8281-4D86-B424-D86A3A7D0469}" name="Column1866"/>
    <tableColumn id="1878" xr3:uid="{89ABC65B-B50B-432C-9AFB-3849C8DBAD3A}" name="Column1867"/>
    <tableColumn id="1879" xr3:uid="{6A8C1E92-A6F2-4ED9-8B43-471D6FF5334E}" name="Column1868"/>
    <tableColumn id="1880" xr3:uid="{72A1E829-D86D-47FF-B065-FFC15FEDA433}" name="Column1869"/>
    <tableColumn id="1881" xr3:uid="{8DEFFABA-3C59-4866-B7F3-B5CAD0EE81A4}" name="Column1870"/>
    <tableColumn id="1882" xr3:uid="{E712727B-657A-4492-AE02-4B0E72FA4064}" name="Column1871"/>
    <tableColumn id="1883" xr3:uid="{B6545FA5-2867-4E4E-9ACE-C220A886056B}" name="Column1872"/>
    <tableColumn id="1884" xr3:uid="{A13FDC0A-497A-4A6F-B01A-3BE1969408A9}" name="Column1873"/>
    <tableColumn id="1885" xr3:uid="{DE1BCABA-4099-458E-9BAC-40B9A3128B56}" name="Column1874"/>
    <tableColumn id="1886" xr3:uid="{517E56C6-7CC7-4176-8AD5-0674D46A051D}" name="Column1875"/>
    <tableColumn id="1887" xr3:uid="{EDB51809-16C2-42BA-9C14-2155E00CF104}" name="Column1876"/>
    <tableColumn id="1888" xr3:uid="{D2D7F227-5E40-4851-9230-CF75D6CED98C}" name="Column1877"/>
    <tableColumn id="1889" xr3:uid="{17502AEA-1C92-45CF-A17D-25018CBC6AF6}" name="Column1878"/>
    <tableColumn id="1890" xr3:uid="{B09045D0-D0C4-4B81-91D5-4822C9801D11}" name="Column1879"/>
    <tableColumn id="1891" xr3:uid="{25783408-7B55-447A-83BE-64472A9C36D5}" name="Column1880"/>
    <tableColumn id="1892" xr3:uid="{69FFD5C3-7BE0-447A-8CF9-E1AEE2DD3AC8}" name="Column1881"/>
    <tableColumn id="1893" xr3:uid="{F77E8787-3038-4C63-B296-67840B36419C}" name="Column1882"/>
    <tableColumn id="1894" xr3:uid="{10AF2A63-932C-4F3D-B9A9-A79516F310B9}" name="Column1883"/>
    <tableColumn id="1895" xr3:uid="{340BC2B2-0504-4746-8015-E36D2F875DE4}" name="Column1884"/>
    <tableColumn id="1896" xr3:uid="{1928BAE6-3659-4163-A13F-5EE8D04FE039}" name="Column1885"/>
    <tableColumn id="1897" xr3:uid="{72F411E8-3337-48C5-8DFB-888CA91EE798}" name="Column1886"/>
    <tableColumn id="1898" xr3:uid="{3A1F0218-18A3-4324-A112-4CFD0310199A}" name="Column1887"/>
    <tableColumn id="1899" xr3:uid="{FC3FA44D-D946-40D2-8FB0-8E1C1BEF08D0}" name="Column1888"/>
    <tableColumn id="1900" xr3:uid="{F8E02D4C-1743-4593-9E3C-EAE0554FD9C4}" name="Column1889"/>
    <tableColumn id="1901" xr3:uid="{2D77A615-5BC7-4C99-9D41-02998B7A90F2}" name="Column1890"/>
    <tableColumn id="1902" xr3:uid="{8BFAD515-F635-4FDD-85E6-164354788F5D}" name="Column1891"/>
    <tableColumn id="1903" xr3:uid="{38457F75-8B21-420F-85BA-F14F46E286DB}" name="Column1892"/>
    <tableColumn id="1904" xr3:uid="{74C0EF69-6F25-490E-9949-48D223E24D72}" name="Column1893"/>
    <tableColumn id="1905" xr3:uid="{9CBFBB0C-E910-442F-B9BB-4532F62D7DB8}" name="Column1894"/>
    <tableColumn id="1906" xr3:uid="{4012EE41-F842-421B-B041-8F2FDA2393C8}" name="Column1895"/>
    <tableColumn id="1907" xr3:uid="{D2D523E0-5B8E-4D5B-8A19-53BFD1D604AB}" name="Column1896"/>
    <tableColumn id="1908" xr3:uid="{FA26DAF2-5643-404F-92D4-9A155AA95EBF}" name="Column1897"/>
    <tableColumn id="1909" xr3:uid="{4ECB6A70-011A-4782-86CE-2ED69C4629A0}" name="Column1898"/>
    <tableColumn id="1910" xr3:uid="{BDBC0F5A-8C36-4FD5-B9C2-F77EC2DDE05D}" name="Column1899"/>
    <tableColumn id="1911" xr3:uid="{BBAF595D-9815-4DE2-9CB1-DF2E53864CCE}" name="Column1900"/>
    <tableColumn id="1912" xr3:uid="{855F4B2F-FB1A-41A6-8F7A-330440D2DEF2}" name="Column1901"/>
    <tableColumn id="1913" xr3:uid="{F5503E23-3C00-4402-BFC9-C815DF53C403}" name="Column1902"/>
    <tableColumn id="1914" xr3:uid="{D5670568-0B43-4527-987A-1B3FAC725A92}" name="Column1903"/>
    <tableColumn id="1915" xr3:uid="{E7FDBCE7-2CB5-40BF-8641-979CD13F075D}" name="Column1904"/>
    <tableColumn id="1916" xr3:uid="{4A159241-57C2-4A0B-B0FC-53465762E573}" name="Column1905"/>
    <tableColumn id="1917" xr3:uid="{1AEB6691-FC1F-4418-A4FD-7B1FDEE97BB0}" name="Column1906"/>
    <tableColumn id="1918" xr3:uid="{E2EC0E3F-6526-448A-958E-2922217BB793}" name="Column1907"/>
    <tableColumn id="1919" xr3:uid="{F8D11EEF-32CD-42EE-A98F-7FA5E0D59218}" name="Column1908"/>
    <tableColumn id="1920" xr3:uid="{A9C9B801-9D96-4EC3-8A79-A48F30FAF8CC}" name="Column1909"/>
    <tableColumn id="1921" xr3:uid="{7C251F8E-34BC-437D-ACF6-3E0079A77590}" name="Column1910"/>
    <tableColumn id="1922" xr3:uid="{60C41EDA-9603-4463-B313-341CC2C186BD}" name="Column1911"/>
    <tableColumn id="1923" xr3:uid="{A8D45D63-5FCF-4992-85FD-9D258591FB0C}" name="Column1912"/>
    <tableColumn id="1924" xr3:uid="{06FB040A-E8B4-4798-9D49-D323D8578140}" name="Column1913"/>
    <tableColumn id="1925" xr3:uid="{8328E468-F973-4C84-821E-FA52683D5326}" name="Column1914"/>
    <tableColumn id="1926" xr3:uid="{B8D217DF-A437-4B8A-B32B-81AD1BC6A35B}" name="Column1915"/>
    <tableColumn id="1927" xr3:uid="{46143BA2-4A14-4366-A1D3-603C09BF31E5}" name="Column1916"/>
    <tableColumn id="1928" xr3:uid="{D6C61FC3-F96E-453D-975E-3C6A0FC37470}" name="Column1917"/>
    <tableColumn id="1929" xr3:uid="{1AD4EC74-92B0-4317-9C16-6CD29A50A7C6}" name="Column1918"/>
    <tableColumn id="1930" xr3:uid="{3FC706FC-801E-4552-9926-A7E55DB49A1A}" name="Column1919"/>
    <tableColumn id="1931" xr3:uid="{311B1F79-5B4D-4597-9B43-AFAD7E9083DD}" name="Column1920"/>
    <tableColumn id="1932" xr3:uid="{A7A86DFF-7A27-49EF-BEFA-D37452EB7599}" name="Column1921"/>
    <tableColumn id="1933" xr3:uid="{DDC2E104-AC17-4DB7-BCB0-A3F937848567}" name="Column1922"/>
    <tableColumn id="1934" xr3:uid="{0899D8E9-9B56-4121-8242-54682DE85F71}" name="Column1923"/>
    <tableColumn id="1935" xr3:uid="{5CD8F0CF-881C-49F9-9BFE-BF4CD11622B8}" name="Column1924"/>
    <tableColumn id="1936" xr3:uid="{EE100AD6-BAC5-4EAF-B5EF-BF17715F50D9}" name="Column1925"/>
    <tableColumn id="1937" xr3:uid="{6E471068-EF3E-4E83-8BF3-EAB40D63A863}" name="Column1926"/>
    <tableColumn id="1938" xr3:uid="{F612BB19-5806-4DBB-9DA3-DF4446A0EB98}" name="Column1927"/>
    <tableColumn id="1939" xr3:uid="{EF3E44DE-7EE6-4029-9546-79F2AC9B0C0B}" name="Column1928"/>
    <tableColumn id="1940" xr3:uid="{1EB6787E-94D0-42CC-917E-3B8C4660DBD0}" name="Column1929"/>
    <tableColumn id="1941" xr3:uid="{6B22C574-B7A8-4A9D-8A72-647CAE52D40C}" name="Column1930"/>
    <tableColumn id="1942" xr3:uid="{74BA4A96-D57F-4A7C-A4EA-E269211B3BE6}" name="Column1931"/>
    <tableColumn id="1943" xr3:uid="{190B052E-6DBF-4919-BB4C-59CB1633CB5D}" name="Column1932"/>
    <tableColumn id="1944" xr3:uid="{D5E0C6B1-1E42-478B-89EC-0CEB07896E3A}" name="Column1933"/>
    <tableColumn id="1945" xr3:uid="{4677B96F-0C29-463B-9D86-B7E80DF7541A}" name="Column1934"/>
    <tableColumn id="1946" xr3:uid="{7E6DE874-F8B8-4C2B-9343-76935D6D9D47}" name="Column1935"/>
    <tableColumn id="1947" xr3:uid="{67C071C0-4E3E-4A06-A823-E6C5C8200706}" name="Column1936"/>
    <tableColumn id="1948" xr3:uid="{60BF9851-9CE8-45AA-8F4C-8F276F66158E}" name="Column1937"/>
    <tableColumn id="1949" xr3:uid="{E9DC36E4-CBCD-4221-BCF0-EC7915ABF894}" name="Column1938"/>
    <tableColumn id="1950" xr3:uid="{50E6C63C-56F5-4CA4-AFE8-4D2A0937E847}" name="Column1939"/>
    <tableColumn id="1951" xr3:uid="{968AAF75-F7B0-4854-82E4-F0DB10914177}" name="Column1940"/>
    <tableColumn id="1952" xr3:uid="{5771642D-1356-485A-8B93-286E9F0497C3}" name="Column1941"/>
    <tableColumn id="1953" xr3:uid="{6F2866DD-F80F-425E-9D22-F70E6DD708FB}" name="Column1942"/>
    <tableColumn id="1954" xr3:uid="{D2DE46EC-20AB-4CA9-9F0C-53BA739D5EC7}" name="Column1943"/>
    <tableColumn id="1955" xr3:uid="{600D9BB3-7645-4212-B6E1-3AEB35C802AA}" name="Column1944"/>
    <tableColumn id="1956" xr3:uid="{36B74FD5-5E74-449D-A0AB-D5CA78429E6D}" name="Column1945"/>
    <tableColumn id="1957" xr3:uid="{72FF3580-444D-456A-B919-247BD63EDB13}" name="Column1946"/>
    <tableColumn id="1958" xr3:uid="{2AE7F1B2-794B-42D2-9484-F3C77919B034}" name="Column1947"/>
    <tableColumn id="1959" xr3:uid="{066D75AA-7E83-489C-93D8-A596C6192FDB}" name="Column1948"/>
    <tableColumn id="1960" xr3:uid="{FB0CAE7B-F084-4870-86CC-53BCA6FC9292}" name="Column1949"/>
    <tableColumn id="1961" xr3:uid="{AC207E80-7C11-40DA-8F64-94CFC979F940}" name="Column1950"/>
    <tableColumn id="1962" xr3:uid="{0E6F8313-814C-4B0B-89EB-3D0CAF9E927B}" name="Column1951"/>
    <tableColumn id="1963" xr3:uid="{B79B36C2-DAC6-4520-99EC-26C0A96EB6E5}" name="Column1952"/>
    <tableColumn id="1964" xr3:uid="{E19CFE4D-0DA7-43BD-BA88-165120DD5951}" name="Column1953"/>
    <tableColumn id="1965" xr3:uid="{E685861C-DF97-4E25-B54B-CE87E75CD980}" name="Column1954"/>
    <tableColumn id="1966" xr3:uid="{9938F8A2-781F-415F-88BA-824F52285239}" name="Column1955"/>
    <tableColumn id="1967" xr3:uid="{A52DC1EF-4192-4F6C-AB50-8D582B8F09EC}" name="Column1956"/>
    <tableColumn id="1968" xr3:uid="{9DABC9D5-AFB3-40DE-AE7F-79FD1BB2E6BC}" name="Column1957"/>
    <tableColumn id="1969" xr3:uid="{A3E0589A-9A5C-4BFC-80CD-D45C4A8B7321}" name="Column1958"/>
    <tableColumn id="1970" xr3:uid="{73FD27D2-A73C-48C6-82AB-9B91ECF8FCD0}" name="Column1959"/>
    <tableColumn id="1971" xr3:uid="{200FBA57-8E5D-4841-8FAF-C3313C116D09}" name="Column1960"/>
    <tableColumn id="1972" xr3:uid="{515945AE-354D-4BD0-A48A-D0C5D961FBE2}" name="Column1961"/>
    <tableColumn id="1973" xr3:uid="{06D5AC03-6F60-44B6-84C0-C78031A07315}" name="Column1962"/>
    <tableColumn id="1974" xr3:uid="{ED977CA5-3900-49F0-AB09-FC3FB2ADAA4D}" name="Column1963"/>
    <tableColumn id="1975" xr3:uid="{1C429061-0CC9-4F37-A601-3C8D0D5A8BBF}" name="Column1964"/>
    <tableColumn id="1976" xr3:uid="{14811DD9-5DE1-4EDA-9BF5-3F60CA59EC20}" name="Column1965"/>
    <tableColumn id="1977" xr3:uid="{7F4E36FF-DEA8-4964-B81A-94F731D2A563}" name="Column1966"/>
    <tableColumn id="1978" xr3:uid="{784999C0-0416-4B53-83ED-5AC18B10BB28}" name="Column1967"/>
    <tableColumn id="1979" xr3:uid="{5A0DA944-0BFC-4C9D-A910-A5553406B04B}" name="Column1968"/>
    <tableColumn id="1980" xr3:uid="{977590AE-B01F-47EF-9563-B6A8F0E2F96E}" name="Column1969"/>
    <tableColumn id="1981" xr3:uid="{7EE88F84-9855-42D6-8180-D514DE7729DC}" name="Column1970"/>
    <tableColumn id="1982" xr3:uid="{13E7F966-CF97-4EB6-B5D6-D177FD674473}" name="Column1971"/>
    <tableColumn id="1983" xr3:uid="{11E26DE1-D519-4305-B572-93790B38DA10}" name="Column1972"/>
    <tableColumn id="1984" xr3:uid="{899BBE71-3B51-4EF5-9A92-001569667248}" name="Column1973"/>
    <tableColumn id="1985" xr3:uid="{7ED063F3-5836-4CDD-AB9D-EB2EAC44D274}" name="Column1974"/>
    <tableColumn id="1986" xr3:uid="{6CE8C884-C3D6-47F4-8ACC-5B309E2840EB}" name="Column1975"/>
    <tableColumn id="1987" xr3:uid="{6088634B-C335-4149-BAF4-27F90C20C282}" name="Column1976"/>
    <tableColumn id="1988" xr3:uid="{7C2F48C2-0826-449E-B32E-141404C43D42}" name="Column1977"/>
    <tableColumn id="1989" xr3:uid="{A1BD5DE8-6EB7-4AFF-BD2B-B59BFE0D5723}" name="Column1978"/>
    <tableColumn id="1990" xr3:uid="{C474FD0C-10CB-42A2-9DE2-30EBA61E0196}" name="Column1979"/>
    <tableColumn id="1991" xr3:uid="{44783FA2-9F12-4DD8-ADDD-655269A2C526}" name="Column1980"/>
    <tableColumn id="1992" xr3:uid="{B50CC209-5A56-41F2-81C8-089B125E39F9}" name="Column1981"/>
    <tableColumn id="1993" xr3:uid="{4CA5C054-6D30-4FA6-9B0D-D9890E3B4DAC}" name="Column1982"/>
    <tableColumn id="1994" xr3:uid="{98F6BECE-3843-463A-B784-55B8E51CF828}" name="Column1983"/>
    <tableColumn id="1995" xr3:uid="{0D3BCAA6-453B-4E2F-9328-0EDCE65713DC}" name="Column1984"/>
    <tableColumn id="1996" xr3:uid="{0FFD1FE7-56BF-4FAC-9B7D-B66AAEA6BCE9}" name="Column1985"/>
    <tableColumn id="1997" xr3:uid="{F2C8E35B-6627-4E31-BD4D-8A76F6DC7549}" name="Column1986"/>
    <tableColumn id="1998" xr3:uid="{E48B968E-7F82-4A4C-AB24-DFB8C71995F9}" name="Column1987"/>
    <tableColumn id="1999" xr3:uid="{104F3EA7-024B-4A3C-B8DA-7CF0DEF59137}" name="Column1988"/>
    <tableColumn id="2000" xr3:uid="{F59DCF26-3E8B-4128-B8F7-1F53FCD702B8}" name="Column1989"/>
    <tableColumn id="2001" xr3:uid="{99BA62F3-F1F7-4A9B-BF16-1FEC55203B23}" name="Column1990"/>
    <tableColumn id="2002" xr3:uid="{58F4FA44-9690-4568-9CFB-01C6DE26A95C}" name="Column1991"/>
    <tableColumn id="2003" xr3:uid="{28AFF85E-8D56-4C2D-80D0-0395DB8DFF4F}" name="Column1992"/>
    <tableColumn id="2004" xr3:uid="{B5099536-C870-47FF-A525-7220F33927DC}" name="Column1993"/>
    <tableColumn id="2005" xr3:uid="{BC23B3C9-BD4E-4CEE-B7F2-FA8B94D954EC}" name="Column1994"/>
    <tableColumn id="2006" xr3:uid="{30EB1015-08D4-4C68-A267-712F0DBB5962}" name="Column1995"/>
    <tableColumn id="2007" xr3:uid="{C74ED4F0-B77F-4705-9B47-563B95D17138}" name="Column1996"/>
    <tableColumn id="2008" xr3:uid="{B9EB2A2C-6379-4B6F-A5AE-55E89A235672}" name="Column1997"/>
    <tableColumn id="2009" xr3:uid="{5FF0A5FD-3E2A-43CE-AFDE-1FCBD02E2BA5}" name="Column1998"/>
    <tableColumn id="2010" xr3:uid="{431DDFDA-EEDF-43A2-A4C8-43FB66E47FEA}" name="Column1999"/>
    <tableColumn id="2011" xr3:uid="{D17922ED-2AD9-4901-B122-EDC1A3152C0E}" name="Column2000"/>
    <tableColumn id="2012" xr3:uid="{5DE0A10D-30B3-461A-B36E-50549D4912A0}" name="Column2001"/>
    <tableColumn id="2013" xr3:uid="{25D10CEC-3D29-402C-8619-DE38A357EA89}" name="Column2002"/>
    <tableColumn id="2014" xr3:uid="{794C5D72-8360-48B6-B2D5-8343F08CFD13}" name="Column2003"/>
    <tableColumn id="2015" xr3:uid="{6792D3BD-A406-45E2-89B3-1523C86437AF}" name="Column2004"/>
    <tableColumn id="2016" xr3:uid="{65B3C6D8-6BB9-4665-A651-D1CE49394A6E}" name="Column2005"/>
    <tableColumn id="2017" xr3:uid="{092AAAC6-C1EB-4431-8417-0B828DC36F3E}" name="Column2006"/>
    <tableColumn id="2018" xr3:uid="{C9AACC7D-8DF1-4CAB-8DB0-99C0BF8443DA}" name="Column2007"/>
    <tableColumn id="2019" xr3:uid="{A2FE77A5-0D25-4B67-8F5C-587CC2DC53F6}" name="Column2008"/>
    <tableColumn id="2020" xr3:uid="{2FD7F889-92BE-4083-B849-88EBA56E496B}" name="Column2009"/>
    <tableColumn id="2021" xr3:uid="{73040FAF-5750-4E4F-B030-37566E055261}" name="Column2010"/>
    <tableColumn id="2022" xr3:uid="{7CD2F048-7C40-46FC-822F-9179A6EBC2F4}" name="Column2011"/>
    <tableColumn id="2023" xr3:uid="{BB365CFE-E51E-4A61-B476-F58C5A6E2D07}" name="Column2012"/>
    <tableColumn id="2024" xr3:uid="{4CC3CC42-C13C-4B9D-95EB-4B28DA781080}" name="Column2013"/>
    <tableColumn id="2025" xr3:uid="{F8F4DCF1-C760-4C87-9F6E-198D8013502E}" name="Column2014"/>
    <tableColumn id="2026" xr3:uid="{AA9E9C52-AA0E-4A10-A4A7-07C3FB3F5239}" name="Column2015"/>
    <tableColumn id="2027" xr3:uid="{CE69A8D2-A127-4D54-9A47-B060DAD99AD3}" name="Column2016"/>
    <tableColumn id="2028" xr3:uid="{1C20FB6B-CBE4-490F-A549-080066920228}" name="Column2017"/>
    <tableColumn id="2029" xr3:uid="{C2248AB4-8686-475A-8B1F-AC111251951D}" name="Column2018"/>
    <tableColumn id="2030" xr3:uid="{F1CF0E75-FA05-4123-AC8D-67C61DAA3E27}" name="Column2019"/>
    <tableColumn id="2031" xr3:uid="{EE7111DA-B8BC-4CE6-A854-D9D734316159}" name="Column2020"/>
    <tableColumn id="2032" xr3:uid="{B9057AAC-84C6-46C7-BCEA-6F7E6CD5D38B}" name="Column2021"/>
    <tableColumn id="2033" xr3:uid="{E15F1492-3FEF-4507-BDC8-2D90563E1118}" name="Column2022"/>
    <tableColumn id="2034" xr3:uid="{0CF42CF4-41B0-41C5-B03D-B8518178B8CB}" name="Column2023"/>
    <tableColumn id="2035" xr3:uid="{031F247D-54F9-4EA2-AD49-3DB9E4BADA4C}" name="Column2024"/>
    <tableColumn id="2036" xr3:uid="{75E98219-42EA-4BA3-82B4-4609B2489CFE}" name="Column2025"/>
    <tableColumn id="2037" xr3:uid="{39C2FAEF-23BB-46C4-8B0A-8F7A55011A28}" name="Column2026"/>
    <tableColumn id="2038" xr3:uid="{A67644AC-85B7-47C3-83B1-A96C86C8748A}" name="Column2027"/>
    <tableColumn id="2039" xr3:uid="{D457EBA8-9A77-4024-92A4-753D6D31F768}" name="Column2028"/>
    <tableColumn id="2040" xr3:uid="{1B1AC94B-B600-421D-B0F3-950015FC376D}" name="Column2029"/>
    <tableColumn id="2041" xr3:uid="{40EFC804-76EF-4C4C-9F21-8406B5A9B191}" name="Column2030"/>
    <tableColumn id="2042" xr3:uid="{3384FAF5-EC10-4AE6-B945-5D70339B0AE4}" name="Column2031"/>
    <tableColumn id="2043" xr3:uid="{CB942668-BFA8-47CC-8DB6-22563C188C26}" name="Column2032"/>
    <tableColumn id="2044" xr3:uid="{876F3107-C35C-4475-A2E4-0CA327A125CF}" name="Column2033"/>
    <tableColumn id="2045" xr3:uid="{2EB9E396-1A21-4B0C-B7D3-925B6348DEE5}" name="Column2034"/>
    <tableColumn id="2046" xr3:uid="{0D7B270B-B765-487D-848F-2FE6F6FF6D47}" name="Column2035"/>
    <tableColumn id="2047" xr3:uid="{9D099F2B-387B-454C-8B82-39385B0815CB}" name="Column2036"/>
    <tableColumn id="2048" xr3:uid="{B9B82E16-FBCF-4C90-AD94-429513EA7AAB}" name="Column2037"/>
    <tableColumn id="2049" xr3:uid="{0E532C92-D9A2-4D6E-96AE-E28CFA0C330C}" name="Column2038"/>
    <tableColumn id="2050" xr3:uid="{3A0E670E-5046-4F6B-B068-D9D152848EF5}" name="Column2039"/>
    <tableColumn id="2051" xr3:uid="{9DBB6E2A-4034-4D52-A65D-382D9690B2EF}" name="Column2040"/>
    <tableColumn id="2052" xr3:uid="{9F37867D-FE43-4632-9C56-B00A45E25CBD}" name="Column2041"/>
    <tableColumn id="2053" xr3:uid="{68DC5E2F-6F31-4933-805B-EC209529C5C4}" name="Column2042"/>
    <tableColumn id="2054" xr3:uid="{7417557B-4668-4803-9FF4-5B1FFB3DDC34}" name="Column2043"/>
    <tableColumn id="2055" xr3:uid="{00E7CC16-BB11-445A-8957-6C610F53000E}" name="Column2044"/>
    <tableColumn id="2056" xr3:uid="{25627D1B-855A-424E-8E13-1F0EB5C89391}" name="Column2045"/>
    <tableColumn id="2057" xr3:uid="{1327548A-FBB6-46F4-B2EC-CB3626EDA7FC}" name="Column2046"/>
    <tableColumn id="2058" xr3:uid="{9F45BE3A-7D4E-45CD-9F73-D1042003C72A}" name="Column2047"/>
    <tableColumn id="2059" xr3:uid="{6869E31B-D25A-4609-B014-6BE9532C8F67}" name="Column2048"/>
    <tableColumn id="2060" xr3:uid="{19687432-5734-4DC2-9D82-DF1EAAF1A80B}" name="Column2049"/>
    <tableColumn id="2061" xr3:uid="{65AEF2B6-F3E1-47DF-8DFD-0F6A4D754573}" name="Column2050"/>
    <tableColumn id="2062" xr3:uid="{764172A0-E55A-42C1-B368-A6CDB0E3AE9C}" name="Column2051"/>
    <tableColumn id="2063" xr3:uid="{B92248C2-D9C5-4326-8061-71F9916807EA}" name="Column2052"/>
    <tableColumn id="2064" xr3:uid="{9F27B77A-0A95-4371-99E1-7E02A7730606}" name="Column2053"/>
    <tableColumn id="2065" xr3:uid="{08666B6E-6436-4393-9139-521D7A622C3B}" name="Column2054"/>
    <tableColumn id="2066" xr3:uid="{7DD178EC-22B0-4002-89B7-4B2D08CEF244}" name="Column2055"/>
    <tableColumn id="2067" xr3:uid="{5BE8BD4D-A9D8-49B7-8C86-F9D68CF01465}" name="Column2056"/>
    <tableColumn id="2068" xr3:uid="{83669184-AA19-4522-8041-AA9AA49E094A}" name="Column2057"/>
    <tableColumn id="2069" xr3:uid="{B7BA2987-FC5C-4760-9669-BD7412ECAAA7}" name="Column2058"/>
    <tableColumn id="2070" xr3:uid="{4089A5BB-10B8-4878-9925-E94E1C6C6788}" name="Column2059"/>
    <tableColumn id="2071" xr3:uid="{9C603984-80C3-496D-B222-AD8028115727}" name="Column2060"/>
    <tableColumn id="2072" xr3:uid="{6AA5E08C-A6D8-4B36-9785-FCC732C90BA6}" name="Column2061"/>
    <tableColumn id="2073" xr3:uid="{412C4992-E2E6-4C4D-9FF9-9865BF9F9B85}" name="Column2062"/>
    <tableColumn id="2074" xr3:uid="{63A3493B-B162-4C5A-8605-B6666C9F648A}" name="Column2063"/>
    <tableColumn id="2075" xr3:uid="{86BEB2DC-A5E0-4D3C-A8D3-199B17C4F8F5}" name="Column2064"/>
    <tableColumn id="2076" xr3:uid="{9EE0206A-1088-42B5-89C4-EA2B53A9CD97}" name="Column2065"/>
    <tableColumn id="2077" xr3:uid="{748EC6A1-3822-4FA3-B885-E15F50C5B1FB}" name="Column2066"/>
    <tableColumn id="2078" xr3:uid="{85AC7605-7991-4A7F-9B43-1D2433138090}" name="Column2067"/>
    <tableColumn id="2079" xr3:uid="{5C116E28-EB76-440B-8579-D1A5667B4467}" name="Column2068"/>
    <tableColumn id="2080" xr3:uid="{D5D7F2D6-42EA-4CAB-BDA6-23CDE36A2815}" name="Column2069"/>
    <tableColumn id="2081" xr3:uid="{0717E997-00C1-467F-8887-CC4A272AFDCC}" name="Column2070"/>
    <tableColumn id="2082" xr3:uid="{76865394-BDBE-4CF0-9578-ECD900E9422A}" name="Column2071"/>
    <tableColumn id="2083" xr3:uid="{2690B1DC-FF01-4AFC-B782-8EE566C88A5C}" name="Column2072"/>
    <tableColumn id="2084" xr3:uid="{81909721-AB5B-41D5-A6B9-5258294E985F}" name="Column2073"/>
    <tableColumn id="2085" xr3:uid="{9DCB2895-BF1B-45DD-A345-C6F8CA7D8A89}" name="Column2074"/>
    <tableColumn id="2086" xr3:uid="{914D87CF-A838-439A-89B3-5BA85775E268}" name="Column2075"/>
    <tableColumn id="2087" xr3:uid="{3EF8A089-AF62-447D-8E25-96EB9B48A8F0}" name="Column2076"/>
    <tableColumn id="2088" xr3:uid="{27ABEDA6-1202-46C5-9CB4-E098D4755C81}" name="Column2077"/>
    <tableColumn id="2089" xr3:uid="{16512E77-4924-4BBE-AB8C-3478334373F4}" name="Column2078"/>
    <tableColumn id="2090" xr3:uid="{78EE6600-DFDC-44B8-BE64-6651CB3048C3}" name="Column2079"/>
    <tableColumn id="2091" xr3:uid="{792C365B-3276-417D-AD44-61AD56A3AC40}" name="Column2080"/>
    <tableColumn id="2092" xr3:uid="{956C7D6D-4E1D-4083-882E-F3D0ACC0D2F9}" name="Column2081"/>
    <tableColumn id="2093" xr3:uid="{EE7C7B10-2DD3-436D-B362-CC8A09350E94}" name="Column2082"/>
    <tableColumn id="2094" xr3:uid="{9B62A601-6C64-4CC3-B726-1D52E6AD81AD}" name="Column2083"/>
    <tableColumn id="2095" xr3:uid="{0EC0458D-24D7-4436-B68A-9AFDAE723FF5}" name="Column2084"/>
    <tableColumn id="2096" xr3:uid="{16831D5B-76AF-44AB-8890-0BFF7B7B2BD4}" name="Column2085"/>
    <tableColumn id="2097" xr3:uid="{AC0F82DA-7861-450A-944C-067FE4AE5F09}" name="Column2086"/>
    <tableColumn id="2098" xr3:uid="{214CCADB-F130-4445-B419-4914EA9CD585}" name="Column2087"/>
    <tableColumn id="2099" xr3:uid="{6FBCB84D-6C50-4064-A51A-161CB5F7C3F1}" name="Column2088"/>
    <tableColumn id="2100" xr3:uid="{BBEEBE40-8A25-4886-AE14-D0C0E1FB0CA1}" name="Column2089"/>
    <tableColumn id="2101" xr3:uid="{50130254-91E5-4912-A613-583234C41BE2}" name="Column2090"/>
    <tableColumn id="2102" xr3:uid="{0FBE2CA3-589D-4D67-A5CF-A2DF1465AFA6}" name="Column2091"/>
    <tableColumn id="2103" xr3:uid="{9F47214F-6948-4755-8268-834C4EE98006}" name="Column2092"/>
    <tableColumn id="2104" xr3:uid="{161F9D52-2690-43F3-9049-64150BC531FB}" name="Column2093"/>
    <tableColumn id="2105" xr3:uid="{D38F5735-B7AA-4F42-9741-3E65DAA349E7}" name="Column2094"/>
    <tableColumn id="2106" xr3:uid="{79EC1F09-B699-4919-9D4B-A69B4B1B6D15}" name="Column2095"/>
    <tableColumn id="2107" xr3:uid="{78314610-AF5C-47B8-BC10-B8F997208D26}" name="Column2096"/>
    <tableColumn id="2108" xr3:uid="{31F87E6C-082D-4D01-9B27-6FBCC6DAE8C5}" name="Column2097"/>
    <tableColumn id="2109" xr3:uid="{B5360EE1-F83D-4C76-AEDB-402DDBAA4A8F}" name="Column2098"/>
    <tableColumn id="2110" xr3:uid="{8A57B367-5185-41BA-8B87-5C4BF51682BC}" name="Column2099"/>
    <tableColumn id="2111" xr3:uid="{63E9D7F7-60B2-43F3-9E9F-3FC96BC9DA1F}" name="Column2100"/>
    <tableColumn id="2112" xr3:uid="{81E2469B-7B89-47D3-B438-BD3B29D0B6E8}" name="Column2101"/>
    <tableColumn id="2113" xr3:uid="{13EF43EA-55C4-4157-83C8-76868E045CDE}" name="Column2102"/>
    <tableColumn id="2114" xr3:uid="{F248C8BB-6E60-4317-8C86-611F3C400FED}" name="Column2103"/>
    <tableColumn id="2115" xr3:uid="{5267FF71-8E1D-45C9-8177-45B856C27276}" name="Column2104"/>
    <tableColumn id="2116" xr3:uid="{C86CDD1B-C345-47E1-B380-AA1A57C2A96F}" name="Column2105"/>
    <tableColumn id="2117" xr3:uid="{6D8E2474-5084-46DE-A6E8-91446C366E22}" name="Column2106"/>
    <tableColumn id="2118" xr3:uid="{2D55B10E-D3D2-4549-9765-1241FD5B7F41}" name="Column2107"/>
    <tableColumn id="2119" xr3:uid="{5AFB3783-2DF4-4B9B-B347-39881D9253C5}" name="Column2108"/>
    <tableColumn id="2120" xr3:uid="{965CB1FE-8013-4786-926E-8DE9F78EAE6E}" name="Column2109"/>
    <tableColumn id="2121" xr3:uid="{93BF3E93-988D-40FF-9B12-C9B591DC928C}" name="Column2110"/>
    <tableColumn id="2122" xr3:uid="{FE83EC85-8182-44D4-B2A9-3D87B69B2682}" name="Column2111"/>
    <tableColumn id="2123" xr3:uid="{9A2C5925-A7E7-42AD-BA93-A5DB5DE70472}" name="Column2112"/>
    <tableColumn id="2124" xr3:uid="{F452ED83-16EC-4EAE-BE3E-12E59CCCF597}" name="Column2113"/>
    <tableColumn id="2125" xr3:uid="{9D3FD792-4058-4FD2-AA32-44325ACD1E38}" name="Column2114"/>
    <tableColumn id="2126" xr3:uid="{FFF50576-C419-41FE-A997-56EB336CD3BA}" name="Column2115"/>
    <tableColumn id="2127" xr3:uid="{6423491F-CFC9-4373-92E1-2A32EC2F0F5E}" name="Column2116"/>
    <tableColumn id="2128" xr3:uid="{B6C77D05-A11F-4F18-A28D-DA8E93253005}" name="Column2117"/>
    <tableColumn id="2129" xr3:uid="{3D662547-96CB-45C0-8092-050133314041}" name="Column2118"/>
    <tableColumn id="2130" xr3:uid="{76DF935F-C2A9-450D-ADCE-AC427595A2D9}" name="Column2119"/>
    <tableColumn id="2131" xr3:uid="{32E4ACB4-EBF0-4FC7-B227-10E23182B5C2}" name="Column2120"/>
    <tableColumn id="2132" xr3:uid="{DC70E4B1-CBF5-4E11-9900-8DA887DD81F9}" name="Column2121"/>
    <tableColumn id="2133" xr3:uid="{B897D9EA-85DA-4742-8E15-37E22641848A}" name="Column2122"/>
    <tableColumn id="2134" xr3:uid="{C05457B5-04A8-4917-883B-07D9F95491F9}" name="Column2123"/>
    <tableColumn id="2135" xr3:uid="{921F25DE-4973-4034-9B87-FEE8747C5466}" name="Column2124"/>
    <tableColumn id="2136" xr3:uid="{E7CE96C3-DAE8-46D6-BBA8-80AF1619B51E}" name="Column2125"/>
    <tableColumn id="2137" xr3:uid="{05DC0E99-C86D-47F3-A5AF-9663AB7B079F}" name="Column2126"/>
    <tableColumn id="2138" xr3:uid="{9DEFA586-F18E-4856-82EB-AC8A5CE48DCA}" name="Column2127"/>
    <tableColumn id="2139" xr3:uid="{FD34D81B-EC58-4179-8AD7-85F55CC3FF5C}" name="Column2128"/>
    <tableColumn id="2140" xr3:uid="{FF767D72-C692-48C2-9088-F033656C3C9E}" name="Column2129"/>
    <tableColumn id="2141" xr3:uid="{639A0923-54DC-4E9F-9EB8-3DB0053D371B}" name="Column2130"/>
    <tableColumn id="2142" xr3:uid="{F7FBE756-1EF3-40FE-B2B3-369A2177AEAB}" name="Column2131"/>
    <tableColumn id="2143" xr3:uid="{F8553AC0-3D12-40C5-84AB-4FBED3209CEA}" name="Column2132"/>
    <tableColumn id="2144" xr3:uid="{FC7DEFC2-8B5B-4430-9EF9-C61FA1B639D4}" name="Column2133"/>
    <tableColumn id="2145" xr3:uid="{183B35C0-CD6D-4BEB-AC19-8934EBCCFED6}" name="Column2134"/>
    <tableColumn id="2146" xr3:uid="{9A782EE2-77D4-4F9C-9200-86A2360D8333}" name="Column2135"/>
    <tableColumn id="2147" xr3:uid="{03ECB4E9-79D7-4F04-BC4A-3C42CBCC60F4}" name="Column2136"/>
    <tableColumn id="2148" xr3:uid="{15F23896-93AF-4857-90BC-F415B35B3110}" name="Column2137"/>
    <tableColumn id="2149" xr3:uid="{577F2CCA-57AA-463B-92C7-7AC0055FA232}" name="Column2138"/>
    <tableColumn id="2150" xr3:uid="{1E6CF59E-A8E9-4987-94F8-C52029352840}" name="Column2139"/>
    <tableColumn id="2151" xr3:uid="{EA7414BA-461F-4F70-B5E8-D694860C417F}" name="Column2140"/>
    <tableColumn id="2152" xr3:uid="{3D624F61-BB42-4EFD-BB17-BCF48B382A55}" name="Column2141"/>
    <tableColumn id="2153" xr3:uid="{64EFA2C8-A778-415D-B584-0EBBAC5A27EE}" name="Column2142"/>
    <tableColumn id="2154" xr3:uid="{65005141-D991-4A88-83CD-15E49E953580}" name="Column2143"/>
    <tableColumn id="2155" xr3:uid="{7E69CD50-A62F-4F88-87C2-0598D5CE5945}" name="Column2144"/>
    <tableColumn id="2156" xr3:uid="{B378A757-3941-4A9A-A945-05114B550E8C}" name="Column2145"/>
    <tableColumn id="2157" xr3:uid="{9313D5F5-4287-42E7-ACE3-E8B0D96087AE}" name="Column2146"/>
    <tableColumn id="2158" xr3:uid="{F3CAC12C-4130-4188-8B22-DA491BF86C05}" name="Column2147"/>
    <tableColumn id="2159" xr3:uid="{872FE770-661F-4363-B953-DF5B89F30F11}" name="Column2148"/>
    <tableColumn id="2160" xr3:uid="{439B4569-C9AA-44BD-83A4-09A9467B3E39}" name="Column2149"/>
    <tableColumn id="2161" xr3:uid="{EEDE77E8-8CDA-4660-A1E6-9684A13A5189}" name="Column2150"/>
    <tableColumn id="2162" xr3:uid="{FEE964EB-5FC3-47C2-9CA6-67CBF3E1882E}" name="Column2151"/>
    <tableColumn id="2163" xr3:uid="{33F786A0-FDA5-4CC9-8A39-A31B71397C9E}" name="Column2152"/>
    <tableColumn id="2164" xr3:uid="{6BD76F81-D626-4510-A9D0-9F5813B34EC8}" name="Column2153"/>
    <tableColumn id="2165" xr3:uid="{6D4D6919-1472-48A2-8405-73C6424E8954}" name="Column2154"/>
    <tableColumn id="2166" xr3:uid="{5AF24E64-100F-4119-B8A9-89C75E4C8027}" name="Column2155"/>
    <tableColumn id="2167" xr3:uid="{F31F166E-CB19-4640-8F92-25A0099A7D9F}" name="Column2156"/>
    <tableColumn id="2168" xr3:uid="{22FA65E1-F6B8-4AE6-8093-9FC53CA615ED}" name="Column2157"/>
    <tableColumn id="2169" xr3:uid="{6B6ACA43-9AC3-4A4A-9F6A-C52E91A7F608}" name="Column2158"/>
    <tableColumn id="2170" xr3:uid="{B77646ED-DED5-4BAA-AABC-43A3301DECF6}" name="Column2159"/>
    <tableColumn id="2171" xr3:uid="{EEDE5F79-084D-4C93-AF66-D7D29EAC4558}" name="Column2160"/>
    <tableColumn id="2172" xr3:uid="{732A526D-63BF-45B5-B24A-5F21384925E3}" name="Column2161"/>
    <tableColumn id="2173" xr3:uid="{1915C14B-DC89-40DD-B22E-E40BC6AFE210}" name="Column2162"/>
    <tableColumn id="2174" xr3:uid="{09D4C1A2-ACF6-41FC-B166-F1BC889F79AF}" name="Column2163"/>
    <tableColumn id="2175" xr3:uid="{0AE11531-7FEB-4BAC-911F-133ABF6D07DA}" name="Column2164"/>
    <tableColumn id="2176" xr3:uid="{8103F913-9C5D-4842-BD31-EBEBE15C8DD0}" name="Column2165"/>
    <tableColumn id="2177" xr3:uid="{9EB6FCF1-AFE7-49CA-BB55-AFBAFC51F11F}" name="Column2166"/>
    <tableColumn id="2178" xr3:uid="{CDE008C9-6574-4698-BCC0-CE6ED629B0D7}" name="Column2167"/>
    <tableColumn id="2179" xr3:uid="{B0244B89-92E6-4BC6-96ED-5D4E6C38D98E}" name="Column2168"/>
    <tableColumn id="2180" xr3:uid="{C2C34C3B-160B-47E0-B080-9E802DB57330}" name="Column2169"/>
    <tableColumn id="2181" xr3:uid="{E6C2A331-182B-4C6F-AD97-A9E2D2101E4E}" name="Column2170"/>
    <tableColumn id="2182" xr3:uid="{634C6F4C-F50D-4C49-B8EE-0A16DC3B27DE}" name="Column2171"/>
    <tableColumn id="2183" xr3:uid="{A396A45C-EA38-47C5-9BDA-B2E3EF7F6C53}" name="Column2172"/>
    <tableColumn id="2184" xr3:uid="{A2776839-3ECF-4B83-AB72-74C55D80E5D9}" name="Column2173"/>
    <tableColumn id="2185" xr3:uid="{C68CE868-F0F4-40DD-A761-B032E5A2F660}" name="Column2174"/>
    <tableColumn id="2186" xr3:uid="{41A3D7D9-D326-4ED0-8926-9CEC0A26BCB2}" name="Column2175"/>
    <tableColumn id="2187" xr3:uid="{242E081A-5FEB-493B-8DAE-F29C5B0DB043}" name="Column2176"/>
    <tableColumn id="2188" xr3:uid="{FE8D803F-F79C-47AD-9617-BBED8AF08932}" name="Column2177"/>
    <tableColumn id="2189" xr3:uid="{8A5AD086-217B-4DD1-A310-5E8F4B1C8685}" name="Column2178"/>
    <tableColumn id="2190" xr3:uid="{ADAD83CD-9047-4464-B5B2-8029CCF7ECC4}" name="Column2179"/>
    <tableColumn id="2191" xr3:uid="{8E413CAC-C5D5-43A8-B9E6-43102D5D1D6B}" name="Column2180"/>
    <tableColumn id="2192" xr3:uid="{CCD3D559-5DB5-45C6-A452-A634F19B0F7F}" name="Column2181"/>
    <tableColumn id="2193" xr3:uid="{78B0A676-9E09-405E-A98D-F329ADCA7D48}" name="Column2182"/>
    <tableColumn id="2194" xr3:uid="{55AE1F1C-D9F0-40C2-AF66-7CD1413CE718}" name="Column2183"/>
    <tableColumn id="2195" xr3:uid="{4B722E55-ECD9-4413-BD09-E3E2793931CA}" name="Column2184"/>
    <tableColumn id="2196" xr3:uid="{93AB9297-5FD5-4844-B2B3-89B5D90D242B}" name="Column2185"/>
    <tableColumn id="2197" xr3:uid="{F434B3EB-8C60-4CD0-8CF4-ACA80FC452E0}" name="Column2186"/>
    <tableColumn id="2198" xr3:uid="{3896E121-3803-495B-9200-0A33D2712197}" name="Column2187"/>
    <tableColumn id="2199" xr3:uid="{0619D12D-8EDA-4BDA-9461-1ECD2B3D7930}" name="Column2188"/>
    <tableColumn id="2200" xr3:uid="{95B321DD-FA92-4897-8C5D-134375555F85}" name="Column2189"/>
    <tableColumn id="2201" xr3:uid="{8312AEF8-1C7E-4DF2-B8E2-2038FD9875D1}" name="Column2190"/>
    <tableColumn id="2202" xr3:uid="{57519760-EA00-43CA-A96E-5BCF438BA944}" name="Column2191"/>
    <tableColumn id="2203" xr3:uid="{A73513B1-0E93-4FC6-8046-73077897558A}" name="Column2192"/>
    <tableColumn id="2204" xr3:uid="{88D7E7EE-FCBA-4C67-B179-1F68520ED844}" name="Column2193"/>
    <tableColumn id="2205" xr3:uid="{C8C58D69-6895-46AC-88D5-9D09C9AD4716}" name="Column2194"/>
    <tableColumn id="2206" xr3:uid="{DF6C096C-47FD-432B-9590-BC2E08391040}" name="Column2195"/>
    <tableColumn id="2207" xr3:uid="{5F8DE43C-CB52-4AD6-990A-02D59518AE74}" name="Column2196"/>
    <tableColumn id="2208" xr3:uid="{83B33D6A-D702-4254-9467-AC307B34BD3F}" name="Column2197"/>
    <tableColumn id="2209" xr3:uid="{9D88C584-8D18-4494-846A-84A0B041F5AC}" name="Column2198"/>
    <tableColumn id="2210" xr3:uid="{4B573942-2633-4F5A-86A5-4AB1A1F7E967}" name="Column2199"/>
    <tableColumn id="2211" xr3:uid="{102E82A1-EFED-42B4-8FF0-40DE0EE54A4A}" name="Column2200"/>
    <tableColumn id="2212" xr3:uid="{1FC234AA-FEB5-4C34-B268-C82E89EE7F20}" name="Column2201"/>
    <tableColumn id="2213" xr3:uid="{7DBAF750-D258-4D96-8762-BF2EE01B1521}" name="Column2202"/>
    <tableColumn id="2214" xr3:uid="{3F10B528-3479-441B-9047-6601E380B37B}" name="Column2203"/>
    <tableColumn id="2215" xr3:uid="{820F5980-3864-423B-B9FB-55E8A327538A}" name="Column2204"/>
    <tableColumn id="2216" xr3:uid="{47DA8391-52C9-4FF4-88C6-9E2B5B064EAB}" name="Column2205"/>
    <tableColumn id="2217" xr3:uid="{A4074ACC-196F-49FF-A41E-E7FCE60CB2B1}" name="Column2206"/>
    <tableColumn id="2218" xr3:uid="{A4AD659A-7A06-4760-9383-C8A9D58BBEE6}" name="Column2207"/>
    <tableColumn id="2219" xr3:uid="{3D20A173-9C9F-4941-B683-E991B227FCB1}" name="Column2208"/>
    <tableColumn id="2220" xr3:uid="{7CE2150A-2672-4056-B20C-3A5044EF1BAB}" name="Column2209"/>
    <tableColumn id="2221" xr3:uid="{0D77BB11-7CD1-4F91-B7EC-4FDF53B4492A}" name="Column2210"/>
    <tableColumn id="2222" xr3:uid="{37E3270A-F40A-4AE1-B05C-0C3E6468A8FB}" name="Column2211"/>
    <tableColumn id="2223" xr3:uid="{E4AF1703-63E8-419F-B596-F0DA4BAC1F5D}" name="Column2212"/>
    <tableColumn id="2224" xr3:uid="{320E4C21-EE39-4867-B868-7D0C7105D240}" name="Column2213"/>
    <tableColumn id="2225" xr3:uid="{08931301-9CAA-4D3D-BAA4-745267427686}" name="Column2214"/>
    <tableColumn id="2226" xr3:uid="{D0F9A454-A317-441D-A0F5-BB2AFCE9ABB0}" name="Column2215"/>
    <tableColumn id="2227" xr3:uid="{964A1452-6A41-4687-9B76-B89434091895}" name="Column2216"/>
    <tableColumn id="2228" xr3:uid="{ECFBCB7A-5A53-4DBE-BDEB-902F0B948DD0}" name="Column2217"/>
    <tableColumn id="2229" xr3:uid="{E67B58CF-4AB0-4375-A410-4C6981614DC3}" name="Column2218"/>
    <tableColumn id="2230" xr3:uid="{913B91D3-2962-4BEC-85B5-0347072C2A39}" name="Column2219"/>
    <tableColumn id="2231" xr3:uid="{F66B2CD7-ABC5-4D17-A34C-C29F3E6D510A}" name="Column2220"/>
    <tableColumn id="2232" xr3:uid="{907C5BD4-BBD4-44FD-92D0-6FF70A22ADBF}" name="Column2221"/>
    <tableColumn id="2233" xr3:uid="{E1919A55-9D64-4FD2-AEC1-843C0A4E69C2}" name="Column2222"/>
    <tableColumn id="2234" xr3:uid="{64F51890-DE83-4101-8A27-C48C8540A735}" name="Column2223"/>
    <tableColumn id="2235" xr3:uid="{9D8A19B3-9679-41EE-BEF2-C4D64F72BCB1}" name="Column2224"/>
    <tableColumn id="2236" xr3:uid="{B1CEF523-23E9-4378-9A37-5604B40D9705}" name="Column2225"/>
    <tableColumn id="2237" xr3:uid="{CE04102C-7197-4AC9-AFF3-D678C3C401D9}" name="Column2226"/>
    <tableColumn id="2238" xr3:uid="{B939CB61-5FA0-48AA-A6FD-FC578AEF43C5}" name="Column2227"/>
    <tableColumn id="2239" xr3:uid="{BF750AFD-8D80-4105-89E1-DDF900755D25}" name="Column2228"/>
    <tableColumn id="2240" xr3:uid="{AA79ED37-BFD0-4BDC-8853-40F05A1F87F0}" name="Column2229"/>
    <tableColumn id="2241" xr3:uid="{EB2B957D-6B64-4B48-8001-95AF66A2AA79}" name="Column2230"/>
    <tableColumn id="2242" xr3:uid="{C75FDEAB-0362-49AE-A2E0-A8A7048B9CB4}" name="Column2231"/>
    <tableColumn id="2243" xr3:uid="{D320BCDF-1710-403A-8CFC-D0D6828BE8C8}" name="Column2232"/>
    <tableColumn id="2244" xr3:uid="{0734E9D4-502E-433A-97DB-FF52998077C2}" name="Column2233"/>
    <tableColumn id="2245" xr3:uid="{DEB7FE07-D83D-4B1A-82BA-95DA6234A72B}" name="Column2234"/>
    <tableColumn id="2246" xr3:uid="{C29C8D96-6507-407A-AE7F-63571E251F8F}" name="Column2235"/>
    <tableColumn id="2247" xr3:uid="{3D7B871A-FE3A-482A-8761-20B07170CC95}" name="Column2236"/>
    <tableColumn id="2248" xr3:uid="{DD287C8E-1FE3-40F5-9E13-63F45AA3FDBD}" name="Column2237"/>
    <tableColumn id="2249" xr3:uid="{25F462B5-9683-4A20-8756-06791FA16327}" name="Column2238"/>
    <tableColumn id="2250" xr3:uid="{2AA721FC-6C5C-48A9-BE53-EF97D32EB3D7}" name="Column2239"/>
    <tableColumn id="2251" xr3:uid="{7C6B25B6-D0B4-4BCB-9F73-D58EBC53A55A}" name="Column2240"/>
    <tableColumn id="2252" xr3:uid="{AB5923B1-B4E0-4E32-B877-2B4B5DEA1D8B}" name="Column2241"/>
    <tableColumn id="2253" xr3:uid="{6D1B01A3-B1A3-4A32-A430-EE2C91613D17}" name="Column2242"/>
    <tableColumn id="2254" xr3:uid="{4FA81962-2987-44AC-9A80-D67733C52C08}" name="Column2243"/>
    <tableColumn id="2255" xr3:uid="{BC972537-CF01-4973-97D4-8863E5EBAB61}" name="Column2244"/>
    <tableColumn id="2256" xr3:uid="{1C442DD9-DFDC-444D-88AC-8EAA8179D542}" name="Column2245"/>
    <tableColumn id="2257" xr3:uid="{FC6EA08D-B85F-4E50-936F-53CE9E3231BA}" name="Column2246"/>
    <tableColumn id="2258" xr3:uid="{CB24452C-816A-4DAA-965F-3C84A6CE71D0}" name="Column2247"/>
    <tableColumn id="2259" xr3:uid="{765328D5-EBF7-47AA-A559-783620126D58}" name="Column2248"/>
    <tableColumn id="2260" xr3:uid="{91C44955-1478-47A8-B684-E66AE26611A8}" name="Column2249"/>
    <tableColumn id="2261" xr3:uid="{2866EF53-42E0-47D2-B44A-4E762D7B16D5}" name="Column2250"/>
    <tableColumn id="2262" xr3:uid="{3076132F-F071-4FF4-AACD-FE11688AC03C}" name="Column2251"/>
    <tableColumn id="2263" xr3:uid="{661413ED-1922-4E15-882B-6CE3108EA0C2}" name="Column2252"/>
    <tableColumn id="2264" xr3:uid="{6C34B62B-D11C-449C-85BB-295AEE29BE78}" name="Column2253"/>
    <tableColumn id="2265" xr3:uid="{73C11762-2FF1-41AA-AC31-8F8EEDF6B195}" name="Column2254"/>
    <tableColumn id="2266" xr3:uid="{CE9D0F90-D95E-4529-81A7-4C2862AC52DC}" name="Column2255"/>
    <tableColumn id="2267" xr3:uid="{77B4691A-D8E8-4E06-9124-414F8B2ED5F5}" name="Column2256"/>
    <tableColumn id="2268" xr3:uid="{59C16AD8-9AC7-40D5-8984-EAAC09B01975}" name="Column2257"/>
    <tableColumn id="2269" xr3:uid="{A4E99505-F089-41A1-8E44-2D3F9865E62C}" name="Column2258"/>
    <tableColumn id="2270" xr3:uid="{2EA8B2F6-7790-40AE-852B-C86EB5ED031F}" name="Column2259"/>
    <tableColumn id="2271" xr3:uid="{69F40F08-A8F9-4173-BA5E-42900245104C}" name="Column2260"/>
    <tableColumn id="2272" xr3:uid="{A78F851B-F046-476B-B59B-34537F17EFBC}" name="Column2261"/>
    <tableColumn id="2273" xr3:uid="{AB86102B-7696-4D6C-8EFF-7346FB7ADCEE}" name="Column2262"/>
    <tableColumn id="2274" xr3:uid="{3263F8E7-D603-4290-946C-30085DDD2EF7}" name="Column2263"/>
    <tableColumn id="2275" xr3:uid="{6415FB17-A5F7-4DE2-A7D0-783FC2C75354}" name="Column2264"/>
    <tableColumn id="2276" xr3:uid="{37C22413-5B67-438C-A839-FC558914E9AF}" name="Column2265"/>
    <tableColumn id="2277" xr3:uid="{427F6094-F039-4CA4-B239-6D4459C87EFD}" name="Column2266"/>
    <tableColumn id="2278" xr3:uid="{1C21B60B-9330-4176-8F41-A71EA2FC0BAE}" name="Column2267"/>
    <tableColumn id="2279" xr3:uid="{868AB272-23F0-4EFF-A58A-1A00F5D54924}" name="Column2268"/>
    <tableColumn id="2280" xr3:uid="{8918B49C-E23A-4D9D-ABDA-E1C59C37A1DD}" name="Column2269"/>
    <tableColumn id="2281" xr3:uid="{D4D7A696-11BB-4CC2-BAC3-D075BE5D1C63}" name="Column2270"/>
    <tableColumn id="2282" xr3:uid="{F4200A6E-488D-42BD-8B28-3D38C78142D2}" name="Column2271"/>
    <tableColumn id="2283" xr3:uid="{B5C6E478-AB37-47E3-B65B-F485C7EA3125}" name="Column2272"/>
    <tableColumn id="2284" xr3:uid="{B3F9D816-5A36-4254-AF08-6C7E2108BC68}" name="Column2273"/>
    <tableColumn id="2285" xr3:uid="{9FCC2894-6007-41A8-B701-85D5903683BE}" name="Column2274"/>
    <tableColumn id="2286" xr3:uid="{C6AFDBCC-A2CD-4D20-AFB9-C388881FD307}" name="Column2275"/>
    <tableColumn id="2287" xr3:uid="{1B0857C6-A771-4AD8-9FE3-F0BD186A774F}" name="Column2276"/>
    <tableColumn id="2288" xr3:uid="{0C136590-94DF-4345-A5B3-D21073F19CEA}" name="Column2277"/>
    <tableColumn id="2289" xr3:uid="{C36ADD3B-742A-4A55-A0E9-446541419EC7}" name="Column2278"/>
    <tableColumn id="2290" xr3:uid="{721D4CED-84FE-4D43-954D-215F478E44A4}" name="Column2279"/>
    <tableColumn id="2291" xr3:uid="{E0AF387F-C5C5-42FD-AC27-67E462AC36BA}" name="Column2280"/>
    <tableColumn id="2292" xr3:uid="{B21E0C9F-422C-4296-8CC3-44D92FF85C56}" name="Column2281"/>
    <tableColumn id="2293" xr3:uid="{0C42434D-F3D6-40F7-B84E-CB3E95D22945}" name="Column2282"/>
    <tableColumn id="2294" xr3:uid="{38B86FD2-1BDE-489D-AA31-58927E1F8232}" name="Column2283"/>
    <tableColumn id="2295" xr3:uid="{5C525DE2-D115-4ADF-A2D7-B312F05098D5}" name="Column2284"/>
    <tableColumn id="2296" xr3:uid="{3045BE81-5F3F-4BE6-A182-4054CFC7BDAD}" name="Column2285"/>
    <tableColumn id="2297" xr3:uid="{282D3C8B-9A95-4368-A261-BFBEFE4BA9FE}" name="Column2286"/>
    <tableColumn id="2298" xr3:uid="{5BD936B0-4FAC-4827-96B8-41D7A8634A54}" name="Column2287"/>
    <tableColumn id="2299" xr3:uid="{D068BB8E-C22D-41D0-B77E-82CE0568DDB6}" name="Column2288"/>
    <tableColumn id="2300" xr3:uid="{223B348A-9547-480C-BD00-53EEFB49906D}" name="Column2289"/>
    <tableColumn id="2301" xr3:uid="{8E55ED7C-6AA6-42F2-90CC-9B80E0D5EB66}" name="Column2290"/>
    <tableColumn id="2302" xr3:uid="{4B1657A1-CB53-461D-8E76-C75C0C4073B9}" name="Column2291"/>
    <tableColumn id="2303" xr3:uid="{C4B0116B-942F-4345-9A56-11184941C8CA}" name="Column2292"/>
    <tableColumn id="2304" xr3:uid="{AB2E31AC-66EF-46C0-80A5-60612C6A6ABE}" name="Column2293"/>
    <tableColumn id="2305" xr3:uid="{F7399291-954C-42E7-A018-E4762832D1B7}" name="Column2294"/>
    <tableColumn id="2306" xr3:uid="{ADD9D158-4741-4804-876C-C8150B81C945}" name="Column2295"/>
    <tableColumn id="2307" xr3:uid="{ECD95737-6AC5-4C3E-8216-2860064DE6C0}" name="Column2296"/>
    <tableColumn id="2308" xr3:uid="{C11B82E4-E7A0-4699-8F85-FD3A542DB765}" name="Column2297"/>
    <tableColumn id="2309" xr3:uid="{C2A4131B-6FE3-4690-92E3-34C1CD105F14}" name="Column2298"/>
    <tableColumn id="2310" xr3:uid="{CB7E69F7-670A-4ED0-AAF2-A66D64B29466}" name="Column2299"/>
    <tableColumn id="2311" xr3:uid="{48284FFA-A817-4E70-922D-C91B87404FA3}" name="Column2300"/>
    <tableColumn id="2312" xr3:uid="{C416E67E-06B4-45F2-946E-C3D8BA3A4C8D}" name="Column2301"/>
    <tableColumn id="2313" xr3:uid="{1D68F3BB-FA7B-4114-93FB-10E7FA62DB93}" name="Column2302"/>
    <tableColumn id="2314" xr3:uid="{7928AA29-7433-4B6F-9B3C-7362EF7F096F}" name="Column2303"/>
    <tableColumn id="2315" xr3:uid="{37D69036-AA4E-43D3-9B93-29D5090FB64F}" name="Column2304"/>
    <tableColumn id="2316" xr3:uid="{1BFF1112-7FFE-4197-9BCB-FCE3DA1D93AA}" name="Column2305"/>
    <tableColumn id="2317" xr3:uid="{18986EF4-AF0C-4997-AF63-C63C9B6A4B48}" name="Column2306"/>
    <tableColumn id="2318" xr3:uid="{A2ABE573-A0EB-4079-AA23-0C71964F90C9}" name="Column2307"/>
    <tableColumn id="2319" xr3:uid="{1BDF75CD-431B-495B-BE3D-8E1DD187CD65}" name="Column2308"/>
    <tableColumn id="2320" xr3:uid="{14E731A1-0E4B-4377-8CC1-863DEFB2E297}" name="Column2309"/>
    <tableColumn id="2321" xr3:uid="{7B1AAD2C-EF17-4BC7-BAAF-6697DCE83228}" name="Column2310"/>
    <tableColumn id="2322" xr3:uid="{54163C50-AB23-4B80-B933-861B6BFC595A}" name="Column2311"/>
    <tableColumn id="2323" xr3:uid="{91BFAB5F-2EFA-47F9-8C14-6D5DC451E3A3}" name="Column2312"/>
    <tableColumn id="2324" xr3:uid="{E24B4D50-2899-4F84-BEDA-8B743C872CE7}" name="Column2313"/>
    <tableColumn id="2325" xr3:uid="{46F8D372-CD15-4A07-B5F2-7A02A4C0653D}" name="Column2314"/>
    <tableColumn id="2326" xr3:uid="{4A4CDBE5-9CA4-450F-A15F-ABBEDF23FCC3}" name="Column2315"/>
    <tableColumn id="2327" xr3:uid="{94DD5B59-8D1D-4D01-8BBF-1F3C5FDF3136}" name="Column2316"/>
    <tableColumn id="2328" xr3:uid="{F8D29F8D-1D8C-4E04-B489-696B2B2D76CD}" name="Column2317"/>
    <tableColumn id="2329" xr3:uid="{46BB13C9-AA6D-4654-AB47-6AA3CB8D592C}" name="Column2318"/>
    <tableColumn id="2330" xr3:uid="{BC68229B-4E93-4580-8EEB-FF3401AF8131}" name="Column2319"/>
    <tableColumn id="2331" xr3:uid="{34CD0292-B4BB-4462-ACE9-9F6D4764DF7F}" name="Column2320"/>
    <tableColumn id="2332" xr3:uid="{62765C19-4E17-45D3-A9B4-CA5A5378BE9B}" name="Column2321"/>
    <tableColumn id="2333" xr3:uid="{C106F438-4BEF-4464-8EAD-DDE7A05FB89D}" name="Column2322"/>
    <tableColumn id="2334" xr3:uid="{2B56AE70-0E24-40BD-B7A3-ADFB40D0E2C0}" name="Column2323"/>
    <tableColumn id="2335" xr3:uid="{D0D0A7E3-51D0-4B47-AA46-BBB920EE8127}" name="Column2324"/>
    <tableColumn id="2336" xr3:uid="{38A3801F-CD84-4C16-A2AD-6C08557EBE5A}" name="Column2325"/>
    <tableColumn id="2337" xr3:uid="{69869221-71AD-4BB7-B49F-C99E6EDD6542}" name="Column2326"/>
    <tableColumn id="2338" xr3:uid="{C6CF684C-F72D-4C7E-A4A8-E17CC56D0598}" name="Column2327"/>
    <tableColumn id="2339" xr3:uid="{98FA56FE-BAA0-4752-91BD-4758243D66A7}" name="Column2328"/>
    <tableColumn id="2340" xr3:uid="{2A864C1A-E44D-467A-91A6-1372CA1D0DA8}" name="Column2329"/>
    <tableColumn id="2341" xr3:uid="{544C5154-FAE3-4499-A107-3DEF2FCFE23F}" name="Column2330"/>
    <tableColumn id="2342" xr3:uid="{7F9F32AA-A647-426C-9029-7A2FF75C8A6C}" name="Column2331"/>
    <tableColumn id="2343" xr3:uid="{D2467A58-6489-401F-9EF3-D9D22688A3E8}" name="Column2332"/>
    <tableColumn id="2344" xr3:uid="{3AB32C4B-2C32-471F-9E5F-2E2BF3057D48}" name="Column2333"/>
    <tableColumn id="2345" xr3:uid="{2B1593E3-1542-4E6A-9A4D-D8D0FA1CE5A2}" name="Column2334"/>
    <tableColumn id="2346" xr3:uid="{859744EF-0C34-4F02-A5CF-E48EC2403A40}" name="Column2335"/>
    <tableColumn id="2347" xr3:uid="{641D9AEA-6E2A-4122-AA9E-3DB02E936EEF}" name="Column2336"/>
    <tableColumn id="2348" xr3:uid="{3047D004-6681-4EEA-A834-AE0D49448A62}" name="Column2337"/>
    <tableColumn id="2349" xr3:uid="{BB4396EF-60A1-48E8-A355-8B4D87ECDDB3}" name="Column2338"/>
    <tableColumn id="2350" xr3:uid="{1A6F3D35-9DDE-47B6-886F-B567A6B4D584}" name="Column2339"/>
    <tableColumn id="2351" xr3:uid="{B682F9C0-AA72-47F8-BF93-32401D5F9E0C}" name="Column2340"/>
    <tableColumn id="2352" xr3:uid="{0086AEF4-9074-4DE3-B92F-9B9D1E879823}" name="Column2341"/>
    <tableColumn id="2353" xr3:uid="{A9B93935-C784-42CE-B585-2B7ABC74B993}" name="Column2342"/>
    <tableColumn id="2354" xr3:uid="{1BD74581-DF1E-4CAA-8FC3-9B17BB43FA56}" name="Column2343"/>
    <tableColumn id="2355" xr3:uid="{874926D1-17A8-4AFF-8EC7-8686FFF93717}" name="Column2344"/>
    <tableColumn id="2356" xr3:uid="{DFCADA28-3509-4027-973C-47BBA69AB4BA}" name="Column2345"/>
    <tableColumn id="2357" xr3:uid="{BE4C0D6C-6AEC-461E-87F9-47AE60DC5AC5}" name="Column2346"/>
    <tableColumn id="2358" xr3:uid="{D650D6D9-98F8-4501-BC2D-1EBF5D38593D}" name="Column2347"/>
    <tableColumn id="2359" xr3:uid="{32C7E533-4E41-4C5B-87FC-D4CD8C5444C6}" name="Column2348"/>
    <tableColumn id="2360" xr3:uid="{2DED9B97-0831-4EBB-A781-FDC348D833BA}" name="Column2349"/>
    <tableColumn id="2361" xr3:uid="{28C71C19-690D-4FDF-9B53-8705C5B462A6}" name="Column2350"/>
    <tableColumn id="2362" xr3:uid="{8AD33DD5-A2E2-4A34-8F61-3EE6E5421BB8}" name="Column2351"/>
    <tableColumn id="2363" xr3:uid="{F7394AD9-29AC-45FB-A5E7-203EBA111D23}" name="Column2352"/>
    <tableColumn id="2364" xr3:uid="{10522555-CE62-4864-A34D-3225B47178D1}" name="Column2353"/>
    <tableColumn id="2365" xr3:uid="{D894BCBB-6FAE-4F0A-8A63-26394A1473CD}" name="Column2354"/>
    <tableColumn id="2366" xr3:uid="{D352B07F-1293-4074-8E98-FF970A330979}" name="Column2355"/>
    <tableColumn id="2367" xr3:uid="{D7EBA91D-DA6B-4FCE-BD4D-6DDE47AD5AA3}" name="Column2356"/>
    <tableColumn id="2368" xr3:uid="{98641713-4DB4-4E43-831A-50368F2ACAE0}" name="Column2357"/>
    <tableColumn id="2369" xr3:uid="{7AA9472F-B1B7-40A2-8E5D-011AEC2C4A77}" name="Column2358"/>
    <tableColumn id="2370" xr3:uid="{9CF497FE-8112-4EE3-8738-4E76BBDB5A7E}" name="Column2359"/>
    <tableColumn id="2371" xr3:uid="{8F6F9DA3-ADB1-4C77-A965-B5597AE76C96}" name="Column2360"/>
    <tableColumn id="2372" xr3:uid="{C72FEDF5-D013-4C88-875F-D680082745CB}" name="Column2361"/>
    <tableColumn id="2373" xr3:uid="{2A4752FD-D967-4428-8845-0DD533681E03}" name="Column2362"/>
    <tableColumn id="2374" xr3:uid="{9562F276-A1ED-4C27-99D7-EC9B18014F8A}" name="Column2363"/>
    <tableColumn id="2375" xr3:uid="{00C99616-DB80-4FA0-B1A3-0222CEF8EE47}" name="Column2364"/>
    <tableColumn id="2376" xr3:uid="{D589A31E-A8EB-4ABE-867A-688C8C5AB4F8}" name="Column2365"/>
    <tableColumn id="2377" xr3:uid="{E5D7F433-DA8E-4FAE-B1BB-FCC1CCF87894}" name="Column2366"/>
    <tableColumn id="2378" xr3:uid="{0324783C-7D0F-4A46-8F30-20123CEE529E}" name="Column2367"/>
    <tableColumn id="2379" xr3:uid="{131A2F8F-4F04-49C6-835E-14BA7C6C0E30}" name="Column2368"/>
    <tableColumn id="2380" xr3:uid="{3E3E5A33-4BEF-4759-8826-EC0BABE4CD0C}" name="Column2369"/>
    <tableColumn id="2381" xr3:uid="{7BCE1372-E98B-45A6-A8E3-F72EA948D5B8}" name="Column2370"/>
    <tableColumn id="2382" xr3:uid="{6AB3A023-DDC6-4D32-879F-4DD363C5D9AF}" name="Column2371"/>
    <tableColumn id="2383" xr3:uid="{6D0097A1-FE7A-46A3-9E2E-B515DA1D6BD4}" name="Column2372"/>
    <tableColumn id="2384" xr3:uid="{41CF035C-9398-457F-B507-A68FC6FE9D04}" name="Column2373"/>
    <tableColumn id="2385" xr3:uid="{3C4EED39-9773-410C-B453-7C8BCDEE0D37}" name="Column2374"/>
    <tableColumn id="2386" xr3:uid="{D86F8329-02F0-42E8-9A18-950216A9D679}" name="Column2375"/>
    <tableColumn id="2387" xr3:uid="{0A3923D0-1373-4771-B4A1-5EABFEE0E99A}" name="Column2376"/>
    <tableColumn id="2388" xr3:uid="{9F9AF908-9F58-4168-83C6-7404DFD11599}" name="Column2377"/>
    <tableColumn id="2389" xr3:uid="{B19C97A8-AAD1-4FE4-A26B-B538190D3570}" name="Column2378"/>
    <tableColumn id="2390" xr3:uid="{9D06D675-37DE-4596-928C-DA8A36457320}" name="Column2379"/>
    <tableColumn id="2391" xr3:uid="{3006D29E-169F-4A4A-9252-60A0D2507235}" name="Column2380"/>
    <tableColumn id="2392" xr3:uid="{76E5C349-5ECB-4D71-AF46-8C8D3FAF0ACC}" name="Column2381"/>
    <tableColumn id="2393" xr3:uid="{D46CB6BA-39A4-4D62-AB38-E63E1EA72939}" name="Column2382"/>
    <tableColumn id="2394" xr3:uid="{044BA35F-2101-4650-9045-585048D164F3}" name="Column2383"/>
    <tableColumn id="2395" xr3:uid="{AF7972E0-6EF2-402C-9B0A-D753BED90651}" name="Column2384"/>
    <tableColumn id="2396" xr3:uid="{D1DBB2A1-211E-4DA1-A6EC-FC02CB2961F3}" name="Column2385"/>
    <tableColumn id="2397" xr3:uid="{A17C8BE4-ACB5-4FAF-8B79-3E741EAF4DC9}" name="Column2386"/>
    <tableColumn id="2398" xr3:uid="{4437CE7D-5A5E-4BDF-A9BD-B97162D7A7B7}" name="Column2387"/>
    <tableColumn id="2399" xr3:uid="{D61B48DF-5059-4755-BF48-C65FB53214C4}" name="Column2388"/>
    <tableColumn id="2400" xr3:uid="{33339C62-AA88-4586-A998-B90E332DAB84}" name="Column2389"/>
    <tableColumn id="2401" xr3:uid="{24025B9D-EDF4-4C70-8872-FB072C904D03}" name="Column2390"/>
    <tableColumn id="2402" xr3:uid="{455F1DF6-AE47-4D05-A165-7EFC9E510504}" name="Column2391"/>
    <tableColumn id="2403" xr3:uid="{84522B89-797A-4313-8ADD-252AE5BB0E09}" name="Column2392"/>
    <tableColumn id="2404" xr3:uid="{D33675B0-1751-4B56-AD60-7EB817FB8A6F}" name="Column2393"/>
    <tableColumn id="2405" xr3:uid="{CEDD6D9F-22B6-468A-889D-1B452B1747A7}" name="Column2394"/>
    <tableColumn id="2406" xr3:uid="{B4D43FAC-2056-4B27-98B8-23143CC0E80A}" name="Column2395"/>
    <tableColumn id="2407" xr3:uid="{C673A627-5BE0-437D-B79C-D8ED8749AFCA}" name="Column2396"/>
    <tableColumn id="2408" xr3:uid="{12113E05-9EB3-43CC-B6BD-C3961FD78FD9}" name="Column2397"/>
    <tableColumn id="2409" xr3:uid="{FE178DAF-7981-4711-9703-52CDB4053936}" name="Column2398"/>
    <tableColumn id="2410" xr3:uid="{6192DAD1-E699-4FEF-9E57-200DF2D4504B}" name="Column2399"/>
    <tableColumn id="2411" xr3:uid="{E144B5B2-B81B-40B7-BD5E-DDDB41BC58EE}" name="Column2400"/>
    <tableColumn id="2412" xr3:uid="{2D792560-716A-4667-A6F8-949D5ABE45B7}" name="Column2401"/>
    <tableColumn id="2413" xr3:uid="{71F3569A-BDD5-4C00-BBF8-849230F9CE65}" name="Column2402"/>
    <tableColumn id="2414" xr3:uid="{DAD50F7A-A0AD-40D7-806C-31FC283218CD}" name="Column2403"/>
    <tableColumn id="2415" xr3:uid="{C033B47A-3BE1-4044-A037-F190D86A7485}" name="Column2404"/>
    <tableColumn id="2416" xr3:uid="{2AAEE406-8C89-44E1-A657-C353DB74C14C}" name="Column2405"/>
    <tableColumn id="2417" xr3:uid="{BBFE10B9-68F3-4AFE-AAE0-EFBC90309CD3}" name="Column2406"/>
    <tableColumn id="2418" xr3:uid="{D71F799D-0B1E-46D8-B499-5508FB97C3D2}" name="Column2407"/>
    <tableColumn id="2419" xr3:uid="{496E9AAC-6569-4253-A4AD-7CDA54267D1D}" name="Column2408"/>
    <tableColumn id="2420" xr3:uid="{7F3C6AF5-9206-49F5-9D0D-1959245A1C71}" name="Column2409"/>
    <tableColumn id="2421" xr3:uid="{408C51D0-C687-40BC-8FCF-5491E9B2CE2E}" name="Column2410"/>
    <tableColumn id="2422" xr3:uid="{7725444E-AA1E-4B32-931D-8B88798A2700}" name="Column2411"/>
    <tableColumn id="2423" xr3:uid="{BD153042-92A8-4B4D-8AF6-D8D99AF5787E}" name="Column2412"/>
    <tableColumn id="2424" xr3:uid="{A454A716-BB4F-46FC-A694-99EDE6D4B81A}" name="Column2413"/>
    <tableColumn id="2425" xr3:uid="{A1755522-01FA-43AC-A883-9BE929B91AC4}" name="Column2414"/>
    <tableColumn id="2426" xr3:uid="{6DB5EA6E-45D8-4B8F-8625-2E8F8F8AF7F8}" name="Column2415"/>
    <tableColumn id="2427" xr3:uid="{FF347898-8E11-44E0-AA75-A878CAC32D9C}" name="Column2416"/>
    <tableColumn id="2428" xr3:uid="{181EF355-950B-4C3C-8458-B69CCF88A0BB}" name="Column2417"/>
    <tableColumn id="2429" xr3:uid="{47C972E4-D399-4090-B9D0-42C17DD1A556}" name="Column2418"/>
    <tableColumn id="2430" xr3:uid="{F58CED80-9244-40F6-93D9-41CB47E22915}" name="Column2419"/>
    <tableColumn id="2431" xr3:uid="{9B7DA5F1-2D50-4467-8688-3F09688BEDAA}" name="Column2420"/>
    <tableColumn id="2432" xr3:uid="{87634F11-59FD-4279-8E11-0AFEB8105959}" name="Column2421"/>
    <tableColumn id="2433" xr3:uid="{6D735355-DF48-44EA-B9A2-6559910EE426}" name="Column2422"/>
    <tableColumn id="2434" xr3:uid="{1CC3350B-2386-482A-8511-0B3784F424ED}" name="Column2423"/>
    <tableColumn id="2435" xr3:uid="{DD2436A4-A2F1-4779-BD32-284BF449EC3A}" name="Column2424"/>
    <tableColumn id="2436" xr3:uid="{97C3E4A4-7F0B-4456-AFF6-7ABE2D5C2736}" name="Column2425"/>
    <tableColumn id="2437" xr3:uid="{4BCD07E7-E271-4200-9EB7-0486B0DFBF56}" name="Column2426"/>
    <tableColumn id="2438" xr3:uid="{1B2D7084-0DFB-4E19-B969-5D432CF95F20}" name="Column2427"/>
    <tableColumn id="2439" xr3:uid="{04869D1E-265F-452F-8A25-498A888D0212}" name="Column2428"/>
    <tableColumn id="2440" xr3:uid="{B532E970-AD40-4D7A-97C6-7868F9055DF2}" name="Column2429"/>
    <tableColumn id="2441" xr3:uid="{65C12A3C-56AE-4A4B-942D-54EFDBBA6FF4}" name="Column2430"/>
    <tableColumn id="2442" xr3:uid="{86CB1789-74BA-4176-96B0-F7E7FAE5B60C}" name="Column2431"/>
    <tableColumn id="2443" xr3:uid="{2ED76A04-802C-4E03-AD1B-D53645D6867C}" name="Column2432"/>
    <tableColumn id="2444" xr3:uid="{37AF9131-25CB-414A-AE5F-DC2BBD293903}" name="Column2433"/>
    <tableColumn id="2445" xr3:uid="{A2A212E6-6451-4121-BFBD-0DF3A1A94D0F}" name="Column2434"/>
    <tableColumn id="2446" xr3:uid="{8E3DC986-04D6-4ED2-A86E-0F4B5E3AEECF}" name="Column2435"/>
    <tableColumn id="2447" xr3:uid="{E3C347AF-BEF0-4888-A509-694AE568D29C}" name="Column2436"/>
    <tableColumn id="2448" xr3:uid="{4B9231F2-536B-46A1-8181-540D93D8E89E}" name="Column2437"/>
    <tableColumn id="2449" xr3:uid="{4B30291E-00AD-4626-8030-FDB9B10AD63E}" name="Column2438"/>
    <tableColumn id="2450" xr3:uid="{5DABE6D3-AAC5-4BD6-B5AE-32DECB89EDD3}" name="Column2439"/>
    <tableColumn id="2451" xr3:uid="{9603117E-439B-4F65-8C26-76629D17E6AC}" name="Column2440"/>
    <tableColumn id="2452" xr3:uid="{5DD2F383-254F-45CA-8754-A90E440F3372}" name="Column2441"/>
    <tableColumn id="2453" xr3:uid="{2D09FAEC-C839-4299-AA51-E76316520A2E}" name="Column2442"/>
    <tableColumn id="2454" xr3:uid="{42A6B06C-08AE-412F-BD59-17AA702E16BB}" name="Column2443"/>
    <tableColumn id="2455" xr3:uid="{B71F03CB-1367-43C1-AC8D-493EEDA85D23}" name="Column2444"/>
    <tableColumn id="2456" xr3:uid="{3D54BEAE-D921-4C7B-9079-E68F9C37F4FC}" name="Column2445"/>
    <tableColumn id="2457" xr3:uid="{A44267CF-8D30-415D-8959-CFEF72820554}" name="Column2446"/>
    <tableColumn id="2458" xr3:uid="{D6091A81-D2DB-41A4-92C8-36718A4E6FC4}" name="Column2447"/>
    <tableColumn id="2459" xr3:uid="{6ADF4D5F-9EA7-4DD4-8B4E-C1323A7EFF1A}" name="Column2448"/>
    <tableColumn id="2460" xr3:uid="{20437C36-2B35-491F-ADAB-0AFD1296FBC4}" name="Column2449"/>
    <tableColumn id="2461" xr3:uid="{180066C1-E579-4B7A-A13E-0E9B7A8E252E}" name="Column2450"/>
    <tableColumn id="2462" xr3:uid="{FAB1B9E3-667D-4D8A-AA20-ECC91F4E80B6}" name="Column2451"/>
    <tableColumn id="2463" xr3:uid="{AAD98D36-F7A9-4571-997F-07FAE6352E8A}" name="Column2452"/>
    <tableColumn id="2464" xr3:uid="{80710CD7-5DD0-4BD0-A4ED-B9BFC788C13C}" name="Column2453"/>
    <tableColumn id="2465" xr3:uid="{C4FBF918-27FE-40C6-8648-28A7E073517A}" name="Column2454"/>
    <tableColumn id="2466" xr3:uid="{623824E8-A3DC-4354-A3EA-515C87AEE635}" name="Column2455"/>
    <tableColumn id="2467" xr3:uid="{AEF905D9-C4C5-4538-9422-92E38BA71F5D}" name="Column2456"/>
    <tableColumn id="2468" xr3:uid="{3450C7DB-E9C9-4A6D-8540-66883B30FEEE}" name="Column2457"/>
    <tableColumn id="2469" xr3:uid="{388BA085-6BC7-481B-957E-4B1DBDA6F3C1}" name="Column2458"/>
    <tableColumn id="2470" xr3:uid="{D964E36D-C472-47FF-90F7-95006C68C122}" name="Column2459"/>
    <tableColumn id="2471" xr3:uid="{5362E10A-52C7-45B4-BA0B-948A83790868}" name="Column2460"/>
    <tableColumn id="2472" xr3:uid="{91BBC1A6-8A95-43AC-A148-F3CCBBC9937B}" name="Column2461"/>
    <tableColumn id="2473" xr3:uid="{16148CB1-1206-4653-888E-684A130AD1B5}" name="Column2462"/>
    <tableColumn id="2474" xr3:uid="{E742AC01-E79F-4A9E-947C-95214542C95B}" name="Column2463"/>
    <tableColumn id="2475" xr3:uid="{C508D4B5-F356-48C7-B7C2-9FB9F8EAB6FA}" name="Column2464"/>
    <tableColumn id="2476" xr3:uid="{5F8F3004-8063-4362-8B60-4C3EC2F2ED77}" name="Column2465"/>
    <tableColumn id="2477" xr3:uid="{5CCAC25A-EAC2-4C60-986F-745B6C74B0E9}" name="Column2466"/>
    <tableColumn id="2478" xr3:uid="{B64E785A-A665-47D2-AB3A-0E36D81F19D1}" name="Column2467"/>
    <tableColumn id="2479" xr3:uid="{FE652B7C-DEFF-4175-8754-D79CE6D7D760}" name="Column2468"/>
    <tableColumn id="2480" xr3:uid="{5631B5CE-54CC-4E6B-91D7-A8157B375248}" name="Column2469"/>
    <tableColumn id="2481" xr3:uid="{0471363B-5D99-4EF8-87BB-2E9D545054FF}" name="Column2470"/>
    <tableColumn id="2482" xr3:uid="{656B659B-C40C-4C30-ABC6-5EE02A09FF4D}" name="Column2471"/>
    <tableColumn id="2483" xr3:uid="{0DCAA7CF-70B0-44AE-8CB6-8467F345BD26}" name="Column2472"/>
    <tableColumn id="2484" xr3:uid="{FB10D396-C2E8-440D-97E5-2E4121F11B3D}" name="Column2473"/>
    <tableColumn id="2485" xr3:uid="{F3BA9918-D1BA-4E9A-826F-9BE2084E9690}" name="Column2474"/>
    <tableColumn id="2486" xr3:uid="{298A8A27-8611-4A13-A1C6-916B3229C5E7}" name="Column2475"/>
    <tableColumn id="2487" xr3:uid="{BCC789C0-8CE9-4BA9-A718-C689D888E7F1}" name="Column2476"/>
    <tableColumn id="2488" xr3:uid="{F779D6D4-9087-45B3-A6F2-70EBB6D4DE56}" name="Column2477"/>
    <tableColumn id="2489" xr3:uid="{C339413B-5EEF-476E-84B2-074D739CF1F4}" name="Column2478"/>
    <tableColumn id="2490" xr3:uid="{6368D06A-BD72-4795-93AC-C163AD977317}" name="Column2479"/>
    <tableColumn id="2491" xr3:uid="{3EB4CAD2-3593-4DF7-8A87-E269FD4680A8}" name="Column2480"/>
    <tableColumn id="2492" xr3:uid="{D8D1463C-0B4C-4707-9CEC-25D7676C543A}" name="Column2481"/>
    <tableColumn id="2493" xr3:uid="{4BAAFBB3-543C-4A2E-A6C8-8C93EA367C49}" name="Column2482"/>
    <tableColumn id="2494" xr3:uid="{241AA530-FEAB-43F5-A468-FB39D677C3C7}" name="Column2483"/>
    <tableColumn id="2495" xr3:uid="{05097F72-100E-463F-A8E6-D843E8E0AFA8}" name="Column2484"/>
    <tableColumn id="2496" xr3:uid="{5FE43A05-DE4B-4F4E-AE64-C8E1548015BC}" name="Column2485"/>
    <tableColumn id="2497" xr3:uid="{B95941F5-4B0E-4FE8-9A4A-F96489DE4728}" name="Column2486"/>
    <tableColumn id="2498" xr3:uid="{5399DCFE-0CE8-4301-9050-681B512858BF}" name="Column2487"/>
    <tableColumn id="2499" xr3:uid="{DCF1D38C-B1FA-452D-8D33-3F2D6FEF155F}" name="Column2488"/>
    <tableColumn id="2500" xr3:uid="{245DB831-6697-452C-83E1-574C42D4C71F}" name="Column2489"/>
    <tableColumn id="2501" xr3:uid="{5F9B6F49-7BE6-474E-AFAF-47143071A3C7}" name="Column2490"/>
    <tableColumn id="2502" xr3:uid="{E48B41CC-8E40-4BCF-8AB1-38A781DC3C9E}" name="Column2491"/>
    <tableColumn id="2503" xr3:uid="{BDE54490-6013-4B5D-999C-35A21F920482}" name="Column2492"/>
    <tableColumn id="2504" xr3:uid="{45538A7B-8295-4018-9EAC-D9EB7C097BB6}" name="Column2493"/>
    <tableColumn id="2505" xr3:uid="{4EC88C41-E4F5-4EEA-98F3-B1AF0DDBC2E8}" name="Column2494"/>
    <tableColumn id="2506" xr3:uid="{B1988DB9-151F-436B-876D-7496BDE9CA7A}" name="Column2495"/>
    <tableColumn id="2507" xr3:uid="{81826A4D-2B1F-4B24-B891-3726395516A8}" name="Column2496"/>
    <tableColumn id="2508" xr3:uid="{BF6948E0-DDA9-465C-8DA8-2A4FFCD606BD}" name="Column2497"/>
    <tableColumn id="2509" xr3:uid="{4A643D7A-FF80-444C-977A-F43470FA66F8}" name="Column2498"/>
    <tableColumn id="2510" xr3:uid="{4EC1845F-7EA2-4098-867A-87B8DC1998B9}" name="Column2499"/>
    <tableColumn id="2511" xr3:uid="{3F2A38CD-AAD5-40F8-B5E7-9773BD8A8DBE}" name="Column2500"/>
    <tableColumn id="2512" xr3:uid="{C88E7AE0-7E1B-4D44-90BA-319468A974F3}" name="Column2501"/>
    <tableColumn id="2513" xr3:uid="{4CE5ED05-1AFE-4D39-8D76-078D162328BE}" name="Column2502"/>
    <tableColumn id="2514" xr3:uid="{B0C3D799-D1AD-4800-8FC3-7314E7D79DA3}" name="Column2503"/>
    <tableColumn id="2515" xr3:uid="{DC583526-47B1-443C-A976-6A7A7FF50E29}" name="Column2504"/>
    <tableColumn id="2516" xr3:uid="{3859FE22-099A-4BC5-B32B-DACF3A36AD01}" name="Column2505"/>
    <tableColumn id="2517" xr3:uid="{0CD6731B-7E0B-4B3C-ABE9-389B482695B7}" name="Column2506"/>
    <tableColumn id="2518" xr3:uid="{8542A8AE-212F-4DF0-BAB8-64536CF7BBB9}" name="Column2507"/>
    <tableColumn id="2519" xr3:uid="{1A4910D3-7C87-4ED4-B589-9A0EC4DCF8FB}" name="Column2508"/>
    <tableColumn id="2520" xr3:uid="{2CBAB3E9-0D02-40E1-9849-EA1AF5E65EC9}" name="Column2509"/>
    <tableColumn id="2521" xr3:uid="{4A43620E-CD22-4E25-B8AB-FFC9DC0DE335}" name="Column2510"/>
    <tableColumn id="2522" xr3:uid="{966DC7F2-4AB7-41A7-8139-542B572F0F3B}" name="Column2511"/>
    <tableColumn id="2523" xr3:uid="{A1467F6B-F8E7-4AC3-871E-F1792E754BC8}" name="Column2512"/>
    <tableColumn id="2524" xr3:uid="{93F27FF9-DC19-4845-8602-389BD67755DF}" name="Column2513"/>
    <tableColumn id="2525" xr3:uid="{A5D21E22-589F-4BBD-BB9D-3F5918B12004}" name="Column2514"/>
    <tableColumn id="2526" xr3:uid="{52A471E6-C7DC-4FAC-8E81-8C87BA533E70}" name="Column2515"/>
    <tableColumn id="2527" xr3:uid="{821D9D07-4E99-420D-8EC9-B05D6A0CA801}" name="Column2516"/>
    <tableColumn id="2528" xr3:uid="{6BCBFFD3-E4EA-41DE-8905-306341A64F93}" name="Column2517"/>
    <tableColumn id="2529" xr3:uid="{83480880-C693-47CD-BB81-0422FEB417A6}" name="Column2518"/>
    <tableColumn id="2530" xr3:uid="{72D0C001-2270-4D46-9282-3BAC41D13EAE}" name="Column2519"/>
    <tableColumn id="2531" xr3:uid="{F3C86ADC-5587-451E-92F6-9E095B1BB568}" name="Column2520"/>
    <tableColumn id="2532" xr3:uid="{536A4309-2F8C-46FD-B76A-FDEBD41CC819}" name="Column2521"/>
    <tableColumn id="2533" xr3:uid="{B130E101-77C0-4401-AC4B-67FA8BF4D2B4}" name="Column2522"/>
    <tableColumn id="2534" xr3:uid="{9F3A2760-0A87-4E8A-A140-4B2680846C6A}" name="Column2523"/>
    <tableColumn id="2535" xr3:uid="{5E848F8A-B7F6-49ED-A52D-51FCC7C470F6}" name="Column2524"/>
    <tableColumn id="2536" xr3:uid="{9FAF3281-6DAE-4D4B-A103-2CE27088AA37}" name="Column2525"/>
    <tableColumn id="2537" xr3:uid="{E2F70619-FB0B-4CBD-A6F3-32092DD53E9F}" name="Column2526"/>
    <tableColumn id="2538" xr3:uid="{7792F1A2-6112-472F-B007-B09144824674}" name="Column2527"/>
    <tableColumn id="2539" xr3:uid="{97BEA8E0-8A22-4D29-A432-76FDECE81964}" name="Column2528"/>
    <tableColumn id="2540" xr3:uid="{1DADAA0E-4B24-4514-BAE4-C5C3E5243762}" name="Column2529"/>
    <tableColumn id="2541" xr3:uid="{1EA75B78-65F0-47FC-BF92-FD02D68F02B1}" name="Column2530"/>
    <tableColumn id="2542" xr3:uid="{4216B7AC-9AD5-4361-971A-403ED0AF74D8}" name="Column2531"/>
    <tableColumn id="2543" xr3:uid="{A362982F-8DAC-4C5B-A1C9-C3951ED1E689}" name="Column2532"/>
    <tableColumn id="2544" xr3:uid="{7DD3D778-695F-48FC-AA71-F8EB7A2D7622}" name="Column2533"/>
    <tableColumn id="2545" xr3:uid="{E8A3AA46-F98C-49C3-BC59-EC75226134CA}" name="Column2534"/>
    <tableColumn id="2546" xr3:uid="{238288B5-E574-40D6-B205-E956871EBA98}" name="Column2535"/>
    <tableColumn id="2547" xr3:uid="{0FA974C0-049E-4A24-8636-8D67F8D78349}" name="Column2536"/>
    <tableColumn id="2548" xr3:uid="{208CEB04-CE23-498B-87F2-B46F9B805DDF}" name="Column2537"/>
    <tableColumn id="2549" xr3:uid="{B0DEF4B3-E0B1-4307-9C9E-080567C1A2F9}" name="Column2538"/>
    <tableColumn id="2550" xr3:uid="{0D7CA944-28F7-4E29-A6C4-74A4A3D7BC00}" name="Column2539"/>
    <tableColumn id="2551" xr3:uid="{63201056-D7F7-450F-9163-8CDAAF2453CB}" name="Column2540"/>
    <tableColumn id="2552" xr3:uid="{5F55C901-1EBB-4B6C-B619-AD07FC84F267}" name="Column2541"/>
    <tableColumn id="2553" xr3:uid="{37F39A81-2B0C-4271-AAE3-1376B2E2D3F5}" name="Column2542"/>
    <tableColumn id="2554" xr3:uid="{0CE7BEDD-7F9F-4586-9957-F7744C48CFD7}" name="Column2543"/>
    <tableColumn id="2555" xr3:uid="{D05A168C-85A6-4D54-82E7-15339D33C4E1}" name="Column2544"/>
    <tableColumn id="2556" xr3:uid="{1E8A833C-AFC9-4912-9F3E-E7423478B86F}" name="Column2545"/>
    <tableColumn id="2557" xr3:uid="{3888F224-DFA8-4F33-8E67-CF8113FFCAE6}" name="Column2546"/>
    <tableColumn id="2558" xr3:uid="{749D3880-D3B3-42A4-939A-E419A6B2CD44}" name="Column2547"/>
    <tableColumn id="2559" xr3:uid="{649C6215-3A82-40BE-A380-B93DC538B99E}" name="Column2548"/>
    <tableColumn id="2560" xr3:uid="{EAEEB9FB-7FAC-41BE-A7A7-E6D48BAA21B1}" name="Column2549"/>
    <tableColumn id="2561" xr3:uid="{DEDF5F78-8DCD-440A-97B4-D838F1D4A65E}" name="Column2550"/>
    <tableColumn id="2562" xr3:uid="{19A81C70-169B-4136-BBF0-AB06194C3E92}" name="Column2551"/>
    <tableColumn id="2563" xr3:uid="{7C771B5A-FE67-48E8-941A-6D9BA63369AB}" name="Column2552"/>
    <tableColumn id="2564" xr3:uid="{A2AB2C5E-2256-4F20-B66E-3E42D1099E92}" name="Column2553"/>
    <tableColumn id="2565" xr3:uid="{01B9495D-8D16-48BD-9C04-424986FFBE82}" name="Column2554"/>
    <tableColumn id="2566" xr3:uid="{C0BF7818-FEDE-482D-A61E-6938ABB30CB6}" name="Column2555"/>
    <tableColumn id="2567" xr3:uid="{78613BC9-F623-414E-93CA-43EE48BCC9EF}" name="Column2556"/>
    <tableColumn id="2568" xr3:uid="{FF8D1C56-47E0-4D16-BBBE-887C5943C1B5}" name="Column2557"/>
    <tableColumn id="2569" xr3:uid="{F0838EB8-2097-4046-9563-EA9FF97764FF}" name="Column2558"/>
    <tableColumn id="2570" xr3:uid="{7ACFD9D2-64DC-4E1F-9A9C-7432A35F3242}" name="Column2559"/>
    <tableColumn id="2571" xr3:uid="{7F270FFB-C26F-4A06-91C5-9A7F33EB8CEF}" name="Column2560"/>
    <tableColumn id="2572" xr3:uid="{77C3688C-1CFC-45D0-838E-7AF89C3769ED}" name="Column2561"/>
    <tableColumn id="2573" xr3:uid="{4FF61119-6381-4F54-A2DC-C6053A1681BD}" name="Column2562"/>
    <tableColumn id="2574" xr3:uid="{8D27DCF5-86AC-4D40-AB48-9320DFA83363}" name="Column2563"/>
    <tableColumn id="2575" xr3:uid="{3C421C1A-E8E4-4945-BF73-5180910F6BC1}" name="Column2564"/>
    <tableColumn id="2576" xr3:uid="{0E6B545C-DF76-4962-91F0-45965BC2173D}" name="Column2565"/>
    <tableColumn id="2577" xr3:uid="{AD302007-6EB0-420C-AF3C-9326650E2644}" name="Column2566"/>
    <tableColumn id="2578" xr3:uid="{1983B42B-101E-43DE-8A90-90512BAC33A1}" name="Column2567"/>
    <tableColumn id="2579" xr3:uid="{F2ED8416-E300-43FA-A3C3-8C3D6EC3A4AF}" name="Column2568"/>
    <tableColumn id="2580" xr3:uid="{D6755034-00D4-44D3-A676-864F10111EF8}" name="Column2569"/>
    <tableColumn id="2581" xr3:uid="{2DB96DF9-029A-49E9-9AD7-CB6994C124F1}" name="Column2570"/>
    <tableColumn id="2582" xr3:uid="{26136DA2-F611-455A-A8B0-FBF3A206A9E0}" name="Column2571"/>
    <tableColumn id="2583" xr3:uid="{A14DFF10-A92C-4F97-BDA4-8FC47C108E3C}" name="Column2572"/>
    <tableColumn id="2584" xr3:uid="{15150C31-EB1A-474D-8763-12F747613FE4}" name="Column2573"/>
    <tableColumn id="2585" xr3:uid="{54A26AB4-3535-4019-B0DE-893BF7935D23}" name="Column2574"/>
    <tableColumn id="2586" xr3:uid="{B00C1025-DB02-48B8-AABF-E5A049D43F67}" name="Column2575"/>
    <tableColumn id="2587" xr3:uid="{0CF3E5FE-E892-45EC-B607-9F7900428DC8}" name="Column2576"/>
    <tableColumn id="2588" xr3:uid="{FDA1C4AD-F6B1-4DD1-AF20-CF850F998F91}" name="Column2577"/>
    <tableColumn id="2589" xr3:uid="{20B9098F-91FE-4CD2-AE88-996045801BBA}" name="Column2578"/>
    <tableColumn id="2590" xr3:uid="{3F4D508A-163A-4274-A512-C8FCEF2A3526}" name="Column2579"/>
    <tableColumn id="2591" xr3:uid="{A411D6B0-8FF6-4C63-9E6A-C20EA4C16AC8}" name="Column2580"/>
    <tableColumn id="2592" xr3:uid="{A6E9355A-979C-4080-9448-89E05CD19708}" name="Column2581"/>
    <tableColumn id="2593" xr3:uid="{507CFE31-A45A-4388-8542-06F9C51D4374}" name="Column2582"/>
    <tableColumn id="2594" xr3:uid="{D0ED78B5-75B7-4113-A4E0-69CF84AE69E7}" name="Column2583"/>
    <tableColumn id="2595" xr3:uid="{A51958E9-92FF-42EE-AFFC-B76152D6A957}" name="Column2584"/>
    <tableColumn id="2596" xr3:uid="{E72D408E-47F9-4502-A3E7-E0702A0B45CF}" name="Column2585"/>
    <tableColumn id="2597" xr3:uid="{DEDD44C1-9427-4BCB-BA17-E4EEA7E8C648}" name="Column2586"/>
    <tableColumn id="2598" xr3:uid="{4614A995-73E6-4499-A507-73B4423470D1}" name="Column2587"/>
    <tableColumn id="2599" xr3:uid="{2E572FA8-97B7-4ADD-9477-C47F78ED9222}" name="Column2588"/>
    <tableColumn id="2600" xr3:uid="{34DD396A-6A1F-4C6D-B62E-0624515F2765}" name="Column2589"/>
    <tableColumn id="2601" xr3:uid="{1839AAED-DD34-4EED-ABB8-6A2F8CEFE93F}" name="Column2590"/>
    <tableColumn id="2602" xr3:uid="{AF787556-F125-46B5-955F-0788BE3CC595}" name="Column2591"/>
    <tableColumn id="2603" xr3:uid="{91103EA3-5C70-4816-ABF7-D24217469620}" name="Column2592"/>
    <tableColumn id="2604" xr3:uid="{BAC41547-6F0A-4AEA-BE9F-B1760A306C77}" name="Column2593"/>
    <tableColumn id="2605" xr3:uid="{AAB7DE73-0078-4351-A496-03EE92EBE53A}" name="Column2594"/>
    <tableColumn id="2606" xr3:uid="{03C0E037-A6F1-427D-9A8B-F77D97AA35F4}" name="Column2595"/>
    <tableColumn id="2607" xr3:uid="{FADC6DBA-B3BB-46B6-B6DB-75CAF4DBFC36}" name="Column2596"/>
    <tableColumn id="2608" xr3:uid="{4F96F710-DF48-4F29-9C54-69539651129B}" name="Column2597"/>
    <tableColumn id="2609" xr3:uid="{31C3CFA1-B1FF-469E-99E8-679800376A43}" name="Column2598"/>
    <tableColumn id="2610" xr3:uid="{69EBEE53-EA31-4047-B41B-2A5646E2F862}" name="Column2599"/>
    <tableColumn id="2611" xr3:uid="{DE29D5B1-3941-400B-9EE2-3D94A02B3460}" name="Column2600"/>
    <tableColumn id="2612" xr3:uid="{D3F3E5CE-9F44-41E0-A976-A0FBC4733658}" name="Column2601"/>
    <tableColumn id="2613" xr3:uid="{6476B403-A88B-4F70-AC79-B402DE185798}" name="Column2602"/>
    <tableColumn id="2614" xr3:uid="{2E38BE9B-A718-4806-AEBD-8669F6E496D2}" name="Column2603"/>
    <tableColumn id="2615" xr3:uid="{430224CD-85BA-45AB-9F19-102CF390BBFE}" name="Column2604"/>
    <tableColumn id="2616" xr3:uid="{0B962078-1090-4D33-A1E2-43CCF2DD769D}" name="Column2605"/>
    <tableColumn id="2617" xr3:uid="{AC07C2C4-662E-490F-AC79-4C9BDFE596B7}" name="Column2606"/>
    <tableColumn id="2618" xr3:uid="{EFAC3B40-9DF7-4FBA-B78F-38C6038DD9A2}" name="Column2607"/>
    <tableColumn id="2619" xr3:uid="{7BC16FCC-1516-4894-8180-A246D3122F34}" name="Column2608"/>
    <tableColumn id="2620" xr3:uid="{7FA58DA0-2049-4E26-AF91-A770093408A8}" name="Column2609"/>
    <tableColumn id="2621" xr3:uid="{0714663F-0008-44EE-A2C1-1CB980EEEDFF}" name="Column2610"/>
    <tableColumn id="2622" xr3:uid="{D658EAEF-3F61-479B-B388-855FA881A660}" name="Column2611"/>
    <tableColumn id="2623" xr3:uid="{CF9F3D4C-4455-4A95-8581-9D9FDF8A301D}" name="Column2612"/>
    <tableColumn id="2624" xr3:uid="{529CF1FC-6AAF-4CF0-A88A-B1F7F325B2C0}" name="Column2613"/>
    <tableColumn id="2625" xr3:uid="{093BD507-B5A6-4E70-B6E1-543784B36DCD}" name="Column2614"/>
    <tableColumn id="2626" xr3:uid="{E1F15465-6F0D-421E-A0AB-AE6A57BB7BD4}" name="Column2615"/>
    <tableColumn id="2627" xr3:uid="{47ACEF84-135A-4605-88B4-C12A8C1E1F7D}" name="Column2616"/>
    <tableColumn id="2628" xr3:uid="{B24827DF-F0E1-461E-8A47-8B01671CBE9F}" name="Column2617"/>
    <tableColumn id="2629" xr3:uid="{6CC0DD62-6B9B-4B52-81E0-09E052C2927F}" name="Column2618"/>
    <tableColumn id="2630" xr3:uid="{14D9B726-79AE-4687-B3DF-A51EADBE44E7}" name="Column2619"/>
    <tableColumn id="2631" xr3:uid="{C390D241-B925-45D9-84F2-90F075B91593}" name="Column2620"/>
    <tableColumn id="2632" xr3:uid="{180628F5-EFE0-478B-BBC9-62740790FC06}" name="Column2621"/>
    <tableColumn id="2633" xr3:uid="{E65B0453-96E3-4948-9761-702A0C554A17}" name="Column2622"/>
    <tableColumn id="2634" xr3:uid="{CF21C8FC-AC23-4F5F-B1CE-D192F8A8274C}" name="Column2623"/>
    <tableColumn id="2635" xr3:uid="{58FB689B-8D5F-474F-A199-AF6958CF5232}" name="Column2624"/>
    <tableColumn id="2636" xr3:uid="{3FB48F7C-11BD-442B-9EE2-105B725615A3}" name="Column2625"/>
    <tableColumn id="2637" xr3:uid="{823DCBC7-AB08-444B-8A7B-19ABAECA9A66}" name="Column2626"/>
    <tableColumn id="2638" xr3:uid="{038FACD9-474B-41AF-AA72-925D76BD44F6}" name="Column2627"/>
    <tableColumn id="2639" xr3:uid="{291C5679-559F-4FBB-B20C-F8778B3061C2}" name="Column2628"/>
    <tableColumn id="2640" xr3:uid="{719A5129-9039-4A6B-A05E-05F6D53CE9A3}" name="Column2629"/>
    <tableColumn id="2641" xr3:uid="{EA14AFDB-4F27-40A8-9527-94A56A36C2ED}" name="Column2630"/>
    <tableColumn id="2642" xr3:uid="{F853979D-9A64-4E00-9A94-1E4BC4434BA1}" name="Column2631"/>
    <tableColumn id="2643" xr3:uid="{2E815236-A8B6-476B-BF4B-7C93BA5819AD}" name="Column2632"/>
    <tableColumn id="2644" xr3:uid="{68E68344-A5EC-4FC6-8A77-29C3523707B6}" name="Column2633"/>
    <tableColumn id="2645" xr3:uid="{42B055FE-6A31-4ED0-9802-6D03E2A5C2E7}" name="Column2634"/>
    <tableColumn id="2646" xr3:uid="{25D13786-B2FC-4896-ACB6-B66D9F96AF07}" name="Column2635"/>
    <tableColumn id="2647" xr3:uid="{F53CB9B0-D7F5-4281-95DC-7B689A32753B}" name="Column2636"/>
    <tableColumn id="2648" xr3:uid="{759D4BB1-5929-4582-8739-E477B44E2AE7}" name="Column2637"/>
    <tableColumn id="2649" xr3:uid="{85448668-649C-4762-9D5C-42635F866807}" name="Column2638"/>
    <tableColumn id="2650" xr3:uid="{2E1E4423-504B-47BE-905A-61E5F3BA8909}" name="Column2639"/>
    <tableColumn id="2651" xr3:uid="{93048137-01A4-4C2C-BEC2-EE2A6AB16ED8}" name="Column2640"/>
    <tableColumn id="2652" xr3:uid="{B11CD24C-CF9B-487E-93F2-51AC2CE50F28}" name="Column2641"/>
    <tableColumn id="2653" xr3:uid="{2B86A94E-92CC-44A3-BB37-4038E94C41A3}" name="Column2642"/>
    <tableColumn id="2654" xr3:uid="{77E89502-B700-4691-AA30-F61BDE027D1C}" name="Column2643"/>
    <tableColumn id="2655" xr3:uid="{ED67DD81-5586-4450-9B7F-0DFC24E49890}" name="Column2644"/>
    <tableColumn id="2656" xr3:uid="{93EA5192-9D96-4655-ABDE-00F1A7887601}" name="Column2645"/>
    <tableColumn id="2657" xr3:uid="{D27B23A1-3A15-472F-BCD0-278F93FDC384}" name="Column2646"/>
    <tableColumn id="2658" xr3:uid="{0A59ABEF-AFAD-4F21-93EC-2C21B05854AF}" name="Column2647"/>
    <tableColumn id="2659" xr3:uid="{5A77D5D4-5961-48EF-BB57-806DFD316D2C}" name="Column2648"/>
    <tableColumn id="2660" xr3:uid="{56F01624-0D28-400B-8A33-4F96A0479F94}" name="Column2649"/>
    <tableColumn id="2661" xr3:uid="{64839310-7F87-4D53-99CC-B832429CE9C2}" name="Column2650"/>
    <tableColumn id="2662" xr3:uid="{C75CD7F0-9DFF-4C0D-9D2F-DFD1DA15A20B}" name="Column2651"/>
    <tableColumn id="2663" xr3:uid="{5AD8F53C-FFB2-4E74-B074-02B1EC9537E7}" name="Column2652"/>
    <tableColumn id="2664" xr3:uid="{B6B3433C-DE0A-4F64-8610-BFA4836AA204}" name="Column2653"/>
    <tableColumn id="2665" xr3:uid="{36209445-37C8-4AA0-8E3E-E347F5F6F075}" name="Column2654"/>
    <tableColumn id="2666" xr3:uid="{DE51C740-1C4C-449A-80E4-15B21D408DC6}" name="Column2655"/>
    <tableColumn id="2667" xr3:uid="{40A5EFD8-84BF-423C-9E7F-C33BCA71DEEA}" name="Column2656"/>
    <tableColumn id="2668" xr3:uid="{4FC844FF-7AEB-4229-B08C-832654A9307E}" name="Column2657"/>
    <tableColumn id="2669" xr3:uid="{37FDCA7F-9105-4011-9615-BFD0A7CEE1E0}" name="Column2658"/>
    <tableColumn id="2670" xr3:uid="{0C3BFE2C-EEA2-4C68-B224-7B7C0E2A4450}" name="Column2659"/>
    <tableColumn id="2671" xr3:uid="{0D861446-18EC-4F5B-8F02-3D297EC2B7D6}" name="Column2660"/>
    <tableColumn id="2672" xr3:uid="{084BFE23-B090-43A1-A95F-3BE9223100F1}" name="Column2661"/>
    <tableColumn id="2673" xr3:uid="{DD292B4A-4BFB-48E3-98A5-ADEAB746DE2D}" name="Column2662"/>
    <tableColumn id="2674" xr3:uid="{358E19A3-3F24-43C5-9264-4F17998CD85C}" name="Column2663"/>
    <tableColumn id="2675" xr3:uid="{3A399E43-079F-4BF4-8F75-CD1A186D3C06}" name="Column2664"/>
    <tableColumn id="2676" xr3:uid="{E6F875C3-4FAB-4F38-BB9D-B495F40C8341}" name="Column2665"/>
    <tableColumn id="2677" xr3:uid="{A14E216F-7937-4576-A907-86E1E8DAD733}" name="Column2666"/>
    <tableColumn id="2678" xr3:uid="{39F1D9BB-FAB9-46CE-A481-6ABB9A49E6F4}" name="Column2667"/>
    <tableColumn id="2679" xr3:uid="{68805F5D-D58F-4C78-BBFB-66AD0337FAAC}" name="Column2668"/>
    <tableColumn id="2680" xr3:uid="{9F756A55-34C5-4618-81A3-9CB16C6AB86E}" name="Column2669"/>
    <tableColumn id="2681" xr3:uid="{A3D45500-3117-47EC-9AE0-8CCA6D01FBF4}" name="Column2670"/>
    <tableColumn id="2682" xr3:uid="{0D2A9632-F554-4D41-88D5-D3AC54AEE0D0}" name="Column2671"/>
    <tableColumn id="2683" xr3:uid="{6529351C-3E49-4DA9-9A83-79B8E5787C9F}" name="Column2672"/>
    <tableColumn id="2684" xr3:uid="{FB6D8BFA-638B-4AEF-9BAC-BB262793BE75}" name="Column2673"/>
    <tableColumn id="2685" xr3:uid="{3636AD7F-518A-4600-9D77-F30856CEAC1D}" name="Column2674"/>
    <tableColumn id="2686" xr3:uid="{E36FF01C-E030-46EF-8798-E7A00C1C7386}" name="Column2675"/>
    <tableColumn id="2687" xr3:uid="{A613B0C4-C982-4D21-901E-FBBA8A2A8A09}" name="Column2676"/>
    <tableColumn id="2688" xr3:uid="{B52B72A6-BB8B-4153-B69B-B540DE5324CD}" name="Column2677"/>
    <tableColumn id="2689" xr3:uid="{A15ABD95-6153-4778-82FA-F49185ED4A22}" name="Column2678"/>
    <tableColumn id="2690" xr3:uid="{E7B207A0-B75C-40F2-86F1-BD23B8AEB312}" name="Column2679"/>
    <tableColumn id="2691" xr3:uid="{186EFE6F-5B84-4BF3-9CCD-A23F683D2F49}" name="Column2680"/>
    <tableColumn id="2692" xr3:uid="{421F9E51-CA1D-4C37-889C-DCEA548A23CE}" name="Column2681"/>
    <tableColumn id="2693" xr3:uid="{0C49D393-AD4A-4C27-80E0-46EE9EB0B1E6}" name="Column2682"/>
    <tableColumn id="2694" xr3:uid="{0286182B-03F2-46E3-91E3-12B3CDC47676}" name="Column2683"/>
    <tableColumn id="2695" xr3:uid="{A625DD34-BE6C-4D6D-A32A-9C3CA5E5E0D2}" name="Column2684"/>
    <tableColumn id="2696" xr3:uid="{82078971-AABB-401D-963A-40AB625D5012}" name="Column2685"/>
    <tableColumn id="2697" xr3:uid="{220F5D73-E4A9-4E05-87B2-7159A202DB7D}" name="Column2686"/>
    <tableColumn id="2698" xr3:uid="{DCC4D11A-F644-44ED-A327-B816080A7CB0}" name="Column2687"/>
    <tableColumn id="2699" xr3:uid="{F9452AA6-77DA-49BB-B305-9626066D94E1}" name="Column2688"/>
    <tableColumn id="2700" xr3:uid="{E3E62269-B315-4C6E-9511-8E5A1926AEBA}" name="Column2689"/>
    <tableColumn id="2701" xr3:uid="{054915E4-6C07-47F1-B44E-67485DD2452C}" name="Column2690"/>
    <tableColumn id="2702" xr3:uid="{49DF27CB-895A-4508-8988-9DE97696EF7A}" name="Column2691"/>
    <tableColumn id="2703" xr3:uid="{A681DFFF-C198-4057-8807-77F0128CC1EF}" name="Column2692"/>
    <tableColumn id="2704" xr3:uid="{6905F50C-D5A4-4036-9E3B-EECD6CB971C3}" name="Column2693"/>
    <tableColumn id="2705" xr3:uid="{40B6E443-7371-46F4-8D57-AE7496B1FB0C}" name="Column2694"/>
    <tableColumn id="2706" xr3:uid="{87E78316-E5DE-41AA-A5A7-FF3CF0F29B2C}" name="Column2695"/>
    <tableColumn id="2707" xr3:uid="{3C964EF8-9916-4535-A3B1-F7E8FA885208}" name="Column2696"/>
    <tableColumn id="2708" xr3:uid="{52BD3529-EC4C-4C6B-8298-313B5F1D3F84}" name="Column2697"/>
    <tableColumn id="2709" xr3:uid="{38CFC23E-544B-40A5-A57F-8ECFBA0C05A9}" name="Column2698"/>
    <tableColumn id="2710" xr3:uid="{5563AAD4-5AD0-4FDE-B9DF-3E5EE2102A24}" name="Column2699"/>
    <tableColumn id="2711" xr3:uid="{621E9647-B59D-46B1-AFE6-55A9CC0F41B9}" name="Column2700"/>
    <tableColumn id="2712" xr3:uid="{F7515CBB-B4A5-4DFF-8D1A-0F18F4DCC015}" name="Column2701"/>
    <tableColumn id="2713" xr3:uid="{DF5F9C4D-C1F8-44CC-978D-C90AB8E9BF16}" name="Column2702"/>
    <tableColumn id="2714" xr3:uid="{BF4A8CDF-8921-4CD4-9B08-E81E99D85B8C}" name="Column2703"/>
    <tableColumn id="2715" xr3:uid="{52D8F45B-5577-4B9F-B60F-D59D155B160C}" name="Column2704"/>
    <tableColumn id="2716" xr3:uid="{022C2380-8ABB-4E53-9F27-99A295CF0FF9}" name="Column2705"/>
    <tableColumn id="2717" xr3:uid="{22483955-219D-46E7-97FA-DEA6BD465F89}" name="Column2706"/>
    <tableColumn id="2718" xr3:uid="{361CF413-8843-4BD7-AFF2-65115342CAB2}" name="Column2707"/>
    <tableColumn id="2719" xr3:uid="{1BE8BBAE-4623-47F8-8C88-CB6488280147}" name="Column2708"/>
    <tableColumn id="2720" xr3:uid="{A3B97D34-DDD8-442A-AA13-5BC2075AC61F}" name="Column2709"/>
    <tableColumn id="2721" xr3:uid="{6DEADFC7-B5C1-496E-B1D1-B99BDF36FEDD}" name="Column2710"/>
    <tableColumn id="2722" xr3:uid="{49A76D6D-085A-4113-9DDB-1A803B84421E}" name="Column2711"/>
    <tableColumn id="2723" xr3:uid="{C255FB7D-3122-4C1A-8BCD-5CA146AC7FDA}" name="Column2712"/>
    <tableColumn id="2724" xr3:uid="{6566A70C-626A-4E1F-83CA-9802DD95AFDF}" name="Column2713"/>
    <tableColumn id="2725" xr3:uid="{A87E3C1A-5338-4149-BF0A-D63C2F83F7AA}" name="Column2714"/>
    <tableColumn id="2726" xr3:uid="{108250F5-62B2-4D6B-AF95-FC8C5DC2DE6E}" name="Column2715"/>
    <tableColumn id="2727" xr3:uid="{043E3A66-85DD-44E1-BFF2-8FD9C7A7278A}" name="Column2716"/>
    <tableColumn id="2728" xr3:uid="{13FF0FAD-7DF0-461C-9CA4-5DD2D27D36F0}" name="Column2717"/>
    <tableColumn id="2729" xr3:uid="{87426B1B-6B1B-415A-82D6-3ABB67E6565A}" name="Column2718"/>
    <tableColumn id="2730" xr3:uid="{DC14C6B8-F7B3-4C20-89EB-D03FFBFB6977}" name="Column2719"/>
    <tableColumn id="2731" xr3:uid="{4DA57724-B440-4CE9-8017-C3DC48C3EA01}" name="Column2720"/>
    <tableColumn id="2732" xr3:uid="{AB1EEA82-F10B-4CCF-B340-F9B5B0124B5F}" name="Column2721"/>
    <tableColumn id="2733" xr3:uid="{880C5E50-3C2B-47F9-82CD-1CE3A57A6557}" name="Column2722"/>
    <tableColumn id="2734" xr3:uid="{5E2643CB-DDB1-45D3-936A-15B8760D2DB4}" name="Column2723"/>
    <tableColumn id="2735" xr3:uid="{2EC80C49-36D3-4863-BDCC-AB5F41B78F6E}" name="Column2724"/>
    <tableColumn id="2736" xr3:uid="{5902CF00-ACF7-4451-9F1D-5667E774A1DC}" name="Column2725"/>
    <tableColumn id="2737" xr3:uid="{69634176-EB2F-42B1-A61D-28D695F8902C}" name="Column2726"/>
    <tableColumn id="2738" xr3:uid="{96593396-EB9D-4511-AEE7-7A4E123DDD8F}" name="Column2727"/>
    <tableColumn id="2739" xr3:uid="{E4B8F214-F3A9-443C-A261-C20906B6144A}" name="Column2728"/>
    <tableColumn id="2740" xr3:uid="{3610F122-B2E1-4879-AB50-94D25C2C5AFD}" name="Column2729"/>
    <tableColumn id="2741" xr3:uid="{BB3E5D54-9DDB-42F7-99F5-25CCD45401E8}" name="Column2730"/>
    <tableColumn id="2742" xr3:uid="{A47E7DC0-C4E0-48AF-A779-49EBE3816B98}" name="Column2731"/>
    <tableColumn id="2743" xr3:uid="{632B4D72-C280-4144-9809-ECDFABBF207B}" name="Column2732"/>
    <tableColumn id="2744" xr3:uid="{B5326F00-B26E-4FB1-A0CB-C297FCC75788}" name="Column2733"/>
    <tableColumn id="2745" xr3:uid="{F8CB5714-5B8A-4AE8-B57D-E083C97BD57D}" name="Column2734"/>
    <tableColumn id="2746" xr3:uid="{6E55419F-0438-43A1-A3FE-6675B9135F1A}" name="Column2735"/>
    <tableColumn id="2747" xr3:uid="{682D6AFA-F25C-4323-BA0B-13AF17BF6CCE}" name="Column2736"/>
    <tableColumn id="2748" xr3:uid="{B139327C-5B79-4BCB-B3F8-76CE44EB9ED3}" name="Column2737"/>
    <tableColumn id="2749" xr3:uid="{1E7F3E66-4A7C-40C1-A330-0AEBA58B2BB5}" name="Column2738"/>
    <tableColumn id="2750" xr3:uid="{172D35AD-7220-4277-9F78-F63DE0A7F065}" name="Column2739"/>
    <tableColumn id="2751" xr3:uid="{5DB62331-7D23-49DF-8B20-373F26BF14AE}" name="Column2740"/>
    <tableColumn id="2752" xr3:uid="{D33D70A4-2D8A-4571-AAB5-730272D5AE62}" name="Column2741"/>
    <tableColumn id="2753" xr3:uid="{42C487DC-B61B-446C-8D58-1B3A80D82AE5}" name="Column2742"/>
    <tableColumn id="2754" xr3:uid="{EFC8BDC3-C052-4E23-924C-A13CC12D4507}" name="Column2743"/>
    <tableColumn id="2755" xr3:uid="{32359F2E-E19F-411E-965F-460AC2A4381C}" name="Column2744"/>
    <tableColumn id="2756" xr3:uid="{75A9BC03-5C29-45D3-9D6E-7600846D62CF}" name="Column2745"/>
    <tableColumn id="2757" xr3:uid="{4CC76956-B167-4F1A-B51A-6C86ECB4818A}" name="Column2746"/>
    <tableColumn id="2758" xr3:uid="{73706C11-6ADE-4485-82F8-4E4188350F3D}" name="Column2747"/>
    <tableColumn id="2759" xr3:uid="{8EAF5615-4812-4E31-BA43-966333DA00B2}" name="Column2748"/>
    <tableColumn id="2760" xr3:uid="{3E4CBD31-4310-464B-9687-128474258CF0}" name="Column2749"/>
    <tableColumn id="2761" xr3:uid="{198B263B-2750-46C5-8893-D06EEFFB1EFE}" name="Column2750"/>
    <tableColumn id="2762" xr3:uid="{80B463FF-A1A0-4E77-95B7-BF0056020A7F}" name="Column2751"/>
    <tableColumn id="2763" xr3:uid="{45668522-C4B8-4863-B6ED-4B23A963A3B4}" name="Column2752"/>
    <tableColumn id="2764" xr3:uid="{0D20FFE7-5385-4866-ADB6-DBFA96FBF371}" name="Column2753"/>
    <tableColumn id="2765" xr3:uid="{EB34A7F4-D14B-448D-8656-9873E8C27C2D}" name="Column2754"/>
    <tableColumn id="2766" xr3:uid="{86550742-624B-42BF-A6F4-864F33458CE3}" name="Column2755"/>
    <tableColumn id="2767" xr3:uid="{E9E41659-939F-4D19-9FAC-D415F08521C7}" name="Column2756"/>
    <tableColumn id="2768" xr3:uid="{8D8B7A9C-289D-422C-9C52-619F34C3E398}" name="Column2757"/>
    <tableColumn id="2769" xr3:uid="{BB9190E2-4666-4579-B971-1F46BC07789D}" name="Column2758"/>
    <tableColumn id="2770" xr3:uid="{CA5A7591-BEA4-429A-A0F8-6941DE22506A}" name="Column2759"/>
    <tableColumn id="2771" xr3:uid="{10BE7C36-4F99-4E4F-8BF3-F2F9B096EB59}" name="Column2760"/>
    <tableColumn id="2772" xr3:uid="{9761F206-1AC5-43AD-82DF-EBD6087F9EA1}" name="Column2761"/>
    <tableColumn id="2773" xr3:uid="{9E5243D2-5900-4950-97F1-3B823A2A2FB9}" name="Column2762"/>
    <tableColumn id="2774" xr3:uid="{929C17EB-EA94-49EC-A6FA-93C73DEA1B5C}" name="Column2763"/>
    <tableColumn id="2775" xr3:uid="{B5390C26-F4BA-4611-972A-8B63CAA8FB63}" name="Column2764"/>
    <tableColumn id="2776" xr3:uid="{1D6604F5-682F-431C-BA7D-5399FFFFF370}" name="Column2765"/>
    <tableColumn id="2777" xr3:uid="{6CC6F2A0-D35E-4816-8A79-8A47D8A14DE3}" name="Column2766"/>
    <tableColumn id="2778" xr3:uid="{A30160EB-C3D9-4CD9-B8F1-61E1FFC0F16E}" name="Column2767"/>
    <tableColumn id="2779" xr3:uid="{6CCE5B26-7407-4D5C-86A9-771DBDBA1098}" name="Column2768"/>
    <tableColumn id="2780" xr3:uid="{9C5D3157-9903-491D-B899-C92D7316CC01}" name="Column2769"/>
    <tableColumn id="2781" xr3:uid="{F5256FBD-A8A5-4266-9CFA-E8B228063CE0}" name="Column2770"/>
    <tableColumn id="2782" xr3:uid="{007B4E99-77D9-4803-8F6D-71133CD28AA2}" name="Column2771"/>
    <tableColumn id="2783" xr3:uid="{D89B2B4D-CB0A-4E7C-AD8E-D9B5BCB43EF0}" name="Column2772"/>
    <tableColumn id="2784" xr3:uid="{F6B5AE01-C715-4FAF-9D6A-C1CF0FF8BDBA}" name="Column2773"/>
    <tableColumn id="2785" xr3:uid="{171A9D45-7D71-4B55-A47B-F3F312B5280E}" name="Column2774"/>
    <tableColumn id="2786" xr3:uid="{72BAE2D2-5AEF-42FC-B5B2-F3719DCDFEEA}" name="Column2775"/>
    <tableColumn id="2787" xr3:uid="{148C4AAA-3682-4A24-AEE6-939CB2E771C0}" name="Column2776"/>
    <tableColumn id="2788" xr3:uid="{01DD9BDB-B72F-418D-85AB-443434E4BF2B}" name="Column2777"/>
    <tableColumn id="2789" xr3:uid="{1D37570B-9703-4922-A2C9-7D5BB6342D8B}" name="Column2778"/>
    <tableColumn id="2790" xr3:uid="{2A5DCAEB-EF13-4026-B484-5431252B9859}" name="Column2779"/>
    <tableColumn id="2791" xr3:uid="{0E8B113D-5EDF-4EF5-9C84-89950CB698D3}" name="Column2780"/>
    <tableColumn id="2792" xr3:uid="{70FD172F-EFBF-44F0-9042-C248437009AC}" name="Column2781"/>
    <tableColumn id="2793" xr3:uid="{ECB0EFA0-0774-43D1-A5A6-B5AEE120655A}" name="Column2782"/>
    <tableColumn id="2794" xr3:uid="{12B12F46-BA64-4071-8C60-A9FFC72D67B9}" name="Column2783"/>
    <tableColumn id="2795" xr3:uid="{EA1AD123-FC0E-46D1-A386-C093BF50D353}" name="Column2784"/>
    <tableColumn id="2796" xr3:uid="{87EF2431-B5DD-495C-8DE5-AAA07BCBDF7A}" name="Column2785"/>
    <tableColumn id="2797" xr3:uid="{05B37848-831D-45DF-8A59-1648DDD0E794}" name="Column2786"/>
    <tableColumn id="2798" xr3:uid="{FC7D3DA1-A365-4C9C-AC4E-D62024F8E523}" name="Column2787"/>
    <tableColumn id="2799" xr3:uid="{25686A7C-474E-40B5-BCBD-79ADA0242493}" name="Column2788"/>
    <tableColumn id="2800" xr3:uid="{32E9B48A-2B70-4D6C-8AA7-21A8CC633CCF}" name="Column2789"/>
    <tableColumn id="2801" xr3:uid="{CFF8DFC4-FDE6-4433-935D-1C05C89BD568}" name="Column2790"/>
    <tableColumn id="2802" xr3:uid="{DAC9FA8E-C7E7-4E0C-94B2-752CB9CAE605}" name="Column2791"/>
    <tableColumn id="2803" xr3:uid="{ACF5C082-055E-4011-8D9B-909371DA2B84}" name="Column2792"/>
    <tableColumn id="2804" xr3:uid="{344BF19C-8B73-4DDB-AA94-B9E71B37E0AF}" name="Column2793"/>
    <tableColumn id="2805" xr3:uid="{F133DE3C-2BB0-40DD-B8F3-854641E514AC}" name="Column2794"/>
    <tableColumn id="2806" xr3:uid="{09B45853-3F91-400A-A3DF-5BBA4F34A798}" name="Column2795"/>
    <tableColumn id="2807" xr3:uid="{330C72A1-DB79-4337-AFC0-F3A36BAFFE2A}" name="Column2796"/>
    <tableColumn id="2808" xr3:uid="{5AF68E99-E737-46E7-B4FB-40A94A2AC1F8}" name="Column2797"/>
    <tableColumn id="2809" xr3:uid="{C039EC5B-E1D8-4EC9-A69E-707FCE5A7575}" name="Column2798"/>
    <tableColumn id="2810" xr3:uid="{840165E8-035E-4486-BEA6-88C3C21D7F6F}" name="Column2799"/>
    <tableColumn id="2811" xr3:uid="{40D956DC-53BD-4CBD-9D70-D448DB7B3AEB}" name="Column2800"/>
    <tableColumn id="2812" xr3:uid="{C042CCFD-0E6A-44B4-9263-E71088E1C465}" name="Column2801"/>
    <tableColumn id="2813" xr3:uid="{CB6D8E75-42CB-490D-8365-98A38608110C}" name="Column2802"/>
    <tableColumn id="2814" xr3:uid="{D98BA4CA-DC83-43AA-B76B-478E6849572E}" name="Column2803"/>
    <tableColumn id="2815" xr3:uid="{B108647A-B43C-4243-B144-B84B62797AC5}" name="Column2804"/>
    <tableColumn id="2816" xr3:uid="{9C5A6BC1-B8FE-4823-9AE4-410C2F13CCBC}" name="Column2805"/>
    <tableColumn id="2817" xr3:uid="{BA4AC349-A0E6-4240-86C4-8ED8D49AA9C5}" name="Column2806"/>
    <tableColumn id="2818" xr3:uid="{598B5290-E8E7-467B-BE9D-CCE11722A659}" name="Column2807"/>
    <tableColumn id="2819" xr3:uid="{59B5841A-64DA-4414-A9D7-4BE6C8C4DD2C}" name="Column2808"/>
    <tableColumn id="2820" xr3:uid="{B0975980-AEF6-4234-B8CF-600FBA08B8EB}" name="Column2809"/>
    <tableColumn id="2821" xr3:uid="{B00F66CF-7DFB-4CD9-B705-0072A2E95839}" name="Column2810"/>
    <tableColumn id="2822" xr3:uid="{C2EF660C-61F7-44D3-87F4-78CBE003B803}" name="Column2811"/>
    <tableColumn id="2823" xr3:uid="{9765ABB6-A301-43B2-BF1B-746A4EDBF934}" name="Column2812"/>
    <tableColumn id="2824" xr3:uid="{2B0D3FBF-7BDD-45E3-903A-B8D44E45A05B}" name="Column2813"/>
    <tableColumn id="2825" xr3:uid="{F5D73A9E-1FCD-4BDD-85EF-007F2D8CA404}" name="Column2814"/>
    <tableColumn id="2826" xr3:uid="{9F91206C-688F-492A-9CB0-71CB707FDC76}" name="Column2815"/>
    <tableColumn id="2827" xr3:uid="{A538B83B-4226-4CF2-A1C3-3BB8275F3DC5}" name="Column2816"/>
    <tableColumn id="2828" xr3:uid="{830BC633-2C09-44CA-8777-950F67D020D7}" name="Column2817"/>
    <tableColumn id="2829" xr3:uid="{F4013BA6-8057-4D7E-A474-D6280A154C6C}" name="Column2818"/>
    <tableColumn id="2830" xr3:uid="{092380FB-4DD5-4A16-BE6E-039D19855E02}" name="Column2819"/>
    <tableColumn id="2831" xr3:uid="{8D280D5A-12AE-46CA-AD95-034C1470971E}" name="Column2820"/>
    <tableColumn id="2832" xr3:uid="{50DE3300-E1D5-4DED-AD5B-9C7AB23C6A5A}" name="Column2821"/>
    <tableColumn id="2833" xr3:uid="{08CA790D-4401-4B43-BF68-BDDF98895654}" name="Column2822"/>
    <tableColumn id="2834" xr3:uid="{62B0FA47-760B-4B47-9321-1E9B022B7ECA}" name="Column2823"/>
    <tableColumn id="2835" xr3:uid="{347190E5-60E5-4BF0-AF85-3235276F5AF1}" name="Column2824"/>
    <tableColumn id="2836" xr3:uid="{140229C7-D7CA-4841-8C5C-DE0B645E64BB}" name="Column2825"/>
    <tableColumn id="2837" xr3:uid="{C7F07FD8-DCC0-4A66-B20A-974602532449}" name="Column2826"/>
    <tableColumn id="2838" xr3:uid="{3B7947C5-72EC-4478-8326-83DC016BF11C}" name="Column2827"/>
    <tableColumn id="2839" xr3:uid="{6FCBCBE5-66D9-4821-8575-54A20E7C31AA}" name="Column2828"/>
    <tableColumn id="2840" xr3:uid="{FEBA7C72-CB7B-46A3-A290-CD93BE630451}" name="Column2829"/>
    <tableColumn id="2841" xr3:uid="{CA270D1B-36D9-43B9-811E-D1AB44C6D483}" name="Column2830"/>
    <tableColumn id="2842" xr3:uid="{DBE62BD4-F2F1-40D3-A915-69796004E401}" name="Column2831"/>
    <tableColumn id="2843" xr3:uid="{770AD55D-19EC-4FF1-814C-15535CC9FE08}" name="Column2832"/>
    <tableColumn id="2844" xr3:uid="{1A9E5831-DD04-49B8-A4D2-3A8891700E6D}" name="Column2833"/>
    <tableColumn id="2845" xr3:uid="{4105CAB0-1704-4563-9FB7-4E775A65CAC3}" name="Column2834"/>
    <tableColumn id="2846" xr3:uid="{3B870669-18DF-4CAD-B05D-BA37EEDDFAF6}" name="Column2835"/>
    <tableColumn id="2847" xr3:uid="{1D0D90DD-BBAA-45B8-813E-C4899261B22A}" name="Column2836"/>
    <tableColumn id="2848" xr3:uid="{A26F1F71-FF2B-4DD8-AEC9-A406FFCFDED3}" name="Column2837"/>
    <tableColumn id="2849" xr3:uid="{4ECCA4D0-30FD-4D6A-919E-F540D29D227C}" name="Column2838"/>
    <tableColumn id="2850" xr3:uid="{9DE961C5-D4B6-4340-BA67-32624601162D}" name="Column2839"/>
    <tableColumn id="2851" xr3:uid="{3E850160-231C-4889-B5DC-209F58B06AA6}" name="Column2840"/>
    <tableColumn id="2852" xr3:uid="{AF669D75-A528-45C6-8660-D193AA8AFB68}" name="Column2841"/>
    <tableColumn id="2853" xr3:uid="{5B3D5092-5B7D-43B7-BDE1-8B896CC4C3C8}" name="Column2842"/>
    <tableColumn id="2854" xr3:uid="{FEB40B2A-D855-4DD0-B4EE-48C879D26AE4}" name="Column2843"/>
    <tableColumn id="2855" xr3:uid="{A18A5756-FD56-4C22-A38F-F00F19861F1A}" name="Column2844"/>
    <tableColumn id="2856" xr3:uid="{CD464CDF-4A8E-4B24-B9CF-49FD040E87C3}" name="Column2845"/>
    <tableColumn id="2857" xr3:uid="{50E4BB44-84DC-4237-84B5-749FC1D3F020}" name="Column2846"/>
    <tableColumn id="2858" xr3:uid="{7346CDA6-C0C5-4C3A-9BCD-2C126F4F91CB}" name="Column2847"/>
    <tableColumn id="2859" xr3:uid="{4AB55FF3-4345-44F5-A39D-E8EA5C019345}" name="Column2848"/>
    <tableColumn id="2860" xr3:uid="{06D95F5C-E311-4410-8A3C-04ACEF91B606}" name="Column2849"/>
    <tableColumn id="2861" xr3:uid="{05D2F6D2-CD70-4339-9F7F-7E566BB5A5A4}" name="Column2850"/>
    <tableColumn id="2862" xr3:uid="{60B8B881-C0F8-4712-BD1A-C877831D5B4C}" name="Column2851"/>
    <tableColumn id="2863" xr3:uid="{557C9E4B-3BB3-4C56-B45E-1080A2C65B95}" name="Column2852"/>
    <tableColumn id="2864" xr3:uid="{2509E87B-6CB3-41C4-8FE6-27DE947E78AE}" name="Column2853"/>
    <tableColumn id="2865" xr3:uid="{93F10CB5-5CDE-49FF-A4D6-798E9C8BF4FD}" name="Column2854"/>
    <tableColumn id="2866" xr3:uid="{380C0ED5-CAD0-449A-B733-F002578BC6DA}" name="Column2855"/>
    <tableColumn id="2867" xr3:uid="{670522DD-7FCA-40D3-B862-103DA0BBF95D}" name="Column2856"/>
    <tableColumn id="2868" xr3:uid="{B1B43418-A665-4E1B-A935-6EDF550CD978}" name="Column2857"/>
    <tableColumn id="2869" xr3:uid="{AB24FECB-F964-4E34-8A76-F1E64545C46A}" name="Column2858"/>
    <tableColumn id="2870" xr3:uid="{9EE7B57C-EBEB-46E7-80F4-DFE73A7CBC31}" name="Column2859"/>
    <tableColumn id="2871" xr3:uid="{89F74A52-C539-46ED-9A48-698B53AC7FF2}" name="Column2860"/>
    <tableColumn id="2872" xr3:uid="{68EF78C8-C0DD-4B1F-945B-D1D010622599}" name="Column2861"/>
    <tableColumn id="2873" xr3:uid="{441BF5FE-DB11-4FAE-BFD5-D6BF72F75DD3}" name="Column2862"/>
    <tableColumn id="2874" xr3:uid="{36F76983-2F29-4F07-A550-62BCC543871E}" name="Column2863"/>
    <tableColumn id="2875" xr3:uid="{9DEF1DD2-0400-4B64-98A7-036634327565}" name="Column2864"/>
    <tableColumn id="2876" xr3:uid="{6305A20D-3806-4A59-9EA0-1417D2E0D9AB}" name="Column2865"/>
    <tableColumn id="2877" xr3:uid="{3D13E5BB-9DA0-4BFB-8517-0BF68735A1C9}" name="Column2866"/>
    <tableColumn id="2878" xr3:uid="{F1793233-FA7D-4B3F-9754-F2A26D99AA98}" name="Column2867"/>
    <tableColumn id="2879" xr3:uid="{A74008E3-DF9F-4E3C-8577-EC8C7AD7EF18}" name="Column2868"/>
    <tableColumn id="2880" xr3:uid="{E2B84C67-B251-40AA-A0CE-CD6B5626DAC2}" name="Column2869"/>
    <tableColumn id="2881" xr3:uid="{618CF4B8-135F-4468-8C03-76225F7DA203}" name="Column2870"/>
    <tableColumn id="2882" xr3:uid="{DD235681-7150-4230-8E17-1798E993AB52}" name="Column2871"/>
    <tableColumn id="2883" xr3:uid="{D1259216-1144-42F9-AE4E-2B510A155EEF}" name="Column2872"/>
    <tableColumn id="2884" xr3:uid="{D1245DCF-C04A-4B24-9397-8F447DFD81DC}" name="Column2873"/>
    <tableColumn id="2885" xr3:uid="{83BAF0CB-5ECD-4972-B4DE-9F82CC269A6C}" name="Column2874"/>
    <tableColumn id="2886" xr3:uid="{76D8D4D4-B275-4DAC-86D0-43C0AC31433F}" name="Column2875"/>
    <tableColumn id="2887" xr3:uid="{158FE7D9-D88F-49FB-A4D2-B306A7EB4599}" name="Column2876"/>
    <tableColumn id="2888" xr3:uid="{9AFA2D27-25C8-48EE-825C-5FABC0E1A866}" name="Column2877"/>
    <tableColumn id="2889" xr3:uid="{CB899E09-9019-41FE-AA36-1CA0E162F89D}" name="Column2878"/>
    <tableColumn id="2890" xr3:uid="{614AD6D6-13A4-4EAC-A465-C2F1F64BE100}" name="Column2879"/>
    <tableColumn id="2891" xr3:uid="{71C809FA-6750-47D9-A740-38741F3DED90}" name="Column2880"/>
    <tableColumn id="2892" xr3:uid="{D3838D9A-E1DB-4D21-A174-1437769F8E7C}" name="Column2881"/>
    <tableColumn id="2893" xr3:uid="{7E516180-32A9-4D81-B189-323844759ACC}" name="Column2882"/>
    <tableColumn id="2894" xr3:uid="{211CB79B-6538-4B15-8B22-BB9109955E3E}" name="Column2883"/>
    <tableColumn id="2895" xr3:uid="{FE9349B1-2D4A-4003-AF26-0582E523A120}" name="Column2884"/>
    <tableColumn id="2896" xr3:uid="{7AB71260-053C-40DB-9B86-1DA9B090DE5A}" name="Column2885"/>
    <tableColumn id="2897" xr3:uid="{02153466-E1B7-4B80-AEDB-3D8435D3EE3E}" name="Column2886"/>
    <tableColumn id="2898" xr3:uid="{1C413AB4-C4E7-4F1A-A8ED-FD0D86C19BE2}" name="Column2887"/>
    <tableColumn id="2899" xr3:uid="{9BCA5EDE-1C7B-4817-AC03-F001B814395E}" name="Column2888"/>
    <tableColumn id="2900" xr3:uid="{6B9BC729-DFF9-4911-8C52-5ECC54370A03}" name="Column2889"/>
    <tableColumn id="2901" xr3:uid="{0F2F303A-9B6E-48B0-873C-E5A95EDAE410}" name="Column2890"/>
    <tableColumn id="2902" xr3:uid="{AF952906-E6D7-46CC-AA13-A11A13CDEEF7}" name="Column2891"/>
    <tableColumn id="2903" xr3:uid="{4DCBD203-95FA-4DA3-B3CC-D0407DF572D3}" name="Column2892"/>
    <tableColumn id="2904" xr3:uid="{60384084-BE5E-47D7-A86A-1A67F1E27505}" name="Column2893"/>
    <tableColumn id="2905" xr3:uid="{B6A529AA-1438-4501-A86F-98813118A50F}" name="Column2894"/>
    <tableColumn id="2906" xr3:uid="{3881F4AF-E87F-4BA9-ABB9-B3543078F7C9}" name="Column2895"/>
    <tableColumn id="2907" xr3:uid="{A7BBFC04-39CF-4F76-BD5C-1878E5A803C8}" name="Column2896"/>
    <tableColumn id="2908" xr3:uid="{BABD57F7-E743-4639-BAB9-2572206BB84B}" name="Column2897"/>
    <tableColumn id="2909" xr3:uid="{DF304FE2-3446-46A8-888A-5E5DF6100407}" name="Column2898"/>
    <tableColumn id="2910" xr3:uid="{4DB2AD18-9F53-4625-B74C-46CEF37246DD}" name="Column2899"/>
    <tableColumn id="2911" xr3:uid="{464B43DC-AE14-429B-9360-3DF9FD7899C5}" name="Column2900"/>
    <tableColumn id="2912" xr3:uid="{A5BDAF76-4361-479A-92CE-57B4FBDE2A03}" name="Column2901"/>
    <tableColumn id="2913" xr3:uid="{FA180C73-F1DD-4EF5-A657-C10F1E277E6C}" name="Column2902"/>
    <tableColumn id="2914" xr3:uid="{87271E16-2337-41E6-8292-F097E90D5DCC}" name="Column2903"/>
    <tableColumn id="2915" xr3:uid="{A7ADEE60-1DFE-4278-94FE-BAA6EB30FA48}" name="Column2904"/>
    <tableColumn id="2916" xr3:uid="{7EBD695B-5617-4FDA-BB9C-F7C6C2F64793}" name="Column2905"/>
    <tableColumn id="2917" xr3:uid="{1B97F5DB-9BEF-43BA-A6D8-13D54477C0A0}" name="Column2906"/>
    <tableColumn id="2918" xr3:uid="{65CFD42F-1915-4044-A94C-D8AC3AC64541}" name="Column2907"/>
    <tableColumn id="2919" xr3:uid="{4CC4A6A3-3877-416C-B604-584CDAD876D4}" name="Column2908"/>
    <tableColumn id="2920" xr3:uid="{2A9FC7D3-0C5A-46F7-8D96-0A341D32E27B}" name="Column2909"/>
    <tableColumn id="2921" xr3:uid="{5134CDF1-8159-488A-95A8-604213DA6CA8}" name="Column2910"/>
    <tableColumn id="2922" xr3:uid="{3E8C1CEC-9CA7-4A8D-A30D-04B35A3CBC3A}" name="Column2911"/>
    <tableColumn id="2923" xr3:uid="{CF2CC985-9732-4DC3-A3C6-CA9933743A66}" name="Column2912"/>
    <tableColumn id="2924" xr3:uid="{4118C128-1517-486E-86AD-747E2BCDFFA6}" name="Column2913"/>
    <tableColumn id="2925" xr3:uid="{158E675A-A47C-48BE-8643-2B68F407984C}" name="Column2914"/>
    <tableColumn id="2926" xr3:uid="{988AB6C6-B7C9-4504-B60D-95AB444A91B4}" name="Column2915"/>
    <tableColumn id="2927" xr3:uid="{6662AE7A-01CB-446D-83DF-C4E259FD832D}" name="Column2916"/>
    <tableColumn id="2928" xr3:uid="{7F22BC0A-A6B6-4B8B-9D77-178A91389CB4}" name="Column2917"/>
    <tableColumn id="2929" xr3:uid="{62CDAC8B-3613-40A3-BC5A-7A524B14CD20}" name="Column2918"/>
    <tableColumn id="2930" xr3:uid="{BB62D4A3-33CA-49AB-8AB4-012D9B0936F0}" name="Column2919"/>
    <tableColumn id="2931" xr3:uid="{4B0286D0-268A-4FC6-BB6C-FDDE8DD8FD38}" name="Column2920"/>
    <tableColumn id="2932" xr3:uid="{9667A0E8-4589-48EC-8509-AC1CF7F6CEF8}" name="Column2921"/>
    <tableColumn id="2933" xr3:uid="{46626AF7-E083-4BAF-A7A5-161A5439A9E9}" name="Column2922"/>
    <tableColumn id="2934" xr3:uid="{3DDDEE61-E37E-4646-989C-4E549A2B7AA9}" name="Column2923"/>
    <tableColumn id="2935" xr3:uid="{1B4A504F-B044-4EC7-8F69-730310295D72}" name="Column2924"/>
    <tableColumn id="2936" xr3:uid="{F4BD34B0-E8E0-4B4C-A0FD-B1839F5304D9}" name="Column2925"/>
    <tableColumn id="2937" xr3:uid="{A1572D34-E9D4-4781-8613-B894655D597F}" name="Column2926"/>
    <tableColumn id="2938" xr3:uid="{061CBB86-1267-49AC-A331-CF1038442987}" name="Column2927"/>
    <tableColumn id="2939" xr3:uid="{2E9FCE7B-2C06-457A-8279-86D36A7E03CE}" name="Column2928"/>
    <tableColumn id="2940" xr3:uid="{0AA0F0A2-88B8-4693-9B82-F41EB0D37D47}" name="Column2929"/>
    <tableColumn id="2941" xr3:uid="{099E140B-7E3F-4A4C-9DAE-A54DC02D488F}" name="Column2930"/>
    <tableColumn id="2942" xr3:uid="{42FEE28E-76EC-423F-AC3B-DD7B1E24F93E}" name="Column2931"/>
    <tableColumn id="2943" xr3:uid="{7DF10AD8-4620-47E7-A674-4A0CFA1673CB}" name="Column2932"/>
    <tableColumn id="2944" xr3:uid="{F0F393DD-4FFA-4C94-BEC9-B8E307A10E7E}" name="Column2933"/>
    <tableColumn id="2945" xr3:uid="{0E65147F-CCD7-4993-B845-F1EB1F707ADB}" name="Column2934"/>
    <tableColumn id="2946" xr3:uid="{CCFA467D-E03A-4853-A900-98B22CD5D745}" name="Column2935"/>
    <tableColumn id="2947" xr3:uid="{CC425108-54D8-49DD-AEEA-AA4161121354}" name="Column2936"/>
    <tableColumn id="2948" xr3:uid="{0DC7D646-7727-4CC3-A705-4C439375A162}" name="Column2937"/>
    <tableColumn id="2949" xr3:uid="{FFF215FD-4376-4EDC-B38E-153B1733B0E6}" name="Column2938"/>
    <tableColumn id="2950" xr3:uid="{9B1A9468-6B65-4155-AD03-FFFB3A5849D8}" name="Column2939"/>
    <tableColumn id="2951" xr3:uid="{E726F1A4-F622-4480-B2E5-0A9126E34D36}" name="Column2940"/>
    <tableColumn id="2952" xr3:uid="{11667ACC-CB6B-425D-A95E-2E5FD24BC3E5}" name="Column2941"/>
    <tableColumn id="2953" xr3:uid="{52374128-98FB-4EDA-9AB3-C0374F91051B}" name="Column2942"/>
    <tableColumn id="2954" xr3:uid="{C4EFAE4E-21C1-4AE2-BDD2-D7D6A00F64FA}" name="Column2943"/>
    <tableColumn id="2955" xr3:uid="{EF1E488F-68F7-4BF9-88AD-AF00DE451E59}" name="Column2944"/>
    <tableColumn id="2956" xr3:uid="{0829E28F-7163-4AF3-9BFC-2FEDF4581601}" name="Column2945"/>
    <tableColumn id="2957" xr3:uid="{3EB601F8-26B5-4391-A2B4-1D14F7B8179E}" name="Column2946"/>
    <tableColumn id="2958" xr3:uid="{A220C91C-43D7-445E-B43C-FAAC3F7C545B}" name="Column2947"/>
    <tableColumn id="2959" xr3:uid="{718AC729-FB00-497E-BD82-96CC188A59F0}" name="Column2948"/>
    <tableColumn id="2960" xr3:uid="{7900F468-EEE9-495E-B4F0-BAFBD6E00084}" name="Column2949"/>
    <tableColumn id="2961" xr3:uid="{491493C6-4646-4145-A2C9-1B1CF2C2E32C}" name="Column2950"/>
    <tableColumn id="2962" xr3:uid="{10B7DA01-8E57-4B9C-9F67-47752624C511}" name="Column2951"/>
    <tableColumn id="2963" xr3:uid="{60592F16-168D-43B1-9780-6BC3E51173C5}" name="Column2952"/>
    <tableColumn id="2964" xr3:uid="{86F418A6-C07E-4936-B0FD-2E7CCC3D5815}" name="Column2953"/>
    <tableColumn id="2965" xr3:uid="{5361F867-B227-4E17-9995-EF904B4198C3}" name="Column2954"/>
    <tableColumn id="2966" xr3:uid="{9E7D0EEF-6581-41BE-9A5A-B7DF6F15167E}" name="Column2955"/>
    <tableColumn id="2967" xr3:uid="{A50AA8EE-BD30-4CF3-B9E3-B9008E4A160F}" name="Column2956"/>
    <tableColumn id="2968" xr3:uid="{FBB5DFAF-1EF9-4CA7-B9A1-C1E2049D4DEB}" name="Column2957"/>
    <tableColumn id="2969" xr3:uid="{6CABED3B-36E4-42C7-9509-12EED8E8DF0D}" name="Column2958"/>
    <tableColumn id="2970" xr3:uid="{E9A9C42C-540B-444C-BC0C-BE74AD745428}" name="Column2959"/>
    <tableColumn id="2971" xr3:uid="{D1F00BB6-023B-4976-B687-2CCBBB7BA03B}" name="Column2960"/>
    <tableColumn id="2972" xr3:uid="{53ECB1DB-4F42-4153-B51C-F1F59011A634}" name="Column2961"/>
    <tableColumn id="2973" xr3:uid="{1CD5BB3E-DE0A-4EAC-A13D-103036106169}" name="Column2962"/>
    <tableColumn id="2974" xr3:uid="{F90B3C44-C254-418D-946E-6357997FCA72}" name="Column2963"/>
    <tableColumn id="2975" xr3:uid="{DC32D559-16A1-4934-A6A9-A231A65559C5}" name="Column2964"/>
    <tableColumn id="2976" xr3:uid="{DEC2AA00-6436-4933-9A31-AD0D1663F6FA}" name="Column2965"/>
    <tableColumn id="2977" xr3:uid="{171C47FF-2954-45E1-A25F-73F709943D38}" name="Column2966"/>
    <tableColumn id="2978" xr3:uid="{70A63B81-DA74-4D64-B78E-4A5F143E57E6}" name="Column2967"/>
    <tableColumn id="2979" xr3:uid="{7AAE7B62-0A97-4667-B8E9-6E675E902D20}" name="Column2968"/>
    <tableColumn id="2980" xr3:uid="{840F2043-CB37-46DE-97E6-AF2D961DA2AD}" name="Column2969"/>
    <tableColumn id="2981" xr3:uid="{14118068-B355-41D3-8E61-71B523CB8AF4}" name="Column2970"/>
    <tableColumn id="2982" xr3:uid="{B748AE00-3813-405B-ACD6-69830E4B5FB8}" name="Column2971"/>
    <tableColumn id="2983" xr3:uid="{7D03E215-D03B-4EC9-8764-50B1F6FDCCA6}" name="Column2972"/>
    <tableColumn id="2984" xr3:uid="{B13A1AA6-ABF2-4A6D-8B47-CB7AAB4D891C}" name="Column2973"/>
    <tableColumn id="2985" xr3:uid="{B50D911D-7CB6-4EEA-AA65-3EE12E1ADE5E}" name="Column2974"/>
    <tableColumn id="2986" xr3:uid="{2204030F-94C3-4E01-8BCF-955971CB30EB}" name="Column2975"/>
    <tableColumn id="2987" xr3:uid="{8E3E4004-8472-464B-B080-CC6F7C18A9C5}" name="Column2976"/>
    <tableColumn id="2988" xr3:uid="{4D7B6016-7F3E-4CE7-9ADB-133007044374}" name="Column2977"/>
    <tableColumn id="2989" xr3:uid="{B9AC06AC-FEC2-42E3-A4B9-35CA39E6FA44}" name="Column2978"/>
    <tableColumn id="2990" xr3:uid="{E1486065-1EBE-49E4-A803-95BF9B38FB10}" name="Column2979"/>
    <tableColumn id="2991" xr3:uid="{E3EA8A5E-8F08-4C63-93DE-0F5F792284DE}" name="Column2980"/>
    <tableColumn id="2992" xr3:uid="{D4893B91-E496-481A-B216-BE4E07751026}" name="Column2981"/>
    <tableColumn id="2993" xr3:uid="{3D23CF39-FE15-4932-81A0-0C9A04628D11}" name="Column2982"/>
    <tableColumn id="2994" xr3:uid="{0905C20C-0424-47D0-A208-71ECA3143028}" name="Column2983"/>
    <tableColumn id="2995" xr3:uid="{1BFC1F13-AE0D-431D-8CDC-9BA187F738EB}" name="Column2984"/>
    <tableColumn id="2996" xr3:uid="{87089710-05F5-4565-B6F6-F0B49A9773FB}" name="Column2985"/>
    <tableColumn id="2997" xr3:uid="{C412FD89-C21D-44C3-8BF5-DEA7B18E8138}" name="Column2986"/>
    <tableColumn id="2998" xr3:uid="{9DC41864-AFCC-460E-ACB4-5F047BEA28D9}" name="Column2987"/>
    <tableColumn id="2999" xr3:uid="{44DF5886-773F-48D3-A31A-C0AAA7D9CA95}" name="Column2988"/>
    <tableColumn id="3000" xr3:uid="{2F499F8E-F317-483F-BC0E-AA7D2FD4AF1E}" name="Column2989"/>
    <tableColumn id="3001" xr3:uid="{AD3EA953-32F1-4871-B8EB-9794FA19A1AE}" name="Column2990"/>
    <tableColumn id="3002" xr3:uid="{33ECEC87-01DF-434B-97E3-0DBB770F9EC2}" name="Column2991"/>
    <tableColumn id="3003" xr3:uid="{FE41E8FE-715D-45F4-B0C4-27A83ECB208E}" name="Column2992"/>
    <tableColumn id="3004" xr3:uid="{8AEEE106-AE5E-42E6-8E4F-7615E572FC33}" name="Column2993"/>
    <tableColumn id="3005" xr3:uid="{4CB747E4-CD91-4C03-83C2-BBE5CECDBD11}" name="Column2994"/>
    <tableColumn id="3006" xr3:uid="{78CB7B26-1832-4184-B124-4CD66758E8D2}" name="Column2995"/>
    <tableColumn id="3007" xr3:uid="{FDD044E0-3743-4592-8BD5-6DED8231E125}" name="Column2996"/>
    <tableColumn id="3008" xr3:uid="{5AFDC203-E7A0-4191-B058-24BB7BE1650F}" name="Column2997"/>
    <tableColumn id="3009" xr3:uid="{0792A414-8615-410B-BDBC-41CDD240CA5D}" name="Column2998"/>
    <tableColumn id="3010" xr3:uid="{92209EB7-72E6-4CDE-AC22-6782D06BB1B4}" name="Column2999"/>
    <tableColumn id="3011" xr3:uid="{F8DA8FB4-72D8-4E4D-9654-A3AF3544B51E}" name="Column3000"/>
    <tableColumn id="3012" xr3:uid="{3B8A5ACB-4666-415B-983A-3A2F62B8703D}" name="Column3001"/>
    <tableColumn id="3013" xr3:uid="{E672EDBD-FEE0-4E1E-AB6D-CA6F12CCFD3D}" name="Column3002"/>
    <tableColumn id="3014" xr3:uid="{EFFCF8B5-9347-428D-9F59-8E7F17BC4AED}" name="Column3003"/>
    <tableColumn id="3015" xr3:uid="{F0E40108-A224-42F7-A853-45A235C6AE2F}" name="Column3004"/>
    <tableColumn id="3016" xr3:uid="{AE5D6BA1-3283-4306-89F4-3159521EA4A0}" name="Column3005"/>
    <tableColumn id="3017" xr3:uid="{834D2398-5E83-4DA6-BEFA-0F45A62EAAA5}" name="Column3006"/>
    <tableColumn id="3018" xr3:uid="{322C726C-39CE-4346-9CA3-208B6DEE201B}" name="Column3007"/>
    <tableColumn id="3019" xr3:uid="{0DDD42AE-7B33-440A-BD74-21307DAE5B1B}" name="Column3008"/>
    <tableColumn id="3020" xr3:uid="{A4839AE0-BBF2-46AA-B502-B52B9F555E72}" name="Column3009"/>
    <tableColumn id="3021" xr3:uid="{8631FC33-7B92-4993-B060-7BC34CB241FB}" name="Column3010"/>
    <tableColumn id="3022" xr3:uid="{BA3A6F81-1BF3-4990-8A38-093173B05B12}" name="Column3011"/>
    <tableColumn id="3023" xr3:uid="{F39A7F92-045C-4FDE-AE0C-9EE4372CDEC4}" name="Column3012"/>
    <tableColumn id="3024" xr3:uid="{9B9F1EE9-8AA0-4615-B251-91AED697331E}" name="Column3013"/>
    <tableColumn id="3025" xr3:uid="{7671F3EF-619A-48BD-9D2F-613A14FEE77D}" name="Column3014"/>
    <tableColumn id="3026" xr3:uid="{AB1D106E-DA29-40B7-B987-4D9C69474377}" name="Column3015"/>
    <tableColumn id="3027" xr3:uid="{3CD9C767-7C30-46EA-BF3A-2B76329844E6}" name="Column3016"/>
    <tableColumn id="3028" xr3:uid="{A45AAE31-840A-4B54-907A-21A04E4C7C5C}" name="Column3017"/>
    <tableColumn id="3029" xr3:uid="{AC136A4B-B0E3-4C0B-AD88-CDA23466DA28}" name="Column3018"/>
    <tableColumn id="3030" xr3:uid="{E70ABA46-9BA9-4C70-B3D0-68605017295B}" name="Column3019"/>
    <tableColumn id="3031" xr3:uid="{D2D20D34-F722-4FB1-B015-4EDC99D81B15}" name="Column3020"/>
    <tableColumn id="3032" xr3:uid="{4E6DCE91-82CB-4514-A8F8-8BC415DE9EB0}" name="Column3021"/>
    <tableColumn id="3033" xr3:uid="{C4D7B421-FD0D-4025-80ED-7160B231556A}" name="Column3022"/>
    <tableColumn id="3034" xr3:uid="{40AF9A84-4D0B-419C-AF9F-2937C5284FD5}" name="Column3023"/>
    <tableColumn id="3035" xr3:uid="{7A289565-6294-411F-9440-1FE463CD0D50}" name="Column3024"/>
    <tableColumn id="3036" xr3:uid="{841FD5FF-A273-48FF-A86E-42935330FCBF}" name="Column3025"/>
    <tableColumn id="3037" xr3:uid="{DD2C1A11-D6DB-4279-B6D7-DEA555D536FF}" name="Column3026"/>
    <tableColumn id="3038" xr3:uid="{99D1F861-4679-41DF-B449-FFE06D361755}" name="Column3027"/>
    <tableColumn id="3039" xr3:uid="{C2DFC0B0-6840-4E8C-B658-42929C88A6E2}" name="Column3028"/>
    <tableColumn id="3040" xr3:uid="{10AE338F-93D7-4191-983C-4E3800CE2235}" name="Column3029"/>
    <tableColumn id="3041" xr3:uid="{D7C730DD-DF4D-42A8-89C8-2C2A9594137B}" name="Column3030"/>
    <tableColumn id="3042" xr3:uid="{B445DEA8-46AD-48D8-A42A-BB5C019A5DC5}" name="Column3031"/>
    <tableColumn id="3043" xr3:uid="{494E017E-1815-4C8D-9978-C182A02599A8}" name="Column3032"/>
    <tableColumn id="3044" xr3:uid="{4B5E14CF-EE28-4130-8EFC-AF9CB9016881}" name="Column3033"/>
    <tableColumn id="3045" xr3:uid="{79C116F8-1800-467E-AACD-335553EEF50C}" name="Column3034"/>
    <tableColumn id="3046" xr3:uid="{F943CA60-06BE-424A-9F5A-D63F09F4D37D}" name="Column3035"/>
    <tableColumn id="3047" xr3:uid="{A0594DC3-72EA-4B02-9EAD-4E8985E614CB}" name="Column3036"/>
    <tableColumn id="3048" xr3:uid="{E4E270DE-BFA5-4846-9CC4-CE6483CED97A}" name="Column3037"/>
    <tableColumn id="3049" xr3:uid="{AEFD932E-C687-4AB4-B8DD-C91FC22C8F6C}" name="Column3038"/>
    <tableColumn id="3050" xr3:uid="{A1FB6EA5-62F0-471C-8010-D2051D07048D}" name="Column3039"/>
    <tableColumn id="3051" xr3:uid="{E93843FF-0E4E-421E-A88F-0D5D22201363}" name="Column3040"/>
    <tableColumn id="3052" xr3:uid="{B958CD57-D358-45E6-8840-BF382AAAC078}" name="Column3041"/>
    <tableColumn id="3053" xr3:uid="{911BDDA8-4508-4554-8471-78F6D7569253}" name="Column3042"/>
    <tableColumn id="3054" xr3:uid="{B0C546D3-2154-4567-9D40-1A5FBC258AE8}" name="Column3043"/>
    <tableColumn id="3055" xr3:uid="{BE79B848-E891-4D6D-80A3-A3B496E65D88}" name="Column3044"/>
    <tableColumn id="3056" xr3:uid="{FA2B7A75-A2F4-4579-89FD-DC1067C194A6}" name="Column3045"/>
    <tableColumn id="3057" xr3:uid="{931429B6-925F-43F4-9015-03789D08E383}" name="Column3046"/>
    <tableColumn id="3058" xr3:uid="{8E8731AB-784E-499C-9C10-D8789D7EB867}" name="Column3047"/>
    <tableColumn id="3059" xr3:uid="{B9BEF4E4-300B-4C6A-9DEE-094DCA79FD0E}" name="Column3048"/>
    <tableColumn id="3060" xr3:uid="{52ABA396-7A5C-4AF4-AA24-80B4CA787A18}" name="Column3049"/>
    <tableColumn id="3061" xr3:uid="{E5B5AEBA-49B5-4EE9-9D4B-81A7B4123D80}" name="Column3050"/>
    <tableColumn id="3062" xr3:uid="{8442398B-60AC-475F-AB29-B163A316A6F6}" name="Column3051"/>
    <tableColumn id="3063" xr3:uid="{EF432857-A28D-4E33-90C9-AF4AF3B755F4}" name="Column3052"/>
    <tableColumn id="3064" xr3:uid="{4EEBD82B-15A1-495F-B98D-ADC574065C75}" name="Column3053"/>
    <tableColumn id="3065" xr3:uid="{183C1411-AC62-4EF8-8F96-1FAB933EFCAC}" name="Column3054"/>
    <tableColumn id="3066" xr3:uid="{D50D7DF6-8820-4956-B955-1F6180820A4F}" name="Column3055"/>
    <tableColumn id="3067" xr3:uid="{C798A9C4-AF37-403B-95B7-A1638109511C}" name="Column3056"/>
    <tableColumn id="3068" xr3:uid="{D8BDAA80-7706-46F9-9CEF-F58691E44A55}" name="Column3057"/>
    <tableColumn id="3069" xr3:uid="{01AAE9C8-58A3-4E90-9EF8-B05DA54F9FBD}" name="Column3058"/>
    <tableColumn id="3070" xr3:uid="{B10A43C8-33F3-4AFB-A119-385AD15C1721}" name="Column3059"/>
    <tableColumn id="3071" xr3:uid="{6918AFCF-3C46-41B1-BB52-BF2468A13D7E}" name="Column3060"/>
    <tableColumn id="3072" xr3:uid="{EE67ACA2-07D1-4755-8601-FC39755F52A1}" name="Column3061"/>
    <tableColumn id="3073" xr3:uid="{B38B1B16-EA32-46DA-88EF-1F1B8860F629}" name="Column3062"/>
    <tableColumn id="3074" xr3:uid="{A0AB389C-4084-4FB6-9A86-327E6272401F}" name="Column3063"/>
    <tableColumn id="3075" xr3:uid="{1D04EA6D-1B3D-44A3-9E0A-5E31F86CD20F}" name="Column3064"/>
    <tableColumn id="3076" xr3:uid="{FB006BC3-05FC-4E80-94C7-4D09D84009C2}" name="Column3065"/>
    <tableColumn id="3077" xr3:uid="{C899E1C2-877E-4CF5-A702-ED0A9738402B}" name="Column3066"/>
    <tableColumn id="3078" xr3:uid="{A580F3B0-BCE7-4A99-93E2-D0A510270E52}" name="Column3067"/>
    <tableColumn id="3079" xr3:uid="{0031861B-7286-4798-A1B3-08C2DA7274CD}" name="Column3068"/>
    <tableColumn id="3080" xr3:uid="{E12BE2F3-0763-4896-AB5D-D13620665185}" name="Column3069"/>
    <tableColumn id="3081" xr3:uid="{75459463-43EE-4E9D-B23F-7E1B036B53D7}" name="Column3070"/>
    <tableColumn id="3082" xr3:uid="{54D21BC2-B450-4614-AB25-4750F0E2ED85}" name="Column3071"/>
    <tableColumn id="3083" xr3:uid="{9ECC7FA3-8EA0-42CB-AC7C-102CC15555BF}" name="Column3072"/>
    <tableColumn id="3084" xr3:uid="{69F8F57C-FAF8-4622-AFBF-D6B8B99FC372}" name="Column3073"/>
    <tableColumn id="3085" xr3:uid="{54E6644D-B7B8-47F1-BD7B-8488D1223A63}" name="Column3074"/>
    <tableColumn id="3086" xr3:uid="{BFBC7222-DB1D-4AA9-B53C-ADF52A07AF6C}" name="Column3075"/>
    <tableColumn id="3087" xr3:uid="{5ED948B4-5F98-42FB-839C-D38227E5D0D4}" name="Column3076"/>
    <tableColumn id="3088" xr3:uid="{E05DE2E2-D9F6-4F64-AC5D-A54537C2CAC3}" name="Column3077"/>
    <tableColumn id="3089" xr3:uid="{A0AC5741-EFA7-465A-9125-251FC163C139}" name="Column3078"/>
    <tableColumn id="3090" xr3:uid="{DCC3DD02-EAD1-462C-99B4-37662D4DBC6A}" name="Column3079"/>
    <tableColumn id="3091" xr3:uid="{C58E298F-A887-4D0B-80FF-F0225F778085}" name="Column3080"/>
    <tableColumn id="3092" xr3:uid="{04A9C82F-2AAD-4338-907D-44817AA96682}" name="Column3081"/>
    <tableColumn id="3093" xr3:uid="{A2A4598A-3591-4316-AB70-F9E14743551C}" name="Column3082"/>
    <tableColumn id="3094" xr3:uid="{4E9C3FE6-0A24-4312-904E-9A28EBA6337F}" name="Column3083"/>
    <tableColumn id="3095" xr3:uid="{641EBAA2-115F-48E2-BBF3-D4AA08F30B72}" name="Column3084"/>
    <tableColumn id="3096" xr3:uid="{885FC5D3-864C-4DE7-89DA-1538BFE692CF}" name="Column3085"/>
    <tableColumn id="3097" xr3:uid="{90872604-0C98-4661-B0ED-2BC4CCF842CB}" name="Column3086"/>
    <tableColumn id="3098" xr3:uid="{B4C2A18F-6D18-4FAB-B85D-2CD925F9892C}" name="Column3087"/>
    <tableColumn id="3099" xr3:uid="{FD4ADE9D-95FD-42FB-9B28-2997AC32E1B2}" name="Column3088"/>
    <tableColumn id="3100" xr3:uid="{ED7941DA-DACD-4765-AC0B-C6CDEF5D3933}" name="Column3089"/>
    <tableColumn id="3101" xr3:uid="{2FEC0422-3D07-42F5-A120-77A9D4DA4EF8}" name="Column3090"/>
    <tableColumn id="3102" xr3:uid="{E9F522EF-992E-4586-8DDD-FD50482A5CDC}" name="Column3091"/>
    <tableColumn id="3103" xr3:uid="{E307253D-A93B-4457-B3A6-2F1FFC70F1A1}" name="Column3092"/>
    <tableColumn id="3104" xr3:uid="{26286771-1B93-48D6-80A1-76D990731BAB}" name="Column3093"/>
    <tableColumn id="3105" xr3:uid="{3C7AC7D1-F812-4216-B3C0-46633DD045DF}" name="Column3094"/>
    <tableColumn id="3106" xr3:uid="{40F100E5-E806-46B0-A706-C1073C226E77}" name="Column3095"/>
    <tableColumn id="3107" xr3:uid="{3F802878-175F-467C-B069-7D589207EB9A}" name="Column3096"/>
    <tableColumn id="3108" xr3:uid="{B1178D79-ED10-498C-AB5F-C250510C693C}" name="Column3097"/>
    <tableColumn id="3109" xr3:uid="{0A7F99FE-2D50-4253-AC08-EF2D255C0F71}" name="Column3098"/>
    <tableColumn id="3110" xr3:uid="{5058D35B-F06A-4FB2-A2B1-98BA56448FBF}" name="Column3099"/>
    <tableColumn id="3111" xr3:uid="{A45192ED-1470-4768-88CA-8B35A9BBE0A2}" name="Column3100"/>
    <tableColumn id="3112" xr3:uid="{79F2BC41-CF7A-421E-9D25-4A5C8769BFFA}" name="Column3101"/>
    <tableColumn id="3113" xr3:uid="{5F9F2D90-09AB-49B4-894A-D4B92EBA2355}" name="Column3102"/>
    <tableColumn id="3114" xr3:uid="{04B9B158-1026-44E3-AB42-EC1F5E22723D}" name="Column3103"/>
    <tableColumn id="3115" xr3:uid="{C3D30DAC-F65D-4436-9768-B0BD5100A63F}" name="Column3104"/>
    <tableColumn id="3116" xr3:uid="{C362A4A4-EF5A-4FDE-8ACC-D26DB582C580}" name="Column3105"/>
    <tableColumn id="3117" xr3:uid="{36C1F524-E5BE-488B-9664-C29964A287A6}" name="Column3106"/>
    <tableColumn id="3118" xr3:uid="{5653A176-34C7-4DBA-AEEB-C742634B86A4}" name="Column3107"/>
    <tableColumn id="3119" xr3:uid="{25CF6475-01C6-4AFD-A3A1-E3E80D4126B3}" name="Column3108"/>
    <tableColumn id="3120" xr3:uid="{92466B01-EA8A-4E2C-9191-6BA8872DA6C5}" name="Column3109"/>
    <tableColumn id="3121" xr3:uid="{19AD79CA-AC4F-4F18-BE81-5F09DA49F094}" name="Column3110"/>
    <tableColumn id="3122" xr3:uid="{AEDC5772-663F-4D94-A42F-5350522E657F}" name="Column3111"/>
    <tableColumn id="3123" xr3:uid="{05709F68-79D2-4A03-A8B8-A9520CF64D51}" name="Column3112"/>
    <tableColumn id="3124" xr3:uid="{DE70C325-F2C0-4FF0-9ED3-5D52D5BB662A}" name="Column3113"/>
    <tableColumn id="3125" xr3:uid="{F05F216B-D8C0-49FC-9F79-A36028E59222}" name="Column3114"/>
    <tableColumn id="3126" xr3:uid="{5527516F-F1D2-4462-9C46-8650F2859566}" name="Column3115"/>
    <tableColumn id="3127" xr3:uid="{1F003D89-E5CD-4236-BBAA-0CF38F9D5FDB}" name="Column3116"/>
    <tableColumn id="3128" xr3:uid="{200F8357-DC25-44E9-8C72-597A92BE3297}" name="Column3117"/>
    <tableColumn id="3129" xr3:uid="{26AA19A2-7FDC-48AB-8D82-F75276B56896}" name="Column3118"/>
    <tableColumn id="3130" xr3:uid="{B49A2127-B9A9-4777-91F5-325F5674D7BD}" name="Column3119"/>
    <tableColumn id="3131" xr3:uid="{D1F76FD1-B728-4963-ACA1-7276223DE0E7}" name="Column3120"/>
    <tableColumn id="3132" xr3:uid="{08501E63-BA83-495E-AD58-9545E712450E}" name="Column3121"/>
    <tableColumn id="3133" xr3:uid="{F8E5F9F7-69A0-4A88-B1FE-6F26BAB0D1AC}" name="Column3122"/>
    <tableColumn id="3134" xr3:uid="{BC8D28D7-DE00-4786-933D-E361B87502C0}" name="Column3123"/>
    <tableColumn id="3135" xr3:uid="{F121DF2E-444B-436B-B032-7137390634BD}" name="Column3124"/>
    <tableColumn id="3136" xr3:uid="{49CC3434-1AA4-46EC-A691-0C376B243EE8}" name="Column3125"/>
    <tableColumn id="3137" xr3:uid="{64E4F68C-14BA-474A-9E25-508BF2EAADC2}" name="Column3126"/>
    <tableColumn id="3138" xr3:uid="{E711135D-CA43-4815-9A2A-248EB6B5FD62}" name="Column3127"/>
    <tableColumn id="3139" xr3:uid="{807FD796-3CF1-4BBE-AA36-9CC77025D8BC}" name="Column3128"/>
    <tableColumn id="3140" xr3:uid="{6F62A1C0-D01F-4B3A-AEE7-81BF1C1A2E54}" name="Column3129"/>
    <tableColumn id="3141" xr3:uid="{3E634E91-5D5E-4DFB-9C74-7433BD20BF6C}" name="Column3130"/>
    <tableColumn id="3142" xr3:uid="{286D8FD8-8A82-4C15-B801-679C587DA57B}" name="Column3131"/>
    <tableColumn id="3143" xr3:uid="{D0A7A72E-B87B-4A43-90F2-46CD2770F0F9}" name="Column3132"/>
    <tableColumn id="3144" xr3:uid="{A68EF00F-8BBA-459C-9C2F-B3C67B3D7240}" name="Column3133"/>
    <tableColumn id="3145" xr3:uid="{9DCA7415-2BFC-4EC5-85AF-874AB12EBBBD}" name="Column3134"/>
    <tableColumn id="3146" xr3:uid="{41EF9FC2-381D-477A-90C2-E8AD36FD7C64}" name="Column3135"/>
    <tableColumn id="3147" xr3:uid="{181E9F90-C97B-4047-A0E6-986A73894900}" name="Column3136"/>
    <tableColumn id="3148" xr3:uid="{E1F1002A-426B-45EA-B505-81ABF86D4A3F}" name="Column3137"/>
    <tableColumn id="3149" xr3:uid="{A8A4E137-AD8F-4607-A7F1-991ED638CB99}" name="Column3138"/>
    <tableColumn id="3150" xr3:uid="{493BBEB6-CFB5-499F-9DEA-F9E02678A6F4}" name="Column3139"/>
    <tableColumn id="3151" xr3:uid="{D4A63A3E-0932-41B5-9E4B-88DB61DC156B}" name="Column3140"/>
    <tableColumn id="3152" xr3:uid="{D8825C7F-8BA7-4EF1-BB42-B426E66CC8DC}" name="Column3141"/>
    <tableColumn id="3153" xr3:uid="{02B7BCE6-8919-4E48-B3C4-49B356D735FE}" name="Column3142"/>
    <tableColumn id="3154" xr3:uid="{633BBA14-66A0-403C-B6D8-257A4E88D76E}" name="Column3143"/>
    <tableColumn id="3155" xr3:uid="{B24C0AE3-AD29-4A08-8EB9-1939440A3139}" name="Column3144"/>
    <tableColumn id="3156" xr3:uid="{DC493B99-5524-49B4-95A5-A07EC1CE681C}" name="Column3145"/>
    <tableColumn id="3157" xr3:uid="{B3E138E0-026D-4CF2-BF16-F7E7769BF637}" name="Column3146"/>
    <tableColumn id="3158" xr3:uid="{23E57159-D287-47E9-AA3D-7B2B1695DB65}" name="Column3147"/>
    <tableColumn id="3159" xr3:uid="{C8B5E611-1D2D-42EC-B371-539A64093345}" name="Column3148"/>
    <tableColumn id="3160" xr3:uid="{137F8EB8-138E-4B54-86DA-7C71796A7AD5}" name="Column3149"/>
    <tableColumn id="3161" xr3:uid="{3EC92FB2-9B04-4610-8452-F73053639E2A}" name="Column3150"/>
    <tableColumn id="3162" xr3:uid="{D956C212-ACE4-4638-B9C5-95393E561CEA}" name="Column3151"/>
    <tableColumn id="3163" xr3:uid="{37A4B807-C7AA-43BB-80CF-5E7C0A8EC502}" name="Column3152"/>
    <tableColumn id="3164" xr3:uid="{AF8E094A-FACA-4CCB-9641-7FFA3AC6965D}" name="Column3153"/>
    <tableColumn id="3165" xr3:uid="{6124A43C-0114-40E2-A192-6B333B21BAFE}" name="Column3154"/>
    <tableColumn id="3166" xr3:uid="{D4A2AAD7-E1A1-4874-9CF3-3ED8613A9394}" name="Column3155"/>
    <tableColumn id="3167" xr3:uid="{01A19ED9-2F9D-4483-98F6-8DD9E80048BD}" name="Column3156"/>
    <tableColumn id="3168" xr3:uid="{B4641FB0-1395-48AA-9E32-24CE1EF71B2D}" name="Column3157"/>
    <tableColumn id="3169" xr3:uid="{DB0FDFCE-B585-49F3-93F8-3FA7A72F97E7}" name="Column3158"/>
    <tableColumn id="3170" xr3:uid="{C6F6EDEB-7E3C-4949-B868-DDC620B12B74}" name="Column3159"/>
    <tableColumn id="3171" xr3:uid="{7E5912F3-908B-4730-A18A-04FD673288C9}" name="Column3160"/>
    <tableColumn id="3172" xr3:uid="{052D2F70-4A89-49DD-9E17-5F30AD51E2C3}" name="Column3161"/>
    <tableColumn id="3173" xr3:uid="{CC98A83E-E83A-413A-9606-9A4D9C463473}" name="Column3162"/>
    <tableColumn id="3174" xr3:uid="{874DE8FD-BF66-41A8-9D7F-6C06068C1D98}" name="Column3163"/>
    <tableColumn id="3175" xr3:uid="{8FB8BDBE-255A-4556-BC75-B1FEE964EFCE}" name="Column3164"/>
    <tableColumn id="3176" xr3:uid="{E7B914E8-37DB-49E2-BEDA-31A6C2B52135}" name="Column3165"/>
    <tableColumn id="3177" xr3:uid="{26C3BB5F-063C-4DB5-A444-55693F0D6E9A}" name="Column3166"/>
    <tableColumn id="3178" xr3:uid="{D678E4FE-8F41-47BC-9A61-3E4BDD6818DA}" name="Column3167"/>
    <tableColumn id="3179" xr3:uid="{F13DD53B-CF90-421E-ADD9-D67D8681A731}" name="Column3168"/>
    <tableColumn id="3180" xr3:uid="{C3263118-D074-4DF4-97EC-48F0B75BC124}" name="Column3169"/>
    <tableColumn id="3181" xr3:uid="{9C6D3AC5-CAFD-4513-82DB-9C22BFB4299E}" name="Column3170"/>
    <tableColumn id="3182" xr3:uid="{5B91D42D-6998-42D5-A1A6-F1DBEDE1C175}" name="Column3171"/>
    <tableColumn id="3183" xr3:uid="{24AEC986-254A-434D-BAEF-1FF64F962C5C}" name="Column3172"/>
    <tableColumn id="3184" xr3:uid="{8CC666C6-7D4C-4443-AEF2-6375BC9B7AF1}" name="Column3173"/>
    <tableColumn id="3185" xr3:uid="{D4B3BAD9-CEAD-4034-912D-D6011991F197}" name="Column3174"/>
    <tableColumn id="3186" xr3:uid="{ABA7180D-17DA-4CE7-B5DA-C7FFB8791DE6}" name="Column3175"/>
    <tableColumn id="3187" xr3:uid="{0693A42B-0D90-40E5-BE39-E7BBA0E41F00}" name="Column3176"/>
    <tableColumn id="3188" xr3:uid="{AA664A98-8F32-43E7-9F0B-90E0BA215FF7}" name="Column3177"/>
    <tableColumn id="3189" xr3:uid="{C924BD2A-8E42-4DF0-A293-4831EC080993}" name="Column3178"/>
    <tableColumn id="3190" xr3:uid="{EB4E21A4-CC90-411A-82D7-3CB77C05072C}" name="Column3179"/>
    <tableColumn id="3191" xr3:uid="{199AB90F-2812-4923-972A-B7DB2DF31E00}" name="Column3180"/>
    <tableColumn id="3192" xr3:uid="{B47077DA-D772-4D73-94C8-FB6EB4C6B65C}" name="Column3181"/>
    <tableColumn id="3193" xr3:uid="{85411F0C-B3C8-4207-8C17-CA15ACEA0339}" name="Column3182"/>
    <tableColumn id="3194" xr3:uid="{B464E10A-3909-4CE6-9F24-C18412BF1AE2}" name="Column3183"/>
    <tableColumn id="3195" xr3:uid="{7BA41461-C668-4D7A-BAFA-D9F1C99401AE}" name="Column3184"/>
    <tableColumn id="3196" xr3:uid="{18369662-CE1C-43C8-B8EF-52E2BF99F592}" name="Column3185"/>
    <tableColumn id="3197" xr3:uid="{77F88C75-BEC1-407E-9D5E-86B665B5AAEB}" name="Column3186"/>
    <tableColumn id="3198" xr3:uid="{DDA43376-A51F-4693-8DF4-55CE414CA23A}" name="Column3187"/>
    <tableColumn id="3199" xr3:uid="{8B608524-0F2E-41EC-B7CF-1BFE2C05997A}" name="Column3188"/>
    <tableColumn id="3200" xr3:uid="{47F2611B-347B-4314-B9C2-C4EC7652C037}" name="Column3189"/>
    <tableColumn id="3201" xr3:uid="{63662FCE-F4E2-4805-A96E-D60CEAE464C7}" name="Column3190"/>
    <tableColumn id="3202" xr3:uid="{2FA0A855-EE23-4172-9933-2D53D0846296}" name="Column3191"/>
    <tableColumn id="3203" xr3:uid="{C4186B99-98B5-4E70-ACA4-2B6ABC750D2D}" name="Column3192"/>
    <tableColumn id="3204" xr3:uid="{54CE3A7A-E8F1-4E89-9510-AE0793E3A299}" name="Column3193"/>
    <tableColumn id="3205" xr3:uid="{20D83ABE-170D-46ED-B8B1-6FECBACEA567}" name="Column3194"/>
    <tableColumn id="3206" xr3:uid="{EF03851A-9E64-4FF7-A804-10EF61DD891D}" name="Column3195"/>
    <tableColumn id="3207" xr3:uid="{93ABC114-3EFF-44DE-82A7-7116828727A5}" name="Column3196"/>
    <tableColumn id="3208" xr3:uid="{8B0AA48F-DA80-4D4D-BCEB-C96845B7DEE9}" name="Column3197"/>
    <tableColumn id="3209" xr3:uid="{F841E40A-15F8-491C-98D2-65819EDEBEB4}" name="Column3198"/>
    <tableColumn id="3210" xr3:uid="{83394E96-57D5-483D-9C01-962E808586D9}" name="Column3199"/>
    <tableColumn id="3211" xr3:uid="{C598A40C-6572-4083-AD01-A1931C8E483C}" name="Column3200"/>
    <tableColumn id="3212" xr3:uid="{BE4A95D6-DFE7-4181-B8E7-2CA8D425FACD}" name="Column3201"/>
    <tableColumn id="3213" xr3:uid="{26C6234C-3EAD-411F-87F4-1AEAC1474CED}" name="Column3202"/>
    <tableColumn id="3214" xr3:uid="{FD4E6D6A-45A2-4DAA-8DF6-841D42283F88}" name="Column3203"/>
    <tableColumn id="3215" xr3:uid="{ACBA3F2E-E6B4-4364-8634-BF203705C9C8}" name="Column3204"/>
    <tableColumn id="3216" xr3:uid="{8098E6EC-5764-40EE-8B81-6BBCCF0357AE}" name="Column3205"/>
    <tableColumn id="3217" xr3:uid="{0BE6DDC2-DB81-4A5C-A68B-71DDEB7F9FD2}" name="Column3206"/>
    <tableColumn id="3218" xr3:uid="{AF147875-1C59-423F-8540-4ABE440C6FE9}" name="Column3207"/>
    <tableColumn id="3219" xr3:uid="{4964A12D-AAC0-44F5-9421-156F598A9B3A}" name="Column3208"/>
    <tableColumn id="3220" xr3:uid="{5CBDDC0C-B15D-4A08-845F-A6E9A99EE92B}" name="Column3209"/>
    <tableColumn id="3221" xr3:uid="{D2CD32E3-C1FD-4011-AB5F-C17C1A265B02}" name="Column3210"/>
    <tableColumn id="3222" xr3:uid="{B32E8000-77FD-480A-99C0-49772EBC7DA7}" name="Column3211"/>
    <tableColumn id="3223" xr3:uid="{970CBAD9-F770-497F-B9C2-3442452CAC5D}" name="Column3212"/>
    <tableColumn id="3224" xr3:uid="{9D1587DA-A5E5-4D0B-B482-18B84D2FA559}" name="Column3213"/>
    <tableColumn id="3225" xr3:uid="{8E318314-5466-4507-898E-348227975DE2}" name="Column3214"/>
    <tableColumn id="3226" xr3:uid="{FF88C40D-00E1-4E35-A146-A24B5C09CD5B}" name="Column3215"/>
    <tableColumn id="3227" xr3:uid="{A6B99284-32A9-4F14-A887-907F7389DAD0}" name="Column3216"/>
    <tableColumn id="3228" xr3:uid="{172BA038-08A3-4202-B05B-46F1FE57A4D5}" name="Column3217"/>
    <tableColumn id="3229" xr3:uid="{6CAF9189-DFF4-4B65-9AD6-53571A8CC9DC}" name="Column3218"/>
    <tableColumn id="3230" xr3:uid="{9E7F8749-8EC8-420C-B3AA-5BCFB24DCDE7}" name="Column3219"/>
    <tableColumn id="3231" xr3:uid="{C189B1BA-F5EC-4ACB-A51C-84A19FE8A3D3}" name="Column3220"/>
    <tableColumn id="3232" xr3:uid="{FF4305FA-5D1C-4D45-A1C4-4E317215A14A}" name="Column3221"/>
    <tableColumn id="3233" xr3:uid="{039E7A7E-190B-4132-B5DF-76BD56C42076}" name="Column3222"/>
    <tableColumn id="3234" xr3:uid="{E3D9D67C-54BC-4552-AF03-F541BA8E7E51}" name="Column3223"/>
    <tableColumn id="3235" xr3:uid="{7BED4918-2696-4430-9AB7-FAE6A6149DCD}" name="Column3224"/>
    <tableColumn id="3236" xr3:uid="{88776FE1-C405-48AA-BB73-5ED983FD8AF6}" name="Column3225"/>
    <tableColumn id="3237" xr3:uid="{CB14F9B4-E7B5-47EA-BA8A-1A3A5040833F}" name="Column3226"/>
    <tableColumn id="3238" xr3:uid="{1991D907-5570-420D-98CB-7FA6B1C50FD5}" name="Column3227"/>
    <tableColumn id="3239" xr3:uid="{A1FB9BB1-AB21-47B6-8B19-18857402010A}" name="Column3228"/>
    <tableColumn id="3240" xr3:uid="{C3D8ACE0-5BC9-44D1-98FF-6BEBA67780DF}" name="Column3229"/>
    <tableColumn id="3241" xr3:uid="{76CF20EB-FB39-40BF-99B7-F755DA53F449}" name="Column3230"/>
    <tableColumn id="3242" xr3:uid="{39D8B0C8-8166-45F3-82EB-F8DF7C3F3025}" name="Column3231"/>
    <tableColumn id="3243" xr3:uid="{A08C09EE-77E1-4DC6-BA3D-A94CB1968010}" name="Column3232"/>
    <tableColumn id="3244" xr3:uid="{FF76219F-57E5-47D3-8517-135A7D6C9742}" name="Column3233"/>
    <tableColumn id="3245" xr3:uid="{B261FDB1-B4FC-4F96-AF2E-CF850022B11D}" name="Column3234"/>
    <tableColumn id="3246" xr3:uid="{C5DC9BFC-94D3-4371-B379-1C193839E493}" name="Column3235"/>
    <tableColumn id="3247" xr3:uid="{7E8910E7-6240-4BB2-872E-59C5738AABA0}" name="Column3236"/>
    <tableColumn id="3248" xr3:uid="{93D4A002-4798-48E9-AAFC-AA4C7A7F447A}" name="Column3237"/>
    <tableColumn id="3249" xr3:uid="{871CA08F-1166-45D0-9667-69F137DEC08D}" name="Column3238"/>
    <tableColumn id="3250" xr3:uid="{BFD9E5C1-7ADB-4A70-A9EE-73DC3C073958}" name="Column3239"/>
    <tableColumn id="3251" xr3:uid="{81750E2C-FE45-4C77-B265-D156455C2A9C}" name="Column3240"/>
    <tableColumn id="3252" xr3:uid="{A4E16E21-339A-4927-AF85-4B1B7822D86C}" name="Column3241"/>
    <tableColumn id="3253" xr3:uid="{D0863888-A10C-4BD6-919B-7763C66A21E2}" name="Column3242"/>
    <tableColumn id="3254" xr3:uid="{8F3F3481-E511-4777-AF91-2C27F4F21034}" name="Column3243"/>
    <tableColumn id="3255" xr3:uid="{2C554932-849F-4728-99C6-E01A12D9704B}" name="Column3244"/>
    <tableColumn id="3256" xr3:uid="{D69369DD-A66D-4246-859A-64550F1A9654}" name="Column3245"/>
    <tableColumn id="3257" xr3:uid="{22E0610B-C105-41D6-BB77-D4BD0097C4AB}" name="Column3246"/>
    <tableColumn id="3258" xr3:uid="{B09A7E85-855E-4288-B42D-D765B38668E7}" name="Column3247"/>
    <tableColumn id="3259" xr3:uid="{4062BA60-41BB-494B-80A9-C93B143C7EF8}" name="Column3248"/>
    <tableColumn id="3260" xr3:uid="{FD549249-AB90-4AC1-BDB4-A2DE7889A4CA}" name="Column3249"/>
    <tableColumn id="3261" xr3:uid="{1043A68F-3111-40CA-8676-1D183357D9C7}" name="Column3250"/>
    <tableColumn id="3262" xr3:uid="{8FAA9223-24CC-4BD8-95BA-8B1128485B1F}" name="Column3251"/>
    <tableColumn id="3263" xr3:uid="{DFEE8A5E-0F02-4BFD-A70B-0CAA0DE5682E}" name="Column3252"/>
    <tableColumn id="3264" xr3:uid="{8FF7D6D4-94CF-4F33-B51B-45F352D377A9}" name="Column3253"/>
    <tableColumn id="3265" xr3:uid="{2C75F3C4-B380-456B-91DA-4F9807D0B1BB}" name="Column3254"/>
    <tableColumn id="3266" xr3:uid="{C5D8EB75-DE56-4C46-84FC-4E924B7B7E8D}" name="Column3255"/>
    <tableColumn id="3267" xr3:uid="{8D5883FD-F76E-4F35-BC29-2A7DF1DA3165}" name="Column3256"/>
    <tableColumn id="3268" xr3:uid="{3F749123-B065-48B3-A1AB-FCF32DCA0DF6}" name="Column3257"/>
    <tableColumn id="3269" xr3:uid="{340B6204-D836-4FEE-A586-E3D5B9030094}" name="Column3258"/>
    <tableColumn id="3270" xr3:uid="{C4A161C6-4BB1-4C62-ACB4-B063D6DABF85}" name="Column3259"/>
    <tableColumn id="3271" xr3:uid="{FA39CCEA-EE05-4071-B23D-3C4BC9022380}" name="Column3260"/>
    <tableColumn id="3272" xr3:uid="{8684D294-1686-4886-A672-0B19E4B7625D}" name="Column3261"/>
    <tableColumn id="3273" xr3:uid="{1E540E8D-9EBD-40D2-AA24-DE66BFAC16ED}" name="Column3262"/>
    <tableColumn id="3274" xr3:uid="{344FD46F-1F31-41C8-AF33-63B3C7021724}" name="Column3263"/>
    <tableColumn id="3275" xr3:uid="{79FE5E8C-A261-4787-897D-FD471A3D144C}" name="Column3264"/>
    <tableColumn id="3276" xr3:uid="{93D9E648-FF4B-4EDC-8239-AEF386C5933B}" name="Column3265"/>
    <tableColumn id="3277" xr3:uid="{1544D8E1-7E49-4FFC-B4E2-53A2271619F8}" name="Column3266"/>
    <tableColumn id="3278" xr3:uid="{26C74A52-92DA-49C8-BE54-A74B47DF8D67}" name="Column3267"/>
    <tableColumn id="3279" xr3:uid="{C2B4F0ED-2294-4B8E-B83F-F1F605936B13}" name="Column3268"/>
    <tableColumn id="3280" xr3:uid="{9F588A42-D345-4BF9-BE39-51ADC723D17A}" name="Column3269"/>
    <tableColumn id="3281" xr3:uid="{DA6D9442-A2C8-4974-9BD3-AD1A99B979FB}" name="Column3270"/>
    <tableColumn id="3282" xr3:uid="{E0737F91-58DA-42B1-83F7-D0C5BE2ABE87}" name="Column3271"/>
    <tableColumn id="3283" xr3:uid="{F9B13445-0DB7-4C46-AFCD-CD191D511050}" name="Column3272"/>
    <tableColumn id="3284" xr3:uid="{55E0E2C4-B780-4288-867B-0AF00EB3400A}" name="Column3273"/>
    <tableColumn id="3285" xr3:uid="{E67103FE-8DBB-437A-94B6-9850468DD39F}" name="Column3274"/>
    <tableColumn id="3286" xr3:uid="{D4389453-3B35-411C-A097-6082565F1878}" name="Column3275"/>
    <tableColumn id="3287" xr3:uid="{85285BEB-0919-4927-A975-3EAACFA698E8}" name="Column3276"/>
    <tableColumn id="3288" xr3:uid="{CFD66E50-268F-4711-9028-D0C68C1E22FE}" name="Column3277"/>
    <tableColumn id="3289" xr3:uid="{209EF70E-5508-4080-B6A1-C725113921DD}" name="Column3278"/>
    <tableColumn id="3290" xr3:uid="{5CE957FA-A37B-48E0-98B4-2CB42A32B8F3}" name="Column3279"/>
    <tableColumn id="3291" xr3:uid="{6B31BEE6-D1A1-4BFC-8955-02E23F2A44A3}" name="Column3280"/>
    <tableColumn id="3292" xr3:uid="{B7017B00-AA81-4A67-A40E-EE0322E04881}" name="Column3281"/>
    <tableColumn id="3293" xr3:uid="{A997311C-1D3E-4B70-84F4-376EF35CF70F}" name="Column3282"/>
    <tableColumn id="3294" xr3:uid="{18290856-CD06-4D52-A4FC-B120F0A953F1}" name="Column3283"/>
    <tableColumn id="3295" xr3:uid="{157AF2C8-D5FC-4968-B093-8965C4E39B38}" name="Column3284"/>
    <tableColumn id="3296" xr3:uid="{C6135FB2-532A-4C56-951A-D24423111A33}" name="Column3285"/>
    <tableColumn id="3297" xr3:uid="{6E692326-7889-4012-A0CB-F40B3C09CAFE}" name="Column3286"/>
    <tableColumn id="3298" xr3:uid="{A55EC8F5-C792-4540-ADAE-7C4FB4F20387}" name="Column3287"/>
    <tableColumn id="3299" xr3:uid="{950C90B0-BD0E-4612-BB3B-123978C3E3F6}" name="Column3288"/>
    <tableColumn id="3300" xr3:uid="{3A3B8415-1B75-409D-9821-37EBC4CF3D7A}" name="Column3289"/>
    <tableColumn id="3301" xr3:uid="{B18B9A18-F163-4D6E-9280-9AF2EF5DE0F6}" name="Column3290"/>
    <tableColumn id="3302" xr3:uid="{EFAE0349-5878-4081-AF57-6C77464B0FDF}" name="Column3291"/>
    <tableColumn id="3303" xr3:uid="{F0C9B313-00BC-4C84-AC9F-C804347F0DED}" name="Column3292"/>
    <tableColumn id="3304" xr3:uid="{58AFC04E-3EC2-4EEB-897E-4C4539173319}" name="Column3293"/>
    <tableColumn id="3305" xr3:uid="{3B950698-4387-4E05-8AC9-8F6E1982CF73}" name="Column3294"/>
    <tableColumn id="3306" xr3:uid="{704AA840-DAD8-41B2-ACAF-6CF2AE01B597}" name="Column3295"/>
    <tableColumn id="3307" xr3:uid="{FCF467B1-612E-42B2-8FF2-037B21A4AD55}" name="Column3296"/>
    <tableColumn id="3308" xr3:uid="{8584CA7B-74FB-42B2-BC3E-1A96D0046F5C}" name="Column3297"/>
    <tableColumn id="3309" xr3:uid="{5B2AF718-AA91-45FE-AB42-7F01D3EA3D90}" name="Column3298"/>
    <tableColumn id="3310" xr3:uid="{85D4C1A7-045F-4F37-BD08-21BB8807317D}" name="Column3299"/>
    <tableColumn id="3311" xr3:uid="{2AC5A160-A263-4C65-A747-E2C877D076C9}" name="Column3300"/>
    <tableColumn id="3312" xr3:uid="{93DBD014-CD0F-496B-8AEC-B1FFC4F83B1E}" name="Column3301"/>
    <tableColumn id="3313" xr3:uid="{3876E1EF-A204-4235-8CDA-857E0E03BCC7}" name="Column3302"/>
    <tableColumn id="3314" xr3:uid="{04D6F1CA-6DD6-4231-8942-B1D26669A4C2}" name="Column3303"/>
    <tableColumn id="3315" xr3:uid="{930FB05E-6B7E-4B1E-B3A9-17580E1C413E}" name="Column3304"/>
    <tableColumn id="3316" xr3:uid="{6D3CF0C8-940B-4714-8079-DA4709B69EB8}" name="Column3305"/>
    <tableColumn id="3317" xr3:uid="{2902E2BE-5D57-4BCB-A15E-DF8C967AE44F}" name="Column3306"/>
    <tableColumn id="3318" xr3:uid="{46F46537-F6A6-48E3-97A2-D2993B6AFDDD}" name="Column3307"/>
    <tableColumn id="3319" xr3:uid="{41AB407E-615F-4E20-A806-E0736DAE0E49}" name="Column3308"/>
    <tableColumn id="3320" xr3:uid="{97B29E56-B05C-4091-BC23-D2C93FB58F8C}" name="Column3309"/>
    <tableColumn id="3321" xr3:uid="{72AC680D-4718-43AB-B5C6-61FB63830794}" name="Column3310"/>
    <tableColumn id="3322" xr3:uid="{A695DBB3-F333-45E9-B913-995AB9A0B76E}" name="Column3311"/>
    <tableColumn id="3323" xr3:uid="{CCBA6335-1A46-4E59-BAB1-5FA8C47E29A5}" name="Column3312"/>
    <tableColumn id="3324" xr3:uid="{2E07EF44-059D-4CAD-A886-0EF238141AE8}" name="Column3313"/>
    <tableColumn id="3325" xr3:uid="{1188375F-F499-45D7-AC53-F96B7351A94E}" name="Column3314"/>
    <tableColumn id="3326" xr3:uid="{1BD1BB07-2233-45DA-9DEA-3F6A252E449F}" name="Column3315"/>
    <tableColumn id="3327" xr3:uid="{B5275E6F-7B58-40D7-921E-7253FF2748B4}" name="Column3316"/>
    <tableColumn id="3328" xr3:uid="{BB8D7ED5-0D25-46CA-BC79-9F7537E48B2B}" name="Column3317"/>
    <tableColumn id="3329" xr3:uid="{5CB30A89-904F-4AA7-947E-E8EE04760806}" name="Column3318"/>
    <tableColumn id="3330" xr3:uid="{452BE970-920B-4663-BE02-921C4BE26A4B}" name="Column3319"/>
    <tableColumn id="3331" xr3:uid="{63672F49-63B4-4C1F-B75F-04DC694B4E05}" name="Column3320"/>
    <tableColumn id="3332" xr3:uid="{65F382E3-389A-454C-8F00-0EAC672D63B1}" name="Column3321"/>
    <tableColumn id="3333" xr3:uid="{BD4E3CA6-A5BE-4CEC-B9D3-FE7193F90BD3}" name="Column3322"/>
    <tableColumn id="3334" xr3:uid="{23CAC1BC-6982-45EA-B7F3-6D74D6B54E22}" name="Column3323"/>
    <tableColumn id="3335" xr3:uid="{A5AC1B9E-F6B1-4B85-949E-710286C6F4D1}" name="Column3324"/>
    <tableColumn id="3336" xr3:uid="{3F1EA718-3E04-4864-8DE8-996E832E3684}" name="Column3325"/>
    <tableColumn id="3337" xr3:uid="{2084CA13-7F17-44D4-B4EF-3262AC8797C4}" name="Column3326"/>
    <tableColumn id="3338" xr3:uid="{41EECFEF-BB1F-486F-AD9A-78D55610E495}" name="Column3327"/>
    <tableColumn id="3339" xr3:uid="{1C069512-AAB2-47AD-8F26-F9E05C8473D5}" name="Column3328"/>
    <tableColumn id="3340" xr3:uid="{9E34A845-0825-407D-BC95-905649C8CEB8}" name="Column3329"/>
    <tableColumn id="3341" xr3:uid="{24E2ECF6-EA5D-4E04-AFB0-64916A5CCC0F}" name="Column3330"/>
    <tableColumn id="3342" xr3:uid="{B55668D1-6540-485B-8777-C51B4BBF6183}" name="Column3331"/>
    <tableColumn id="3343" xr3:uid="{69D2CB8F-C58B-410F-B151-9D24447739F9}" name="Column3332"/>
    <tableColumn id="3344" xr3:uid="{65050FF5-640D-4792-B8A5-A45912242369}" name="Column3333"/>
    <tableColumn id="3345" xr3:uid="{42B5F36E-E85E-4DD3-B9A2-201E6CE43239}" name="Column3334"/>
    <tableColumn id="3346" xr3:uid="{9F3D3958-4D5D-40FD-8AE9-75F7891BBF18}" name="Column3335"/>
    <tableColumn id="3347" xr3:uid="{9CB58402-96AF-4658-995A-575F77F0DF4A}" name="Column3336"/>
    <tableColumn id="3348" xr3:uid="{3A307AE6-864F-4F06-8413-1C58C1ACDD79}" name="Column3337"/>
    <tableColumn id="3349" xr3:uid="{FD5E865A-2160-43C0-97B0-6337D447854D}" name="Column3338"/>
    <tableColumn id="3350" xr3:uid="{9DDCC318-F640-42EB-A02E-A58185B01F87}" name="Column3339"/>
    <tableColumn id="3351" xr3:uid="{F1B7DF1C-9CC4-4E75-8B15-642A7C61BCC9}" name="Column3340"/>
    <tableColumn id="3352" xr3:uid="{96A112EA-7A1B-45C3-BE28-6C516C8FB390}" name="Column3341"/>
    <tableColumn id="3353" xr3:uid="{83B8C2D1-ECD1-442B-8A05-F82EEC4C00B6}" name="Column3342"/>
    <tableColumn id="3354" xr3:uid="{7F20AE83-5EC0-4299-B83D-03BD688CFE64}" name="Column3343"/>
    <tableColumn id="3355" xr3:uid="{D7AA08B8-8795-48FC-B061-7762AAB48538}" name="Column3344"/>
    <tableColumn id="3356" xr3:uid="{8B05DDEE-AE12-4139-9444-3702022148CB}" name="Column3345"/>
    <tableColumn id="3357" xr3:uid="{2BBC2BD0-464F-4C9D-8699-E7A84914B764}" name="Column3346"/>
    <tableColumn id="3358" xr3:uid="{817EDBCE-3EA0-4131-8BE4-796A24720F38}" name="Column3347"/>
    <tableColumn id="3359" xr3:uid="{D2902432-0D4D-4968-8667-948E20D38A58}" name="Column3348"/>
    <tableColumn id="3360" xr3:uid="{E77D78A1-74FC-45E5-8D63-59EFF8FC59B8}" name="Column3349"/>
    <tableColumn id="3361" xr3:uid="{0963A6BD-27F6-46CC-AB1C-F40283A2F897}" name="Column3350"/>
    <tableColumn id="3362" xr3:uid="{8BDBBF74-6C78-43D3-BB62-419C7C127B84}" name="Column3351"/>
    <tableColumn id="3363" xr3:uid="{3FBDA094-291E-4E62-B394-A5005D72CD1A}" name="Column3352"/>
    <tableColumn id="3364" xr3:uid="{73594A8C-C06E-4D57-A7D1-1402A1592374}" name="Column3353"/>
    <tableColumn id="3365" xr3:uid="{A15BA51F-0DAC-466A-B08D-9FC0024438DA}" name="Column3354"/>
    <tableColumn id="3366" xr3:uid="{636F78BA-38AC-4403-B271-D1F21D5C16CB}" name="Column3355"/>
    <tableColumn id="3367" xr3:uid="{6C085BB9-298B-4771-BB3B-D77B5214EA99}" name="Column3356"/>
    <tableColumn id="3368" xr3:uid="{A19ADEFD-DFDC-4766-B21E-3A48107B7782}" name="Column3357"/>
    <tableColumn id="3369" xr3:uid="{46F57D87-BC85-4949-8829-BD3DD3B78518}" name="Column3358"/>
    <tableColumn id="3370" xr3:uid="{8A6E4699-4710-46BE-8636-F59E78858747}" name="Column3359"/>
    <tableColumn id="3371" xr3:uid="{66B2E242-2F88-49ED-92E3-B405FFDB0023}" name="Column3360"/>
    <tableColumn id="3372" xr3:uid="{B8770413-F9AB-48E8-B85C-0F917F708F1B}" name="Column3361"/>
    <tableColumn id="3373" xr3:uid="{5DE28FB5-8F2D-458D-B795-9D058EA3241E}" name="Column3362"/>
    <tableColumn id="3374" xr3:uid="{A8B36E7A-1501-41AA-9B35-CB60F3D457F5}" name="Column3363"/>
    <tableColumn id="3375" xr3:uid="{91967F62-13E1-42CB-9527-660F3E9A54C5}" name="Column3364"/>
    <tableColumn id="3376" xr3:uid="{32313F4F-ED2E-4D8E-B73B-477E5DCB3A7D}" name="Column3365"/>
    <tableColumn id="3377" xr3:uid="{730CC24F-BBFF-4E22-9B1F-ECBA0D204003}" name="Column3366"/>
    <tableColumn id="3378" xr3:uid="{B9055935-4046-4DFB-BBBE-94662FA0FDD2}" name="Column3367"/>
    <tableColumn id="3379" xr3:uid="{23A0852A-A771-429F-8819-604CFB01E291}" name="Column3368"/>
    <tableColumn id="3380" xr3:uid="{54AD4AE4-D1DE-40E0-90DB-DD52BBF462A0}" name="Column3369"/>
    <tableColumn id="3381" xr3:uid="{E4DA6E49-1EC8-401C-8355-1FC43DE98352}" name="Column3370"/>
    <tableColumn id="3382" xr3:uid="{227AB5CE-C1FE-4894-8948-27504BA68923}" name="Column3371"/>
    <tableColumn id="3383" xr3:uid="{381B2D74-9BDA-465F-89A1-CF91068E48F2}" name="Column3372"/>
    <tableColumn id="3384" xr3:uid="{90D68B3D-DCB5-4388-8295-5BD1CAA35492}" name="Column3373"/>
    <tableColumn id="3385" xr3:uid="{C7A002B8-6309-43B2-A8DB-0371F580C9C3}" name="Column3374"/>
    <tableColumn id="3386" xr3:uid="{75172BAC-69EC-481B-9667-86724831820B}" name="Column3375"/>
    <tableColumn id="3387" xr3:uid="{301F886A-7859-4B51-AE76-DC65B156F6FD}" name="Column3376"/>
    <tableColumn id="3388" xr3:uid="{2E85A7CD-42B1-4E93-B907-554B8560CCA4}" name="Column3377"/>
    <tableColumn id="3389" xr3:uid="{D7ECA51D-FD0B-4845-929E-CD433281DF5B}" name="Column3378"/>
    <tableColumn id="3390" xr3:uid="{745882F8-8C82-4309-BFB3-E20AF8532643}" name="Column3379"/>
    <tableColumn id="3391" xr3:uid="{24F3A1A3-466F-4FA5-A1F8-AD2F18629F6A}" name="Column3380"/>
    <tableColumn id="3392" xr3:uid="{3077AF8E-0E3E-47B4-B097-91A37443782E}" name="Column3381"/>
    <tableColumn id="3393" xr3:uid="{42017A84-09E6-4CDE-97EF-62FEC6DB4574}" name="Column3382"/>
    <tableColumn id="3394" xr3:uid="{A3AAC415-51CF-4699-815C-C61DB2ACC394}" name="Column3383"/>
    <tableColumn id="3395" xr3:uid="{8170C7C4-E49C-4678-BF65-9A18FE884653}" name="Column3384"/>
    <tableColumn id="3396" xr3:uid="{82FAFBE0-2E16-4A97-92D0-DADB369FF461}" name="Column3385"/>
    <tableColumn id="3397" xr3:uid="{F1EF8175-313E-42D5-866F-9DEB708AEB9F}" name="Column3386"/>
    <tableColumn id="3398" xr3:uid="{3EF02A49-A07B-4DDE-9F09-8315439A26B2}" name="Column3387"/>
    <tableColumn id="3399" xr3:uid="{B6BE8297-4091-4FEA-B74B-C51077B03FDF}" name="Column3388"/>
    <tableColumn id="3400" xr3:uid="{8F084FAE-F20A-4ACA-BD6A-5BCDFA1D928C}" name="Column3389"/>
    <tableColumn id="3401" xr3:uid="{298CE21E-7191-48BB-8826-D3B0129C1A39}" name="Column3390"/>
    <tableColumn id="3402" xr3:uid="{0FC2BE90-043C-4418-BEC0-1D04F1DF965A}" name="Column3391"/>
    <tableColumn id="3403" xr3:uid="{9B7CF9AF-259D-47A8-9972-D8A0F6BE8C92}" name="Column3392"/>
    <tableColumn id="3404" xr3:uid="{928D90ED-68ED-44AD-9D09-B9FD90F25D92}" name="Column3393"/>
    <tableColumn id="3405" xr3:uid="{066797BD-1462-43CD-ADBD-21EE945CC3C5}" name="Column3394"/>
    <tableColumn id="3406" xr3:uid="{111C47F9-34C6-4AA0-A278-33F6718EFCD4}" name="Column3395"/>
    <tableColumn id="3407" xr3:uid="{A706690B-8BCB-4A48-BAA0-64194129FADF}" name="Column3396"/>
    <tableColumn id="3408" xr3:uid="{7D8F3DE7-8127-4C78-8C9A-463594CC9FF2}" name="Column3397"/>
    <tableColumn id="3409" xr3:uid="{7EB4C20B-DAC1-4D52-BC57-CD994E427452}" name="Column3398"/>
    <tableColumn id="3410" xr3:uid="{782D95FA-BC5D-47FD-A8A4-09DBF457CAC7}" name="Column3399"/>
    <tableColumn id="3411" xr3:uid="{7976FCF2-E7D0-42C9-B3DC-827069CC7275}" name="Column3400"/>
    <tableColumn id="3412" xr3:uid="{F19CF74F-EB5D-4E58-B89D-C0BF2D6734E4}" name="Column3401"/>
    <tableColumn id="3413" xr3:uid="{BEEF101E-E42C-42CF-87D3-4F0324F39EFC}" name="Column3402"/>
    <tableColumn id="3414" xr3:uid="{F06CD67F-CBF6-4679-9088-43C03374D9AE}" name="Column3403"/>
    <tableColumn id="3415" xr3:uid="{F37D0336-B078-4D37-BE73-18FEA6B40D2F}" name="Column3404"/>
    <tableColumn id="3416" xr3:uid="{23F81902-B5E7-4DBF-8F32-AEF0C64A6AD1}" name="Column3405"/>
    <tableColumn id="3417" xr3:uid="{E4B2D41B-E8A5-4143-8A69-BCC00A4ABC94}" name="Column3406"/>
    <tableColumn id="3418" xr3:uid="{53371EF5-881A-4B6A-9577-D1A4F545C6D9}" name="Column3407"/>
    <tableColumn id="3419" xr3:uid="{78AB06A2-4BCD-47D4-9278-2BD1F91B0802}" name="Column3408"/>
    <tableColumn id="3420" xr3:uid="{976D7528-0431-4C49-8BF5-EAF3104CC81B}" name="Column3409"/>
    <tableColumn id="3421" xr3:uid="{0D0F1E4F-6F0F-4C8F-A323-0537A7546114}" name="Column3410"/>
    <tableColumn id="3422" xr3:uid="{DAC8699F-AD81-4431-BED7-430ADE05C22F}" name="Column3411"/>
    <tableColumn id="3423" xr3:uid="{DC59D93E-24AE-461E-8802-C83FBF08B1D8}" name="Column3412"/>
    <tableColumn id="3424" xr3:uid="{61D68BF2-FD23-4ECB-9EFD-C92C47537655}" name="Column3413"/>
    <tableColumn id="3425" xr3:uid="{289970FE-3A0B-4ED0-9F2E-88AAFF56D4B1}" name="Column3414"/>
    <tableColumn id="3426" xr3:uid="{995C329A-1995-4179-8512-884288242A76}" name="Column3415"/>
    <tableColumn id="3427" xr3:uid="{67CE9F45-AA1C-4F37-8DE8-8C61ADB19730}" name="Column3416"/>
    <tableColumn id="3428" xr3:uid="{25C8D41F-A4B6-4031-B4E3-B18D473D9AC3}" name="Column3417"/>
    <tableColumn id="3429" xr3:uid="{E1E9E370-7CC8-405C-AE26-347E35BA7287}" name="Column3418"/>
    <tableColumn id="3430" xr3:uid="{C01600B0-FBC0-4F8D-AC4C-73F04C39964F}" name="Column3419"/>
    <tableColumn id="3431" xr3:uid="{63E84472-7B90-4DB4-A482-382948C9BEBA}" name="Column3420"/>
    <tableColumn id="3432" xr3:uid="{8F0EB511-4BE2-4F97-AC00-5BFD1A088C12}" name="Column3421"/>
    <tableColumn id="3433" xr3:uid="{BF98B250-0556-4274-9794-8797A420C9C1}" name="Column3422"/>
    <tableColumn id="3434" xr3:uid="{765BD259-BCE3-4177-8FA0-E0F4E1D5D7A7}" name="Column3423"/>
    <tableColumn id="3435" xr3:uid="{7B721911-39DF-4085-8E6C-2FF93866FBFB}" name="Column3424"/>
    <tableColumn id="3436" xr3:uid="{90E78A43-4699-482A-8426-FB0593BD1C28}" name="Column3425"/>
    <tableColumn id="3437" xr3:uid="{D19CE0A8-0579-4664-BAE3-D5C51E479F10}" name="Column3426"/>
    <tableColumn id="3438" xr3:uid="{22514CF1-21BB-4197-B1D2-09C541429FCD}" name="Column3427"/>
    <tableColumn id="3439" xr3:uid="{49E2790F-EF50-4CE5-A190-7A1909E035FB}" name="Column3428"/>
    <tableColumn id="3440" xr3:uid="{405658BB-F80C-4E02-BF2B-B4069B71A7E7}" name="Column3429"/>
    <tableColumn id="3441" xr3:uid="{257CF822-3E35-42FF-A196-793AF6072370}" name="Column3430"/>
    <tableColumn id="3442" xr3:uid="{98A3851D-E1CE-4880-9FF8-2886196122B2}" name="Column3431"/>
    <tableColumn id="3443" xr3:uid="{BA8ED997-6F69-4D4C-ACCE-860F2512FE62}" name="Column3432"/>
    <tableColumn id="3444" xr3:uid="{9BBC8006-8728-4772-A0D1-DBEE19EE925A}" name="Column3433"/>
    <tableColumn id="3445" xr3:uid="{7759B852-6E64-4661-B9CF-E2AC65A742F8}" name="Column3434"/>
    <tableColumn id="3446" xr3:uid="{A5974C04-309A-4D62-BBF1-E9E01EFE01F3}" name="Column3435"/>
    <tableColumn id="3447" xr3:uid="{CAC1DAEE-D8E3-41BF-810A-28AF2A10D10B}" name="Column3436"/>
    <tableColumn id="3448" xr3:uid="{9C6E3228-B476-427F-9A9B-030FF06665E3}" name="Column3437"/>
    <tableColumn id="3449" xr3:uid="{98389AB0-7A4B-48CD-8A05-6B709047E772}" name="Column3438"/>
    <tableColumn id="3450" xr3:uid="{042FB3D3-54D7-4636-91C4-9D32E0AADF9E}" name="Column3439"/>
    <tableColumn id="3451" xr3:uid="{1D74BD7D-2567-4945-91B8-2623D7FA801A}" name="Column3440"/>
    <tableColumn id="3452" xr3:uid="{1CD00891-FAEF-46BB-A156-57B60832090A}" name="Column3441"/>
    <tableColumn id="3453" xr3:uid="{551514A1-2FE7-42D2-9691-DC83EAEF1968}" name="Column3442"/>
    <tableColumn id="3454" xr3:uid="{DD639326-0890-449F-82E3-B44AE552EFD2}" name="Column3443"/>
    <tableColumn id="3455" xr3:uid="{2058012E-56C3-4017-8456-A134952710F0}" name="Column3444"/>
    <tableColumn id="3456" xr3:uid="{EDA8527B-0639-4FF9-A938-A2FE2941DAF7}" name="Column3445"/>
    <tableColumn id="3457" xr3:uid="{C4CAD3E3-A70F-4E0E-BA96-B4AEF3303E46}" name="Column3446"/>
    <tableColumn id="3458" xr3:uid="{3163708E-63BE-4463-9C99-5583B9E00089}" name="Column3447"/>
    <tableColumn id="3459" xr3:uid="{3EF48F06-C025-4E6E-936C-11864B322AB6}" name="Column3448"/>
    <tableColumn id="3460" xr3:uid="{34AEDFED-DF01-44A8-8618-3A5779BB3B58}" name="Column3449"/>
    <tableColumn id="3461" xr3:uid="{C772E4DF-3B78-49FF-9AB7-620E415FB4C2}" name="Column3450"/>
    <tableColumn id="3462" xr3:uid="{044C8DC7-369C-48A3-A046-7CD7E2E7F7C8}" name="Column3451"/>
    <tableColumn id="3463" xr3:uid="{EED9597A-C6F2-4BF2-95FA-5476802A366B}" name="Column3452"/>
    <tableColumn id="3464" xr3:uid="{737F7881-8719-4CF8-AB2D-78466EB8E597}" name="Column3453"/>
    <tableColumn id="3465" xr3:uid="{436BE8FA-A163-4852-B772-6D2FCF3AF8C4}" name="Column3454"/>
    <tableColumn id="3466" xr3:uid="{80C6405C-B66A-4482-B438-BF8805A3CAD6}" name="Column3455"/>
    <tableColumn id="3467" xr3:uid="{ACF00229-7502-43A5-89DD-386D4A627232}" name="Column3456"/>
    <tableColumn id="3468" xr3:uid="{0F29FFCD-4345-4F49-9B59-C33A376AC183}" name="Column3457"/>
    <tableColumn id="3469" xr3:uid="{5E425FF0-6275-4426-BD0C-DA47F10C7183}" name="Column3458"/>
    <tableColumn id="3470" xr3:uid="{2A7BF44C-D617-4312-BA07-CDC54D3F6165}" name="Column3459"/>
    <tableColumn id="3471" xr3:uid="{259BCF3C-522D-485A-B125-CBAF8138D474}" name="Column3460"/>
    <tableColumn id="3472" xr3:uid="{35216D65-05EE-457D-AA7B-ABB710288AB2}" name="Column3461"/>
    <tableColumn id="3473" xr3:uid="{AEFF2204-2D38-4AE2-8D86-FED19C949E27}" name="Column3462"/>
    <tableColumn id="3474" xr3:uid="{197FA32E-403C-4EDC-9F5B-E9D39AA16B30}" name="Column3463"/>
    <tableColumn id="3475" xr3:uid="{EC5C0167-368F-41F0-9FF7-CF95270DE1B3}" name="Column3464"/>
    <tableColumn id="3476" xr3:uid="{DE4EE897-A4D0-4ECC-BF27-AFC8EC99E70C}" name="Column3465"/>
    <tableColumn id="3477" xr3:uid="{01ADBE5D-49DD-4C93-9627-405B464944E3}" name="Column3466"/>
    <tableColumn id="3478" xr3:uid="{A276B39D-C94F-4B52-9E6F-6BAEFBB219D5}" name="Column3467"/>
    <tableColumn id="3479" xr3:uid="{1033330B-C708-469F-B2E1-3EC1BAD5A7F2}" name="Column3468"/>
    <tableColumn id="3480" xr3:uid="{67185E83-97DC-4886-B1D4-7744D8D4A2B8}" name="Column3469"/>
    <tableColumn id="3481" xr3:uid="{D4DEEE98-41E3-4534-8556-9C92338275A6}" name="Column3470"/>
    <tableColumn id="3482" xr3:uid="{CF39ABC1-8A22-4BE5-9167-202170AF4B5A}" name="Column3471"/>
    <tableColumn id="3483" xr3:uid="{003D5732-0FB7-47B0-BCC3-9F479E57D9A5}" name="Column3472"/>
    <tableColumn id="3484" xr3:uid="{2AA5EA0B-0635-4F04-A523-43D264D096F0}" name="Column3473"/>
    <tableColumn id="3485" xr3:uid="{DBF37722-03B8-40D7-B75B-24D629C1B4D4}" name="Column3474"/>
    <tableColumn id="3486" xr3:uid="{495703D8-513D-4E51-9DE6-315ACA30E771}" name="Column3475"/>
    <tableColumn id="3487" xr3:uid="{B06C7ACA-DF13-44F6-87E8-CB4DCCC19C25}" name="Column3476"/>
    <tableColumn id="3488" xr3:uid="{0D396A43-7C64-44B6-ACBB-2B16ED1A9183}" name="Column3477"/>
    <tableColumn id="3489" xr3:uid="{D7C84C8D-5F3F-4EFB-985F-F4123DEED3A3}" name="Column3478"/>
    <tableColumn id="3490" xr3:uid="{CFB3348A-D55A-439C-A7B4-D2DC3DB6EE44}" name="Column3479"/>
    <tableColumn id="3491" xr3:uid="{E21F11E2-A6B8-46CC-BEAE-BC231FA7CC36}" name="Column3480"/>
    <tableColumn id="3492" xr3:uid="{05D71FD2-6321-4ED5-BE69-E52902A4439A}" name="Column3481"/>
    <tableColumn id="3493" xr3:uid="{16BA8C51-0733-4F99-890A-C148B49A8A97}" name="Column3482"/>
    <tableColumn id="3494" xr3:uid="{FE6C866C-177A-4799-BB4F-0F855D61A372}" name="Column3483"/>
    <tableColumn id="3495" xr3:uid="{03C3BC63-628C-4321-AD43-5F5EBD7BFE77}" name="Column3484"/>
    <tableColumn id="3496" xr3:uid="{1A46B5B4-5453-4ED5-BAE2-582A3AEDFC1A}" name="Column3485"/>
    <tableColumn id="3497" xr3:uid="{2D3E8B0A-2083-4FCB-A9C0-A2D4E79F6030}" name="Column3486"/>
    <tableColumn id="3498" xr3:uid="{9ABE47B0-B01B-44D6-BDF2-8A323C676B1A}" name="Column3487"/>
    <tableColumn id="3499" xr3:uid="{89367D36-F276-423F-8D8C-1E532BA4341B}" name="Column3488"/>
    <tableColumn id="3500" xr3:uid="{474D17D3-3C36-4553-93BD-4721147967BD}" name="Column3489"/>
    <tableColumn id="3501" xr3:uid="{FA0613E4-E1AC-48BF-AAEE-FC3FA9821233}" name="Column3490"/>
    <tableColumn id="3502" xr3:uid="{E1711B94-59D1-4071-B68D-E5B4694FEE82}" name="Column3491"/>
    <tableColumn id="3503" xr3:uid="{88EE690D-3E23-4E14-ACAD-E8EDA4D963C7}" name="Column3492"/>
    <tableColumn id="3504" xr3:uid="{49A3E264-8A81-4EE6-B417-F2A5BCFBCB50}" name="Column3493"/>
    <tableColumn id="3505" xr3:uid="{DC049A8C-160E-4309-A4BB-03BCDB57678F}" name="Column3494"/>
    <tableColumn id="3506" xr3:uid="{E3CFA8C4-A621-4FF7-97CD-F4736580A373}" name="Column3495"/>
    <tableColumn id="3507" xr3:uid="{3EA87CAC-0176-4754-A49C-B080E7EF3CBE}" name="Column3496"/>
    <tableColumn id="3508" xr3:uid="{B940F352-D0DA-495B-B853-6501DEF17E31}" name="Column3497"/>
    <tableColumn id="3509" xr3:uid="{37317EBA-B48D-4FC2-A375-5144104ECEBB}" name="Column3498"/>
    <tableColumn id="3510" xr3:uid="{BEBDFF6D-A2CB-4BC8-89DA-E973F3CC0F37}" name="Column3499"/>
    <tableColumn id="3511" xr3:uid="{1EF40E8E-086C-4FD0-A541-0BBF8A188202}" name="Column3500"/>
    <tableColumn id="3512" xr3:uid="{BF5BF4FB-7940-4E60-865F-7F1EB09A95AE}" name="Column3501"/>
    <tableColumn id="3513" xr3:uid="{44411C9B-DE25-4AD2-A5C5-C82117C079B2}" name="Column3502"/>
    <tableColumn id="3514" xr3:uid="{2F5C72CD-5B98-4439-AF18-F3E0942EDA58}" name="Column3503"/>
    <tableColumn id="3515" xr3:uid="{F8E85F1E-7457-4F52-973E-86D6E857271A}" name="Column3504"/>
    <tableColumn id="3516" xr3:uid="{2211E1FE-4E84-4D36-81CA-DFED8CB587DC}" name="Column3505"/>
    <tableColumn id="3517" xr3:uid="{C4AD5805-044A-4562-806F-470398F4F5E5}" name="Column3506"/>
    <tableColumn id="3518" xr3:uid="{2944DD1B-5E0C-4F76-AD10-5A7C7C95E83F}" name="Column3507"/>
    <tableColumn id="3519" xr3:uid="{F0457CBF-2181-4FFB-845E-295BBB977350}" name="Column3508"/>
    <tableColumn id="3520" xr3:uid="{43B9B464-BC84-49B5-AE8C-4745574BA12B}" name="Column3509"/>
    <tableColumn id="3521" xr3:uid="{11AA9B86-E7B1-438E-9472-9646F055299D}" name="Column3510"/>
    <tableColumn id="3522" xr3:uid="{3EB1D0BB-3112-4AC9-A82D-5391F9676B30}" name="Column3511"/>
    <tableColumn id="3523" xr3:uid="{45320311-D99A-40C4-A9A0-1E32081D0C6A}" name="Column3512"/>
    <tableColumn id="3524" xr3:uid="{C5F8D55C-23EC-4369-961C-037494ABEDAA}" name="Column3513"/>
    <tableColumn id="3525" xr3:uid="{85C45068-60B9-4FC6-A123-EA59F381A5BA}" name="Column3514"/>
    <tableColumn id="3526" xr3:uid="{CA8155A2-1F7F-4359-9038-A998EB7E2505}" name="Column3515"/>
    <tableColumn id="3527" xr3:uid="{82B7737F-24CE-4AFA-965F-006D0AF5276E}" name="Column3516"/>
    <tableColumn id="3528" xr3:uid="{99543B21-1CB0-4CD9-94C1-7080434CD7A7}" name="Column3517"/>
    <tableColumn id="3529" xr3:uid="{92FC82F5-7F91-4FD4-9047-CF2FA434E78F}" name="Column3518"/>
    <tableColumn id="3530" xr3:uid="{D3BF898B-8FD2-4F7F-8752-DDD493D60956}" name="Column3519"/>
    <tableColumn id="3531" xr3:uid="{8637BF0D-8BDF-4CCA-8358-CE919C2220D9}" name="Column3520"/>
    <tableColumn id="3532" xr3:uid="{5A5BDFCC-336E-4753-A608-C79A4E021E3D}" name="Column3521"/>
    <tableColumn id="3533" xr3:uid="{E103E2A1-CB96-4A17-93EE-015A1A25EE48}" name="Column3522"/>
    <tableColumn id="3534" xr3:uid="{79D55EFA-24D0-4183-B3DF-7BC08132BE29}" name="Column3523"/>
    <tableColumn id="3535" xr3:uid="{A231E89B-C7E0-4D23-9FCC-957C98C47B50}" name="Column3524"/>
    <tableColumn id="3536" xr3:uid="{88D36021-9797-4093-953A-B99957160A8E}" name="Column3525"/>
    <tableColumn id="3537" xr3:uid="{865DDBD8-2904-441E-8142-C68050921635}" name="Column3526"/>
    <tableColumn id="3538" xr3:uid="{2D383554-086B-4378-A58E-BE5E222D3890}" name="Column3527"/>
    <tableColumn id="3539" xr3:uid="{831C8115-321C-4B97-B049-864215ED12BA}" name="Column3528"/>
    <tableColumn id="3540" xr3:uid="{46AB83B5-E62C-47BA-9AE6-BBA0A54F4EA7}" name="Column3529"/>
    <tableColumn id="3541" xr3:uid="{A49BCCD6-F5FF-4B66-B0FA-C94866F867F4}" name="Column3530"/>
    <tableColumn id="3542" xr3:uid="{732728C7-8C11-4CDE-982D-A987EB3E4A83}" name="Column3531"/>
    <tableColumn id="3543" xr3:uid="{C882697D-E1DE-4E1C-B722-1467A9B2D006}" name="Column3532"/>
    <tableColumn id="3544" xr3:uid="{50D9C77A-5349-4826-822D-D8C1D86B7967}" name="Column3533"/>
    <tableColumn id="3545" xr3:uid="{15F14A14-7835-42B0-A2A4-CBA80BC569AB}" name="Column3534"/>
    <tableColumn id="3546" xr3:uid="{F998D350-3738-4B6A-A28B-100FBB258045}" name="Column3535"/>
    <tableColumn id="3547" xr3:uid="{521AB3C3-A422-4125-A006-43825E6DC888}" name="Column3536"/>
    <tableColumn id="3548" xr3:uid="{CB6627A7-0919-40F0-9B13-8EE3D989732C}" name="Column3537"/>
    <tableColumn id="3549" xr3:uid="{0284367D-C0A3-4EC0-9E46-358EB9692409}" name="Column3538"/>
    <tableColumn id="3550" xr3:uid="{06D47B25-6855-4867-A3DE-F1A4FDB445EF}" name="Column3539"/>
    <tableColumn id="3551" xr3:uid="{8078D441-AF3E-44FF-A8A4-F7C7F7634202}" name="Column3540"/>
    <tableColumn id="3552" xr3:uid="{FB9AAB5F-1E9E-4E21-BEC9-B4F0B49B9520}" name="Column3541"/>
    <tableColumn id="3553" xr3:uid="{90AB9C7A-D37F-4013-AAA7-CA66F109657A}" name="Column3542"/>
    <tableColumn id="3554" xr3:uid="{101B3998-7E2A-4C6F-8101-DF4154BEC0D3}" name="Column3543"/>
    <tableColumn id="3555" xr3:uid="{7C6CD73D-0A3B-498C-9E34-0EAC5CC722E1}" name="Column3544"/>
    <tableColumn id="3556" xr3:uid="{DBB363FB-F2C1-4335-81AF-4C70A59E9E3E}" name="Column3545"/>
    <tableColumn id="3557" xr3:uid="{7804CAFF-5BC2-4F4D-9BCB-E8C962763BF0}" name="Column3546"/>
    <tableColumn id="3558" xr3:uid="{D31AB87C-6B25-48E3-A12F-F88DDD152502}" name="Column3547"/>
    <tableColumn id="3559" xr3:uid="{4263264E-C65A-4318-80DE-C3F089887A72}" name="Column3548"/>
    <tableColumn id="3560" xr3:uid="{071FD3BF-3817-41F1-B5EA-3AD9B1A67888}" name="Column3549"/>
    <tableColumn id="3561" xr3:uid="{19C2983A-FC11-4A90-AEA1-643CB66B5BF4}" name="Column3550"/>
    <tableColumn id="3562" xr3:uid="{025ADB69-A684-4FCD-8508-7A08EA7DD6CC}" name="Column3551"/>
    <tableColumn id="3563" xr3:uid="{EC1052B9-9BD3-451A-820F-A64B0ABF276C}" name="Column3552"/>
    <tableColumn id="3564" xr3:uid="{274C33EA-6DE6-428F-8477-EFA6A19E0744}" name="Column3553"/>
    <tableColumn id="3565" xr3:uid="{9B3691F8-5AD9-46A5-9976-E3C197B43F7C}" name="Column3554"/>
    <tableColumn id="3566" xr3:uid="{B05FB315-D963-493A-AAA1-F980EB929DB6}" name="Column3555"/>
    <tableColumn id="3567" xr3:uid="{1B9CD41A-286C-4BEC-81F1-75C2E13E71EE}" name="Column3556"/>
    <tableColumn id="3568" xr3:uid="{0F48DFBD-2B42-4C2B-BF8F-522EDF06F424}" name="Column3557"/>
    <tableColumn id="3569" xr3:uid="{65380135-3D72-48E5-ABB9-6147ADDB0E89}" name="Column3558"/>
    <tableColumn id="3570" xr3:uid="{2C983649-CBC5-4A34-AA16-805AAFA1CF0B}" name="Column3559"/>
    <tableColumn id="3571" xr3:uid="{980AE067-E53C-4AD2-8308-2A1B6AE51913}" name="Column3560"/>
    <tableColumn id="3572" xr3:uid="{C8BDDF61-6AF9-4FB7-ADBC-96426B021478}" name="Column3561"/>
    <tableColumn id="3573" xr3:uid="{B01A0493-FC56-4511-9C0F-7BF80889EE2B}" name="Column3562"/>
    <tableColumn id="3574" xr3:uid="{97812EAA-8E21-4CDF-A8E7-F07F45CD58C0}" name="Column3563"/>
    <tableColumn id="3575" xr3:uid="{DE512181-0306-4CC0-973F-96ECE3F24541}" name="Column3564"/>
    <tableColumn id="3576" xr3:uid="{96F6BCFF-6FE9-4178-9CE2-632277279EC5}" name="Column3565"/>
    <tableColumn id="3577" xr3:uid="{E40EA57B-BDB4-4F13-89B5-DF2D1A23F447}" name="Column3566"/>
    <tableColumn id="3578" xr3:uid="{6053EB1B-CFF3-449E-A47B-F787AA1F208F}" name="Column3567"/>
    <tableColumn id="3579" xr3:uid="{E8256FD0-F720-448C-8310-854CE3AFC709}" name="Column3568"/>
    <tableColumn id="3580" xr3:uid="{ADC25551-0973-4510-AE0D-6A1733947460}" name="Column3569"/>
    <tableColumn id="3581" xr3:uid="{26C89970-11F2-4E9E-930B-985D8429C083}" name="Column3570"/>
    <tableColumn id="3582" xr3:uid="{C2A0B53F-C0CD-4B2E-9249-4727584AD6E5}" name="Column3571"/>
    <tableColumn id="3583" xr3:uid="{22137269-F6C6-4C54-A23F-8612C4D126CA}" name="Column3572"/>
    <tableColumn id="3584" xr3:uid="{EA2FBF6A-4A89-4D2B-8FF5-F823C26B9A4D}" name="Column3573"/>
    <tableColumn id="3585" xr3:uid="{F33A9C62-4F2E-47D2-BA27-CA5125B40C77}" name="Column3574"/>
    <tableColumn id="3586" xr3:uid="{B001F5F5-0724-486D-A46B-752F544E8A69}" name="Column3575"/>
    <tableColumn id="3587" xr3:uid="{1CF7C5E1-6D11-492E-B7C4-F287A1ACE31B}" name="Column3576"/>
    <tableColumn id="3588" xr3:uid="{8440EA84-E629-4988-A1D3-77C56279D229}" name="Column3577"/>
    <tableColumn id="3589" xr3:uid="{AE0865CF-3DD7-491F-A215-FDDC8F3473EF}" name="Column3578"/>
    <tableColumn id="3590" xr3:uid="{C40AE6E4-6881-464A-A3F4-DE83706865BC}" name="Column3579"/>
    <tableColumn id="3591" xr3:uid="{A3F1E7D5-B80B-43EC-98C3-06C7F610E192}" name="Column3580"/>
    <tableColumn id="3592" xr3:uid="{059161D9-CCA3-458B-86C1-71C4FC9CA0C7}" name="Column3581"/>
    <tableColumn id="3593" xr3:uid="{06D9EA7B-42EB-4701-98B4-1436DB9C9106}" name="Column3582"/>
    <tableColumn id="3594" xr3:uid="{15645508-C8E5-4D5A-B790-51A6DDE96CF9}" name="Column3583"/>
    <tableColumn id="3595" xr3:uid="{6EE0FC44-6749-443A-BE05-7973062E83B4}" name="Column3584"/>
    <tableColumn id="3596" xr3:uid="{4562F0E3-7A40-46FB-B96D-D65211214DAA}" name="Column3585"/>
    <tableColumn id="3597" xr3:uid="{7FF4818A-5479-4C12-9AD4-658F749BDF14}" name="Column3586"/>
    <tableColumn id="3598" xr3:uid="{07174F1A-9AED-45C6-BD92-890032FA02B1}" name="Column3587"/>
    <tableColumn id="3599" xr3:uid="{3ABB226E-E773-4898-A929-E8592E59B532}" name="Column3588"/>
    <tableColumn id="3600" xr3:uid="{49A2C2E6-B915-4D77-803A-CB5FFE666313}" name="Column3589"/>
    <tableColumn id="3601" xr3:uid="{F62EAE6A-DAD7-4DE5-8927-EF83C5D6AC09}" name="Column3590"/>
    <tableColumn id="3602" xr3:uid="{94F5E9B7-5565-45F2-9ED3-D992CB5FEC4E}" name="Column3591"/>
    <tableColumn id="3603" xr3:uid="{CD483274-A10C-4B03-8C1D-206B8213477F}" name="Column3592"/>
    <tableColumn id="3604" xr3:uid="{F1BDBF8A-0746-4762-A5E0-6E69189625C2}" name="Column3593"/>
    <tableColumn id="3605" xr3:uid="{061AA0EF-9043-4DD1-997A-0B70668FD013}" name="Column3594"/>
    <tableColumn id="3606" xr3:uid="{D8C6C10B-A74E-4712-B2B5-9E4B22A4AA3A}" name="Column3595"/>
    <tableColumn id="3607" xr3:uid="{7BE77F46-7B3B-48AA-869B-1A6D5AFE8E67}" name="Column3596"/>
    <tableColumn id="3608" xr3:uid="{C6AD0DF1-BFFF-426A-BB33-5BCC54F8194D}" name="Column3597"/>
    <tableColumn id="3609" xr3:uid="{F2513313-ED4B-4F14-BC8A-73026E49FD18}" name="Column3598"/>
    <tableColumn id="3610" xr3:uid="{706B053B-4C1C-4C1F-9FF0-AA5938C2127D}" name="Column3599"/>
    <tableColumn id="3611" xr3:uid="{668A52EE-2AF4-4949-B0BF-4D20634A88BD}" name="Column3600"/>
    <tableColumn id="3612" xr3:uid="{10F8AA39-4CA8-4452-AD63-231C76C23FC4}" name="Column3601"/>
    <tableColumn id="3613" xr3:uid="{8C15F351-C732-4E0A-8C4B-202B7ADE96D4}" name="Column3602"/>
    <tableColumn id="3614" xr3:uid="{6EF6BBDB-FABC-47A6-943E-17FDDB1EF534}" name="Column3603"/>
    <tableColumn id="3615" xr3:uid="{087B604C-9B19-4143-B734-1151B459283D}" name="Column3604"/>
    <tableColumn id="3616" xr3:uid="{8C9346D3-D630-4DA3-9A1E-85DEECEA0A3D}" name="Column3605"/>
    <tableColumn id="3617" xr3:uid="{C0C7E402-C18E-4942-A397-460F7B641C80}" name="Column3606"/>
    <tableColumn id="3618" xr3:uid="{48A4DA19-EACD-4258-BC5D-0EBAF21F5E02}" name="Column3607"/>
    <tableColumn id="3619" xr3:uid="{FF3B7907-5096-4EA1-860A-DFA5F7003FA9}" name="Column3608"/>
    <tableColumn id="3620" xr3:uid="{54EA23DF-A87B-4064-8E2B-EFACD3550611}" name="Column3609"/>
    <tableColumn id="3621" xr3:uid="{0B3E80CE-A9E2-4330-B557-5AF9DC5DB40C}" name="Column3610"/>
    <tableColumn id="3622" xr3:uid="{01ED543C-6EC4-40D7-B0E7-2111BD49890B}" name="Column3611"/>
    <tableColumn id="3623" xr3:uid="{2EEBAD2A-95AD-48FD-A8CF-8A66596ED7E9}" name="Column3612"/>
    <tableColumn id="3624" xr3:uid="{1E7F5EFA-1FED-4816-8A19-3FCF0F50ACC0}" name="Column3613"/>
    <tableColumn id="3625" xr3:uid="{E76891F5-3DFF-4EAB-B704-63B2E2C5C3FF}" name="Column3614"/>
    <tableColumn id="3626" xr3:uid="{00C9B112-6BC3-4E6A-B7CC-9390BA96A5AC}" name="Column3615"/>
    <tableColumn id="3627" xr3:uid="{23905738-6978-445E-A980-1150CB9ED37A}" name="Column3616"/>
    <tableColumn id="3628" xr3:uid="{A954D631-938C-42B5-947F-8848C924901D}" name="Column3617"/>
    <tableColumn id="3629" xr3:uid="{72EBD257-C4FB-4371-8A82-9566E0414A0A}" name="Column3618"/>
    <tableColumn id="3630" xr3:uid="{E54D9A7A-EEF7-41F3-9E9A-0897FE61FF81}" name="Column3619"/>
    <tableColumn id="3631" xr3:uid="{5620D7D8-0E09-4374-A217-5E96CBA25E9B}" name="Column3620"/>
    <tableColumn id="3632" xr3:uid="{C7A7061B-6F14-406F-9393-3AC20C5DBF2E}" name="Column3621"/>
    <tableColumn id="3633" xr3:uid="{1A30EABB-182F-4671-9807-1D64335B8EB4}" name="Column3622"/>
    <tableColumn id="3634" xr3:uid="{F4F1162A-EF4B-4EBA-A525-7ADBB7CE6508}" name="Column3623"/>
    <tableColumn id="3635" xr3:uid="{5CC22378-E368-403E-9A44-499291502D83}" name="Column3624"/>
    <tableColumn id="3636" xr3:uid="{2EE5A868-51AD-488F-8DDE-B1A14AC8A931}" name="Column3625"/>
    <tableColumn id="3637" xr3:uid="{EF8AA61C-330A-43BA-AEDD-5A4303EBB227}" name="Column3626"/>
    <tableColumn id="3638" xr3:uid="{4A4B9124-313B-4F57-BAF2-04BACDE0A70B}" name="Column3627"/>
    <tableColumn id="3639" xr3:uid="{284E0C9A-4776-45C7-8E0C-D384670BEAD6}" name="Column3628"/>
    <tableColumn id="3640" xr3:uid="{23488007-6A33-4AC7-A4FE-DFC19D91B914}" name="Column3629"/>
    <tableColumn id="3641" xr3:uid="{078D4EC4-4678-441F-9F83-D519E73AA43C}" name="Column3630"/>
    <tableColumn id="3642" xr3:uid="{6F4160B9-8017-4E99-8FDA-B7E2C064778B}" name="Column3631"/>
    <tableColumn id="3643" xr3:uid="{75E0D117-A229-438E-80DE-4021A82E2214}" name="Column3632"/>
    <tableColumn id="3644" xr3:uid="{11E09C96-BFD0-46A4-8812-77872FF83BAF}" name="Column3633"/>
    <tableColumn id="3645" xr3:uid="{AF03AF9C-87F6-40BF-94E2-EF391DA431B0}" name="Column3634"/>
    <tableColumn id="3646" xr3:uid="{30C00473-E6CF-4569-BCB2-4F6C1F3803C0}" name="Column3635"/>
    <tableColumn id="3647" xr3:uid="{C72FFCEE-E975-4306-824A-6B39DF226D8D}" name="Column3636"/>
    <tableColumn id="3648" xr3:uid="{B5570142-D447-4566-B42C-C828B7C43B59}" name="Column3637"/>
    <tableColumn id="3649" xr3:uid="{CFCF2284-37B5-4A33-B0A3-D957A3613F94}" name="Column3638"/>
    <tableColumn id="3650" xr3:uid="{5EE21BB7-DC76-4B8A-8736-965DF7345ACD}" name="Column3639"/>
    <tableColumn id="3651" xr3:uid="{CF313ABC-1C07-4AF2-B372-BED28FB7581D}" name="Column3640"/>
    <tableColumn id="3652" xr3:uid="{379C4254-D521-4835-ABD6-D30066BB6702}" name="Column3641"/>
    <tableColumn id="3653" xr3:uid="{F44D2A11-37C8-4160-AFA6-59D389EF68DB}" name="Column3642"/>
    <tableColumn id="3654" xr3:uid="{53706BF4-8B22-478A-8543-BFC57E201AD1}" name="Column3643"/>
    <tableColumn id="3655" xr3:uid="{B1C8C731-5BB2-4D5B-9B00-4FE5A4DAA7D4}" name="Column3644"/>
    <tableColumn id="3656" xr3:uid="{DB43201B-293F-4006-991E-AE8CEA539318}" name="Column3645"/>
    <tableColumn id="3657" xr3:uid="{C620CA44-8896-4095-963F-9D39A4A7175E}" name="Column3646"/>
    <tableColumn id="3658" xr3:uid="{F1D677BD-0BDB-457F-AAAC-7B4E8456B72C}" name="Column3647"/>
    <tableColumn id="3659" xr3:uid="{2F34CFE3-5064-475D-A00F-F4125ADD6FE0}" name="Column3648"/>
    <tableColumn id="3660" xr3:uid="{ADDF4F07-8F22-4A85-AA43-C76DB4DC9681}" name="Column3649"/>
    <tableColumn id="3661" xr3:uid="{A9671985-120F-4945-8E9E-D0BCD18EFB03}" name="Column3650"/>
    <tableColumn id="3662" xr3:uid="{306CCCCB-77B2-47A7-84B7-6A3AED42C2ED}" name="Column3651"/>
    <tableColumn id="3663" xr3:uid="{0D977845-CC41-4AE2-B4E8-37395049052B}" name="Column3652"/>
    <tableColumn id="3664" xr3:uid="{E65BBAA3-68A2-4923-9291-042FFA6FEFBD}" name="Column3653"/>
    <tableColumn id="3665" xr3:uid="{128D1429-8579-4CC1-8C11-2FC070269C47}" name="Column3654"/>
    <tableColumn id="3666" xr3:uid="{5C1ADE70-81C1-44CA-8131-2DF7CCA4DDEF}" name="Column3655"/>
    <tableColumn id="3667" xr3:uid="{CDAE9BBE-2D60-4F0B-9999-5021195A9B0A}" name="Column3656"/>
    <tableColumn id="3668" xr3:uid="{A6192F5D-7CAA-44E9-9E91-EA984B3B2BD3}" name="Column3657"/>
    <tableColumn id="3669" xr3:uid="{C0DCCE99-A876-4798-986C-CCCFD87B50F6}" name="Column3658"/>
    <tableColumn id="3670" xr3:uid="{CD8696FD-C1CC-4EC3-AF2C-C297E1B6D8ED}" name="Column3659"/>
    <tableColumn id="3671" xr3:uid="{C7C72E2F-C7D2-4074-BDA8-FF7751E5492C}" name="Column3660"/>
    <tableColumn id="3672" xr3:uid="{E5190F07-1BCC-4A33-826B-C3A9DE832B95}" name="Column3661"/>
    <tableColumn id="3673" xr3:uid="{CBA2C08A-2159-4CD5-BA1A-4071DC46EE77}" name="Column3662"/>
    <tableColumn id="3674" xr3:uid="{E5077C4F-D30F-4244-98EF-2DEF1EBC89CA}" name="Column3663"/>
    <tableColumn id="3675" xr3:uid="{3271C7CE-65EF-4905-AF6B-70B0FF57E909}" name="Column3664"/>
    <tableColumn id="3676" xr3:uid="{3A33B272-7919-4ED9-AC66-5C314033D012}" name="Column3665"/>
    <tableColumn id="3677" xr3:uid="{555F2793-EE86-4595-8070-5E0300489371}" name="Column3666"/>
    <tableColumn id="3678" xr3:uid="{D41E16F4-95FC-40F9-9FA5-400ABE05A2F3}" name="Column3667"/>
    <tableColumn id="3679" xr3:uid="{A0F2A529-433E-47AC-8F81-E6700F2C104C}" name="Column3668"/>
    <tableColumn id="3680" xr3:uid="{DFB1CFE6-6D54-4FE5-9977-F3E4CA2B791B}" name="Column3669"/>
    <tableColumn id="3681" xr3:uid="{7FA61BEC-93B1-4DAB-BEEB-B81C19C7B750}" name="Column3670"/>
    <tableColumn id="3682" xr3:uid="{F9AF9059-360E-4643-8523-90DF77F82575}" name="Column3671"/>
    <tableColumn id="3683" xr3:uid="{06C2D74B-F428-4870-A84A-C63D696CFFD1}" name="Column3672"/>
    <tableColumn id="3684" xr3:uid="{D4002774-FE2B-437B-B19A-21F9D504B4B6}" name="Column3673"/>
    <tableColumn id="3685" xr3:uid="{28AE69C5-E441-4456-8441-46F7F59A962D}" name="Column3674"/>
    <tableColumn id="3686" xr3:uid="{68F3F476-4CC2-4CA2-A4DB-00155679A9F7}" name="Column3675"/>
    <tableColumn id="3687" xr3:uid="{E204E66B-EEDF-489C-98F9-3C098734AD0A}" name="Column3676"/>
    <tableColumn id="3688" xr3:uid="{81AFF5FB-78A6-4D47-927C-744922D905D2}" name="Column3677"/>
    <tableColumn id="3689" xr3:uid="{EF55A188-10F0-461F-AE37-4AEA465753FF}" name="Column3678"/>
    <tableColumn id="3690" xr3:uid="{4F45D0C9-45E9-4A34-AA56-E471F539E4DF}" name="Column3679"/>
    <tableColumn id="3691" xr3:uid="{C8CBC805-6BD2-4158-90A5-094337B8D923}" name="Column3680"/>
    <tableColumn id="3692" xr3:uid="{5065FD01-A57D-4FE8-91B7-AEE3254B7E59}" name="Column3681"/>
    <tableColumn id="3693" xr3:uid="{FDFDB0F8-D220-44D3-9F90-90EF1F06BD14}" name="Column3682"/>
    <tableColumn id="3694" xr3:uid="{4E420EA5-7EFD-407A-A31D-18F5EB132E34}" name="Column3683"/>
    <tableColumn id="3695" xr3:uid="{F0FAAB74-F66B-43AB-9744-65BB2332713B}" name="Column3684"/>
    <tableColumn id="3696" xr3:uid="{FB425BDF-CA6D-4C66-BCDB-BC14BE4A47E7}" name="Column3685"/>
    <tableColumn id="3697" xr3:uid="{372ACA3F-C68A-4F4A-881B-AF6760FBAB2F}" name="Column3686"/>
    <tableColumn id="3698" xr3:uid="{EA4BF9BC-F73D-41FF-9834-A51650D2B870}" name="Column3687"/>
    <tableColumn id="3699" xr3:uid="{DB3E3208-485C-4365-91F2-87D48FBCC6DC}" name="Column3688"/>
    <tableColumn id="3700" xr3:uid="{F53E9C98-2131-4A79-B436-0C243616FB5F}" name="Column3689"/>
    <tableColumn id="3701" xr3:uid="{9CB2076D-7084-4072-813C-675FDB0BEAD7}" name="Column3690"/>
    <tableColumn id="3702" xr3:uid="{F54565E6-0F42-4EE7-9E40-998BD38EE153}" name="Column3691"/>
    <tableColumn id="3703" xr3:uid="{22B8E70E-E112-493E-B6C9-DC79D2D4A48B}" name="Column3692"/>
    <tableColumn id="3704" xr3:uid="{27CC8B9D-FC77-4FC2-848E-5A8C1C58D6D6}" name="Column3693"/>
    <tableColumn id="3705" xr3:uid="{16C112E6-EE93-4B92-A51E-44AF2EA0E135}" name="Column3694"/>
    <tableColumn id="3706" xr3:uid="{3595A624-7AD3-4958-9C7D-DEF9D5C50550}" name="Column3695"/>
    <tableColumn id="3707" xr3:uid="{A7CFDAD2-FC42-4590-97E5-E680D8520C4E}" name="Column3696"/>
    <tableColumn id="3708" xr3:uid="{A3E132BE-79FB-4929-AA53-B9206F8E58CE}" name="Column3697"/>
    <tableColumn id="3709" xr3:uid="{635B437B-79D2-4D98-B866-5E713723D169}" name="Column3698"/>
    <tableColumn id="3710" xr3:uid="{8A6067A1-C48F-4AA2-BF2B-0BE832A142FE}" name="Column3699"/>
    <tableColumn id="3711" xr3:uid="{A920186C-E72E-48EB-BD27-3CDC533A078C}" name="Column3700"/>
    <tableColumn id="3712" xr3:uid="{9C3C1C0F-D9D4-4A29-AB8B-DEDCE53BF375}" name="Column3701"/>
    <tableColumn id="3713" xr3:uid="{E005B3D3-4BB8-4F07-8EF1-0A5F133DBAD2}" name="Column3702"/>
    <tableColumn id="3714" xr3:uid="{E14D2FC4-F2F7-4A56-A29A-568641C04831}" name="Column3703"/>
    <tableColumn id="3715" xr3:uid="{27E6852F-7592-49EF-84C1-4D42BDC9AE55}" name="Column3704"/>
    <tableColumn id="3716" xr3:uid="{FD7B5914-5F9B-4A53-86EB-BE3A3E04049E}" name="Column3705"/>
    <tableColumn id="3717" xr3:uid="{97D67316-0AC6-4D50-A3AF-5581FA0EFA2E}" name="Column3706"/>
    <tableColumn id="3718" xr3:uid="{9494095A-A916-4DBA-8E63-A02C22F050B5}" name="Column3707"/>
    <tableColumn id="3719" xr3:uid="{56C1ED7C-D6B3-4702-A458-FB4C2B6830DE}" name="Column3708"/>
    <tableColumn id="3720" xr3:uid="{60D1E9E2-3373-4560-A775-F568DB79C0BB}" name="Column3709"/>
    <tableColumn id="3721" xr3:uid="{1DAF7E5E-A70C-4C7D-8FAE-4AD12B5511FB}" name="Column3710"/>
    <tableColumn id="3722" xr3:uid="{6BD0FA53-6A11-44C2-8AD6-256434B350A1}" name="Column3711"/>
    <tableColumn id="3723" xr3:uid="{F5C4E37A-F686-4EC7-B50D-898D5731341D}" name="Column3712"/>
    <tableColumn id="3724" xr3:uid="{8E4F5B6C-6FD6-4C68-864E-321B83C2F25A}" name="Column3713"/>
    <tableColumn id="3725" xr3:uid="{CD56F039-6DFA-4145-97D1-157D59174128}" name="Column3714"/>
    <tableColumn id="3726" xr3:uid="{1B4FDF84-845A-44D5-9346-90692C2F9014}" name="Column3715"/>
    <tableColumn id="3727" xr3:uid="{5B8E0C12-0A3B-4DC7-B411-337244E69D08}" name="Column3716"/>
    <tableColumn id="3728" xr3:uid="{1FDC4625-7146-482F-BE37-48201FFBB63A}" name="Column3717"/>
    <tableColumn id="3729" xr3:uid="{63C6FE36-1BBB-4C77-966C-24F2014F034C}" name="Column3718"/>
    <tableColumn id="3730" xr3:uid="{D7B73980-9067-4501-A978-6A76AC34E64A}" name="Column3719"/>
    <tableColumn id="3731" xr3:uid="{972DFE5C-A723-4220-BEB4-6DBFF8CE9AB3}" name="Column3720"/>
    <tableColumn id="3732" xr3:uid="{F2523E84-7335-464A-839B-44CA04D93A38}" name="Column3721"/>
    <tableColumn id="3733" xr3:uid="{A0C90693-4F1A-409B-A77A-AE2F67243A83}" name="Column3722"/>
    <tableColumn id="3734" xr3:uid="{F2055797-AD9C-461F-9A4E-1063B0D53037}" name="Column3723"/>
    <tableColumn id="3735" xr3:uid="{0E474854-075D-454A-ACBA-28789A88A3DF}" name="Column3724"/>
    <tableColumn id="3736" xr3:uid="{B7A471A2-6C19-4380-AACC-9945C236B00F}" name="Column3725"/>
    <tableColumn id="3737" xr3:uid="{278E7A3B-CBA0-42AF-86F2-C66B7A8DC6E3}" name="Column3726"/>
    <tableColumn id="3738" xr3:uid="{3D4ED944-1BE5-450E-8E26-D55AE8126BC5}" name="Column3727"/>
    <tableColumn id="3739" xr3:uid="{848ED980-0442-42F5-8062-3EAD8B6D468B}" name="Column3728"/>
    <tableColumn id="3740" xr3:uid="{0624A3C7-CA23-4A9D-BE38-D62BC660336F}" name="Column3729"/>
    <tableColumn id="3741" xr3:uid="{5B344C21-9E66-4FD9-B417-45D4459A52B8}" name="Column3730"/>
    <tableColumn id="3742" xr3:uid="{26787751-4EBD-4E85-B7BB-3FE429C5ACEF}" name="Column3731"/>
    <tableColumn id="3743" xr3:uid="{D4306FFA-35AA-47D1-8655-E0DD3114038E}" name="Column3732"/>
    <tableColumn id="3744" xr3:uid="{CBA02AE2-9E2C-499F-A51A-211C47B83CFE}" name="Column3733"/>
    <tableColumn id="3745" xr3:uid="{F963A97C-3929-4199-BCFD-FD5D96F07D74}" name="Column3734"/>
    <tableColumn id="3746" xr3:uid="{FA234000-FA85-4182-9D03-94C8881D0446}" name="Column3735"/>
    <tableColumn id="3747" xr3:uid="{9661800F-40F9-4C08-A924-3CE905D53EC9}" name="Column3736"/>
    <tableColumn id="3748" xr3:uid="{34F30DB4-4D1A-45C2-8C3D-E2D8F5B607A7}" name="Column3737"/>
    <tableColumn id="3749" xr3:uid="{56145765-4A6B-4748-8243-D8844CAD9040}" name="Column3738"/>
    <tableColumn id="3750" xr3:uid="{1EF15644-5D9F-4291-AFAB-76A0E541C6F3}" name="Column3739"/>
    <tableColumn id="3751" xr3:uid="{2A3E5AAC-29E5-46B2-A260-F6123C1D2D5B}" name="Column3740"/>
    <tableColumn id="3752" xr3:uid="{8ADE1F75-B5FD-459D-B163-D45101E53EA8}" name="Column3741"/>
    <tableColumn id="3753" xr3:uid="{4FA0CB71-632D-480A-B140-8B27E5FC1A3E}" name="Column3742"/>
    <tableColumn id="3754" xr3:uid="{F969431E-4FCB-4348-8C53-357757B4CA04}" name="Column3743"/>
    <tableColumn id="3755" xr3:uid="{5A1E8372-1A0F-4C0C-ACD0-88FC11D6A658}" name="Column3744"/>
    <tableColumn id="3756" xr3:uid="{D63A34D9-590D-4B2E-84EC-635BFB3A84BB}" name="Column3745"/>
    <tableColumn id="3757" xr3:uid="{E514FF10-F873-480C-AA85-159C5AAF0534}" name="Column3746"/>
    <tableColumn id="3758" xr3:uid="{AC56BF69-F219-4E1B-88CE-0A7D5A75C5A2}" name="Column3747"/>
    <tableColumn id="3759" xr3:uid="{A2F4B29E-C84E-46A6-8384-1B5B2C49DCE5}" name="Column3748"/>
    <tableColumn id="3760" xr3:uid="{CEDFEFF9-5AB5-4581-9B16-68BEC3A1EE10}" name="Column3749"/>
    <tableColumn id="3761" xr3:uid="{9F10B8AB-37FE-4F44-AE86-5B262E338EF4}" name="Column3750"/>
    <tableColumn id="3762" xr3:uid="{D0507666-E961-4914-ABD0-12E54A1F5C07}" name="Column3751"/>
    <tableColumn id="3763" xr3:uid="{8E01F040-37DC-48D0-A2A0-6A5C6B788CA9}" name="Column3752"/>
    <tableColumn id="3764" xr3:uid="{F0B64704-7A80-4C70-A6F3-E34BA0B5954F}" name="Column3753"/>
    <tableColumn id="3765" xr3:uid="{2C8E5BB2-1552-47EE-827D-2E375A80AC26}" name="Column3754"/>
    <tableColumn id="3766" xr3:uid="{AE7A25BE-C743-4AB1-965D-BFF6C4E61AF0}" name="Column3755"/>
    <tableColumn id="3767" xr3:uid="{5A374A6E-4618-4F75-9C85-6DBE51F44A85}" name="Column3756"/>
    <tableColumn id="3768" xr3:uid="{BEE78FB5-D37B-415D-8AE1-392292AFBF1F}" name="Column3757"/>
    <tableColumn id="3769" xr3:uid="{07628722-6534-4454-B28C-0C070E54D0EF}" name="Column3758"/>
    <tableColumn id="3770" xr3:uid="{24EDBE73-8854-4750-B7AE-95D66C918207}" name="Column3759"/>
    <tableColumn id="3771" xr3:uid="{DBF5CA5D-4AA5-4841-8FDC-97A053D6E7DF}" name="Column3760"/>
    <tableColumn id="3772" xr3:uid="{3A0D516F-D0AB-472F-A724-D7E38D838389}" name="Column3761"/>
    <tableColumn id="3773" xr3:uid="{D0615CEA-0BC7-4907-94A1-43223B412931}" name="Column3762"/>
    <tableColumn id="3774" xr3:uid="{D0E8C86E-3775-4613-9B7C-B408C7DD6AD0}" name="Column3763"/>
    <tableColumn id="3775" xr3:uid="{B58FF76B-0C43-4225-A4BF-74A4807E7128}" name="Column3764"/>
    <tableColumn id="3776" xr3:uid="{51A88886-1B3A-4A2A-AC3E-902227264E5E}" name="Column3765"/>
    <tableColumn id="3777" xr3:uid="{43C1EC8E-6303-4672-8375-10FB705A14D0}" name="Column3766"/>
    <tableColumn id="3778" xr3:uid="{7DEA5A3D-C137-4D22-B457-4B45AEAED31D}" name="Column3767"/>
    <tableColumn id="3779" xr3:uid="{B80B3B21-7E4B-48C6-B62F-D950879F5470}" name="Column3768"/>
    <tableColumn id="3780" xr3:uid="{254C6FF4-934C-44B0-BCDA-33DA6F9C3BF9}" name="Column3769"/>
    <tableColumn id="3781" xr3:uid="{F7CC8D68-3901-4F69-A408-2241519E597C}" name="Column3770"/>
    <tableColumn id="3782" xr3:uid="{87B1D3A7-0EAF-43E6-A3A6-B767CA4178E9}" name="Column3771"/>
    <tableColumn id="3783" xr3:uid="{463BE1BB-9544-473D-84E4-46D1E15F551D}" name="Column3772"/>
    <tableColumn id="3784" xr3:uid="{2EC1EBCC-DE2A-4D13-928B-8ACD2954D7D3}" name="Column3773"/>
    <tableColumn id="3785" xr3:uid="{82F08A98-9562-41AB-9168-658B2630B63C}" name="Column3774"/>
    <tableColumn id="3786" xr3:uid="{548BAC32-13B4-445C-AB30-C83A15874255}" name="Column3775"/>
    <tableColumn id="3787" xr3:uid="{E87D15F4-3D11-4FDB-AF65-EE36D5840A3E}" name="Column3776"/>
    <tableColumn id="3788" xr3:uid="{EE0BB82F-4A98-4380-8329-4050770A1FAC}" name="Column3777"/>
    <tableColumn id="3789" xr3:uid="{9EC594D4-18E8-430A-AA33-DCF98FC451C4}" name="Column3778"/>
    <tableColumn id="3790" xr3:uid="{4F0D8452-B18D-4962-A4B1-A66EFF14E1A3}" name="Column3779"/>
    <tableColumn id="3791" xr3:uid="{4902B7B3-6A38-4794-8344-B71BA6111948}" name="Column3780"/>
    <tableColumn id="3792" xr3:uid="{796687BB-17CE-499A-B47D-D3465B29FDC5}" name="Column3781"/>
    <tableColumn id="3793" xr3:uid="{E27C7905-5467-4BD8-972C-8472D194111B}" name="Column3782"/>
    <tableColumn id="3794" xr3:uid="{21A159C8-234A-42D7-A87E-1282AB30EF37}" name="Column3783"/>
    <tableColumn id="3795" xr3:uid="{387CEA87-D007-456E-B239-F4B1FB51E8B6}" name="Column3784"/>
    <tableColumn id="3796" xr3:uid="{366DE8ED-7C87-4B0A-8363-08EC8F3AEC0B}" name="Column3785"/>
    <tableColumn id="3797" xr3:uid="{BA5B9320-ABFF-49B0-A4BA-3D1581FCCD2A}" name="Column3786"/>
    <tableColumn id="3798" xr3:uid="{0E254416-A346-4F16-9570-B5743C83B7DC}" name="Column3787"/>
    <tableColumn id="3799" xr3:uid="{2C07BE5C-D6C9-4A1D-A50E-36E1CB9D7896}" name="Column3788"/>
    <tableColumn id="3800" xr3:uid="{2C2802D3-D1B9-429B-8481-6E3A1191E137}" name="Column3789"/>
    <tableColumn id="3801" xr3:uid="{CEBC157A-D381-469E-BE7D-A78E1D774B13}" name="Column3790"/>
    <tableColumn id="3802" xr3:uid="{DE44A8EF-F542-4E09-9068-DE746192CAF6}" name="Column3791"/>
    <tableColumn id="3803" xr3:uid="{44EF7DAC-1D3B-4C5B-9735-CBC49DD9ACEC}" name="Column3792"/>
    <tableColumn id="3804" xr3:uid="{E05B682E-022B-47DF-848C-5A4F9A2FD6F6}" name="Column3793"/>
    <tableColumn id="3805" xr3:uid="{E942A6A2-DDF4-467E-AE15-5C46A13C6AB9}" name="Column3794"/>
    <tableColumn id="3806" xr3:uid="{EB13E9E0-B3AC-4039-ADC5-BBB4D082A3ED}" name="Column3795"/>
    <tableColumn id="3807" xr3:uid="{F9DD6150-2CDE-401E-8F31-DC57BF6AA560}" name="Column3796"/>
    <tableColumn id="3808" xr3:uid="{7B9EFA3F-549C-4607-B19E-2FF3D60B1FFD}" name="Column3797"/>
    <tableColumn id="3809" xr3:uid="{AB217743-78C8-4D5F-903F-CA7AB1BC1AC6}" name="Column3798"/>
    <tableColumn id="3810" xr3:uid="{EF560925-5532-47AC-8039-82762A8244CA}" name="Column3799"/>
    <tableColumn id="3811" xr3:uid="{1FEC30DC-A7B8-476D-AAD2-A8FE1569A041}" name="Column3800"/>
    <tableColumn id="3812" xr3:uid="{E53DB4C5-FD76-4D24-8D98-AA096B574DB7}" name="Column3801"/>
    <tableColumn id="3813" xr3:uid="{C4CF4030-64AD-4616-888B-B8BDA90CEC0E}" name="Column3802"/>
    <tableColumn id="3814" xr3:uid="{1658FA16-CCE7-4E8A-BEA2-F5CA23433E40}" name="Column3803"/>
    <tableColumn id="3815" xr3:uid="{F0455D93-987B-4B7D-9E67-A8C691C2A739}" name="Column3804"/>
    <tableColumn id="3816" xr3:uid="{DE9F0589-5D82-4D8B-A191-49E1C9D902B3}" name="Column3805"/>
    <tableColumn id="3817" xr3:uid="{35C48696-B747-4F6E-9A75-8BD9D4471877}" name="Column3806"/>
    <tableColumn id="3818" xr3:uid="{3CAAE7C9-D62D-4E4A-AD54-3E4CCB7853E2}" name="Column3807"/>
    <tableColumn id="3819" xr3:uid="{7E9084B3-FB54-4649-8CDA-BFFBA03C874A}" name="Column3808"/>
    <tableColumn id="3820" xr3:uid="{53D01EAF-10E0-4454-8DAE-BC176BA0A348}" name="Column3809"/>
    <tableColumn id="3821" xr3:uid="{E979560B-0D33-49F7-8701-B8068DDCE218}" name="Column3810"/>
    <tableColumn id="3822" xr3:uid="{7244D19B-2363-44C4-84C7-B35149FFFC5D}" name="Column3811"/>
    <tableColumn id="3823" xr3:uid="{AA9CB3FF-9858-49F6-B0E9-3B9506C6E39E}" name="Column3812"/>
    <tableColumn id="3824" xr3:uid="{2691F0C3-E4A5-49D6-B7E5-1FB53D99368D}" name="Column3813"/>
    <tableColumn id="3825" xr3:uid="{A5D763BC-62B2-4C84-B84D-FF71B42FE284}" name="Column3814"/>
    <tableColumn id="3826" xr3:uid="{EABC7679-CB23-4FA6-AB8C-15BD75324C9F}" name="Column3815"/>
    <tableColumn id="3827" xr3:uid="{C79B9136-9769-48E1-B3A1-A306161D52F9}" name="Column3816"/>
    <tableColumn id="3828" xr3:uid="{CE203499-A0D4-4274-9A4B-4D056FFBF9ED}" name="Column3817"/>
    <tableColumn id="3829" xr3:uid="{099848BB-4494-4528-A6E6-57E31AF494AF}" name="Column3818"/>
    <tableColumn id="3830" xr3:uid="{8D10865E-38DD-4A78-B3CE-622EF2DD2D6F}" name="Column3819"/>
    <tableColumn id="3831" xr3:uid="{13D7F584-77FE-4BBB-98F2-44C9598D1536}" name="Column3820"/>
    <tableColumn id="3832" xr3:uid="{CDCFDD82-49EE-429C-98F1-5F20083DBA84}" name="Column3821"/>
    <tableColumn id="3833" xr3:uid="{6B2C67C2-170B-47FA-AFEC-C56D2B51971D}" name="Column3822"/>
    <tableColumn id="3834" xr3:uid="{493AF89C-1F1E-4CBD-91C6-32D665E199EE}" name="Column3823"/>
    <tableColumn id="3835" xr3:uid="{7E9D014B-78F5-4351-980F-02FA8C9986C2}" name="Column3824"/>
    <tableColumn id="3836" xr3:uid="{E6BD06D3-0CCF-4F66-B9F6-EEFDF1233AD5}" name="Column3825"/>
    <tableColumn id="3837" xr3:uid="{72B02981-2F1C-4527-ACEB-85E70BA1C9CC}" name="Column3826"/>
    <tableColumn id="3838" xr3:uid="{4AD1E7C2-BEF9-4F9E-8B27-F9AAD6BA181B}" name="Column3827"/>
    <tableColumn id="3839" xr3:uid="{E2874028-5921-423E-B942-E976BB36BEF4}" name="Column3828"/>
    <tableColumn id="3840" xr3:uid="{256E7BD2-71E3-4245-9BC5-D8275A78D537}" name="Column3829"/>
    <tableColumn id="3841" xr3:uid="{B305F15E-9E21-4E8B-80D0-A0A0F032A9B4}" name="Column3830"/>
    <tableColumn id="3842" xr3:uid="{53CC73A4-22FE-4E10-89BE-9872188EADEA}" name="Column3831"/>
    <tableColumn id="3843" xr3:uid="{F6EC7796-AC5B-4E63-8CB1-A56E97804E71}" name="Column3832"/>
    <tableColumn id="3844" xr3:uid="{40EB792E-36A4-4948-B38E-E59B0DCCF15E}" name="Column3833"/>
    <tableColumn id="3845" xr3:uid="{8E787227-3059-4AF3-B7A8-3D1571584B74}" name="Column3834"/>
    <tableColumn id="3846" xr3:uid="{F583FD30-68F5-45CB-81AC-6037C1D262C6}" name="Column3835"/>
    <tableColumn id="3847" xr3:uid="{C74E9F44-8A95-49A2-A047-DF2054D93C83}" name="Column3836"/>
    <tableColumn id="3848" xr3:uid="{E95C42B7-C739-459F-AF9D-B529BDCCA4F7}" name="Column3837"/>
    <tableColumn id="3849" xr3:uid="{AE601491-E2C2-4B59-BED0-2DCBBB686BF8}" name="Column3838"/>
    <tableColumn id="3850" xr3:uid="{3DD8606D-3C9F-4ADD-9212-6FDE4C6CE0CA}" name="Column3839"/>
    <tableColumn id="3851" xr3:uid="{5FD28E62-932A-4C2C-9ACD-BBEA414E1E1C}" name="Column3840"/>
    <tableColumn id="3852" xr3:uid="{35898996-C40A-4AE1-9BF5-66E8A79A2CEC}" name="Column3841"/>
    <tableColumn id="3853" xr3:uid="{FCA3BC70-C89B-4B1E-B6E6-D2EEF16F6B25}" name="Column3842"/>
    <tableColumn id="3854" xr3:uid="{67E16430-523D-489D-AB68-6744DA90C71C}" name="Column3843"/>
    <tableColumn id="3855" xr3:uid="{E955B62E-C67F-4F04-A10B-5473EBD65783}" name="Column3844"/>
    <tableColumn id="3856" xr3:uid="{66330699-FFB0-4EF4-B18A-7C5D9E4306D2}" name="Column3845"/>
    <tableColumn id="3857" xr3:uid="{142DD1A1-5BB9-45A8-88D5-5D26AD1C4342}" name="Column3846"/>
    <tableColumn id="3858" xr3:uid="{77D5B01A-C09A-4D61-B624-0835E417CBDA}" name="Column3847"/>
    <tableColumn id="3859" xr3:uid="{1A287294-B172-403F-825E-8835C3F307EE}" name="Column3848"/>
    <tableColumn id="3860" xr3:uid="{3D383095-3FE6-4CD2-92A3-B3B1FD445A9A}" name="Column3849"/>
    <tableColumn id="3861" xr3:uid="{BC15AEF4-1146-415C-9617-7034A37AF8A5}" name="Column3850"/>
    <tableColumn id="3862" xr3:uid="{6BE305CB-2C82-40EC-B342-8BDC7BA13AAE}" name="Column3851"/>
    <tableColumn id="3863" xr3:uid="{0F240D15-A0EF-4735-B991-199DEB60B809}" name="Column3852"/>
    <tableColumn id="3864" xr3:uid="{5794E4C5-22D6-47F7-BB74-BA10E31E49E9}" name="Column3853"/>
    <tableColumn id="3865" xr3:uid="{62D48BEA-52A7-47FE-B136-CF44DDB18F67}" name="Column3854"/>
    <tableColumn id="3866" xr3:uid="{42441E5A-9359-450E-AD2A-BE0B976DF1B6}" name="Column3855"/>
    <tableColumn id="3867" xr3:uid="{00A863A6-6873-4911-A8E5-AE913E4965C1}" name="Column3856"/>
    <tableColumn id="3868" xr3:uid="{436CC5D1-4E4A-4BA6-A47D-3FCE3A903629}" name="Column3857"/>
    <tableColumn id="3869" xr3:uid="{27756771-3F02-4023-AE46-DC88FD2BD74F}" name="Column3858"/>
    <tableColumn id="3870" xr3:uid="{D2F4D1DD-940F-4280-BE70-D4A867C4A18A}" name="Column3859"/>
    <tableColumn id="3871" xr3:uid="{A5A187D1-35BD-44DA-9B7F-D317B5B29954}" name="Column3860"/>
    <tableColumn id="3872" xr3:uid="{5B09D327-04E8-4247-B234-44C1358D6C7D}" name="Column3861"/>
    <tableColumn id="3873" xr3:uid="{76CAFB1C-AFCF-4FC8-BAD0-351D43E0B4E0}" name="Column3862"/>
    <tableColumn id="3874" xr3:uid="{B865E4EA-E81C-4EBC-A4D9-4C51BFD669DE}" name="Column3863"/>
    <tableColumn id="3875" xr3:uid="{F3927676-02B6-4E58-8FDA-55E895244356}" name="Column3864"/>
    <tableColumn id="3876" xr3:uid="{6C5AFD0C-7127-4E12-A352-24E47A9387A9}" name="Column3865"/>
    <tableColumn id="3877" xr3:uid="{64C66BC9-DB75-42B2-9F04-2F7BB5B68A1B}" name="Column3866"/>
    <tableColumn id="3878" xr3:uid="{87BBA74C-32C0-4D57-B27F-DB376570C52E}" name="Column3867"/>
    <tableColumn id="3879" xr3:uid="{6DB5554A-3AA1-437B-8E5A-6DC90F869195}" name="Column3868"/>
    <tableColumn id="3880" xr3:uid="{FF41862D-706A-4DC8-BF0A-19AFA69AE54B}" name="Column3869"/>
    <tableColumn id="3881" xr3:uid="{BB478E9A-E5AF-4E34-8E30-C7CDE7898C15}" name="Column3870"/>
    <tableColumn id="3882" xr3:uid="{FE9DE86E-D802-48B9-AB81-5F9DA57B43B0}" name="Column3871"/>
    <tableColumn id="3883" xr3:uid="{DFBC543D-E468-4FDB-8B28-EE1F6F2BA91D}" name="Column3872"/>
    <tableColumn id="3884" xr3:uid="{5F252416-3632-46FE-8B04-8497D3758DA3}" name="Column3873"/>
    <tableColumn id="3885" xr3:uid="{14B8E14C-0DDB-4233-9EB1-74917CD2CC82}" name="Column3874"/>
    <tableColumn id="3886" xr3:uid="{ABDAD9C9-E1DA-4E20-BAB9-53631E8E49D5}" name="Column3875"/>
    <tableColumn id="3887" xr3:uid="{EAA6ABF4-EC6B-4898-AADF-61F54015D424}" name="Column3876"/>
    <tableColumn id="3888" xr3:uid="{8449D1BA-E0CF-42A7-89C4-D60A46E9AD28}" name="Column3877"/>
    <tableColumn id="3889" xr3:uid="{DF847DC4-EEDB-4EFF-9B19-2604914935AA}" name="Column3878"/>
    <tableColumn id="3890" xr3:uid="{93E66A26-9222-4E43-8053-F9B6919C8A49}" name="Column3879"/>
    <tableColumn id="3891" xr3:uid="{CFCC0B12-0A0A-4427-A9B3-C53BB7E63CB6}" name="Column3880"/>
    <tableColumn id="3892" xr3:uid="{49DFE457-43CE-421E-8A36-588E8F97A26D}" name="Column3881"/>
    <tableColumn id="3893" xr3:uid="{F39EB7DF-B495-4976-84CA-EE3B3AD779C9}" name="Column3882"/>
    <tableColumn id="3894" xr3:uid="{413EC63A-5982-42FE-A2EF-076B4359C182}" name="Column3883"/>
    <tableColumn id="3895" xr3:uid="{55717588-44A0-47A8-B9D6-C21861F01140}" name="Column3884"/>
    <tableColumn id="3896" xr3:uid="{6D327D76-8C7F-46B4-A31E-A341BBD6F67E}" name="Column3885"/>
    <tableColumn id="3897" xr3:uid="{4589F127-647E-48A6-8F95-55B857D4819C}" name="Column3886"/>
    <tableColumn id="3898" xr3:uid="{3EFF95FC-199A-43C0-89CF-861003EEB2C0}" name="Column3887"/>
    <tableColumn id="3899" xr3:uid="{4992D1D8-C6F9-4BEB-87E6-CAD1FFBACB35}" name="Column3888"/>
    <tableColumn id="3900" xr3:uid="{6BC97BE4-9536-429E-B163-8E27D6A4FABB}" name="Column3889"/>
    <tableColumn id="3901" xr3:uid="{7B133759-31D9-4104-A05F-0ACEFBDBE190}" name="Column3890"/>
    <tableColumn id="3902" xr3:uid="{5BC67A47-3CAA-4935-B40A-B114CA225BD1}" name="Column3891"/>
    <tableColumn id="3903" xr3:uid="{6BE50BE8-E9AB-4476-9538-6C6D4513E13B}" name="Column3892"/>
    <tableColumn id="3904" xr3:uid="{EC4C43AC-A30C-4353-BCE4-6B4AEB653780}" name="Column3893"/>
    <tableColumn id="3905" xr3:uid="{1680A1C3-BD4D-434A-9189-6B88722231A9}" name="Column3894"/>
    <tableColumn id="3906" xr3:uid="{627D85AB-3AD4-4332-8DD1-E928026276F0}" name="Column3895"/>
    <tableColumn id="3907" xr3:uid="{29D6D017-4C1D-47DA-9E7A-B9AF94379EF9}" name="Column3896"/>
    <tableColumn id="3908" xr3:uid="{19CD137D-CB1E-4FFC-8451-40F4890386F3}" name="Column3897"/>
    <tableColumn id="3909" xr3:uid="{3F2C0B48-F29D-4541-ACB9-8089DC06B10E}" name="Column3898"/>
    <tableColumn id="3910" xr3:uid="{77391F53-32A9-49AB-AAC0-FFF663A422E3}" name="Column3899"/>
    <tableColumn id="3911" xr3:uid="{9390B47C-A12D-419E-AE73-6D1A8E80613F}" name="Column3900"/>
    <tableColumn id="3912" xr3:uid="{BB00A27C-9522-4488-9E8C-E93E9BEDA3A3}" name="Column3901"/>
    <tableColumn id="3913" xr3:uid="{4FA07B90-2A24-4CA8-AC73-180F3B2F240D}" name="Column3902"/>
    <tableColumn id="3914" xr3:uid="{7B16106B-B794-4183-A7CC-85981B66391C}" name="Column3903"/>
    <tableColumn id="3915" xr3:uid="{1727F5EE-9C42-412F-9BFC-50FF4961507C}" name="Column3904"/>
    <tableColumn id="3916" xr3:uid="{A4EA481C-68F3-4399-AFF4-38EEE5CB420E}" name="Column3905"/>
    <tableColumn id="3917" xr3:uid="{AEA533A0-3A51-4C3C-8787-E0835839DD75}" name="Column3906"/>
    <tableColumn id="3918" xr3:uid="{C8ECFC39-C1C3-449A-8580-7364A07B2E79}" name="Column3907"/>
    <tableColumn id="3919" xr3:uid="{A4557CE9-5C14-40D9-9563-ADC286DE3A00}" name="Column3908"/>
    <tableColumn id="3920" xr3:uid="{01B80056-1DC0-4E6A-89E3-FB61B04E2A9D}" name="Column3909"/>
    <tableColumn id="3921" xr3:uid="{516B35FC-CF18-40DE-B25E-032FD14F8316}" name="Column3910"/>
    <tableColumn id="3922" xr3:uid="{66810BB1-395E-492D-9D6E-FDDC7B3613F3}" name="Column3911"/>
    <tableColumn id="3923" xr3:uid="{AAB0E381-A729-401C-928E-9FC304EC432F}" name="Column3912"/>
    <tableColumn id="3924" xr3:uid="{E41FED4E-9E8C-45AD-96C3-9AAB27A3989B}" name="Column3913"/>
    <tableColumn id="3925" xr3:uid="{3C70C149-7E1E-4CA5-9562-0C7ED2707450}" name="Column3914"/>
    <tableColumn id="3926" xr3:uid="{F8CAA893-3AD5-4722-8D68-3B885B1C3024}" name="Column3915"/>
    <tableColumn id="3927" xr3:uid="{950AB7D9-56EF-4D36-B1E1-835AECFA6216}" name="Column3916"/>
    <tableColumn id="3928" xr3:uid="{10E381F2-335F-49C9-A35F-57CCE44976BB}" name="Column3917"/>
    <tableColumn id="3929" xr3:uid="{99AA6B38-123A-4180-B61A-ABE5A221AC71}" name="Column3918"/>
    <tableColumn id="3930" xr3:uid="{EC63A4BD-806B-4595-91C4-3A1F8EBFB1C1}" name="Column3919"/>
    <tableColumn id="3931" xr3:uid="{DB94DBFA-0141-470F-9AEC-C521CD770E6D}" name="Column3920"/>
    <tableColumn id="3932" xr3:uid="{75F32F2F-8C00-4D77-BCC7-2DF49CDA360E}" name="Column3921"/>
    <tableColumn id="3933" xr3:uid="{DE7B318E-A433-47E3-9B0F-E04351EB0FAF}" name="Column3922"/>
    <tableColumn id="3934" xr3:uid="{7D5CD3D7-B8A0-4312-AE42-061E158BD4FD}" name="Column3923"/>
    <tableColumn id="3935" xr3:uid="{1F13CF26-ED41-4BEB-B502-2CC5BF2FC63B}" name="Column3924"/>
    <tableColumn id="3936" xr3:uid="{C9BD17BE-1C03-4316-B4E8-761D63ECFC16}" name="Column3925"/>
    <tableColumn id="3937" xr3:uid="{C6E26674-08E8-40DF-8C3E-99F34DDAE472}" name="Column3926"/>
    <tableColumn id="3938" xr3:uid="{8463110B-7945-4E62-AD0E-97F70E951223}" name="Column3927"/>
    <tableColumn id="3939" xr3:uid="{6ACAE986-FB6E-49DC-9AB9-A7425F3DFB7E}" name="Column3928"/>
    <tableColumn id="3940" xr3:uid="{91AE4FE7-22C0-47A8-B341-C3503C3DAB47}" name="Column3929"/>
    <tableColumn id="3941" xr3:uid="{A3641C6F-E5DC-477C-B0F0-278F00FFE032}" name="Column3930"/>
    <tableColumn id="3942" xr3:uid="{1397CD9B-F1C3-416B-8BDF-5EBD3D26B789}" name="Column3931"/>
    <tableColumn id="3943" xr3:uid="{C2361DE5-5942-4A10-8A06-B538C0608DBD}" name="Column3932"/>
    <tableColumn id="3944" xr3:uid="{C4A6B073-EEF0-4311-95E0-3B223FB734CF}" name="Column3933"/>
    <tableColumn id="3945" xr3:uid="{E8EB5431-BF33-4A01-92B3-07CF812E6011}" name="Column3934"/>
    <tableColumn id="3946" xr3:uid="{077F9661-82B3-409D-9B5E-983A5B3D7AEF}" name="Column3935"/>
    <tableColumn id="3947" xr3:uid="{BEF1FE91-F590-4B40-8EB2-5EE6A37E7EBD}" name="Column3936"/>
    <tableColumn id="3948" xr3:uid="{3D895061-268A-4245-9244-328E47893C9C}" name="Column3937"/>
    <tableColumn id="3949" xr3:uid="{985EA2BB-9D07-45F9-9973-75B8313475BC}" name="Column3938"/>
    <tableColumn id="3950" xr3:uid="{87E11AE1-3A9D-49FB-AA5B-15226BB70BD6}" name="Column3939"/>
    <tableColumn id="3951" xr3:uid="{38830E58-E6F0-44D9-B5EC-F35A86AA187E}" name="Column3940"/>
    <tableColumn id="3952" xr3:uid="{74E36A69-07E8-4B77-BB81-856D1D7894BA}" name="Column3941"/>
    <tableColumn id="3953" xr3:uid="{F688BE37-2447-4FCC-807E-FE1D14B03426}" name="Column3942"/>
    <tableColumn id="3954" xr3:uid="{749A0BDC-08BD-49EC-B670-F7F7B4F7EA18}" name="Column3943"/>
    <tableColumn id="3955" xr3:uid="{E1ED3766-0994-4640-9B05-AE0605110D02}" name="Column3944"/>
    <tableColumn id="3956" xr3:uid="{04EAADA8-FB1B-42FD-ADEE-BA1EA033E58F}" name="Column3945"/>
    <tableColumn id="3957" xr3:uid="{30C72F42-69D3-4A82-8AED-36AF6FEF77FB}" name="Column3946"/>
    <tableColumn id="3958" xr3:uid="{B7248F22-F129-43D6-88C4-DD6A50858055}" name="Column3947"/>
    <tableColumn id="3959" xr3:uid="{8B411827-59FE-4D1D-AC20-94A57DB9ED59}" name="Column3948"/>
    <tableColumn id="3960" xr3:uid="{D7782909-7675-4019-B7E0-AA8E37170DC2}" name="Column3949"/>
    <tableColumn id="3961" xr3:uid="{EA8A8AA0-6E12-4FA1-8D20-451395D2B2E3}" name="Column3950"/>
    <tableColumn id="3962" xr3:uid="{C3FB9C06-812A-459E-9E32-4CC394F4E4B6}" name="Column3951"/>
    <tableColumn id="3963" xr3:uid="{9AAB1908-E169-49AB-8548-879056D880C2}" name="Column3952"/>
    <tableColumn id="3964" xr3:uid="{E075AF1A-7D78-4B14-90D3-D998A9F106AB}" name="Column3953"/>
    <tableColumn id="3965" xr3:uid="{A606E22A-722C-496E-A3A7-832CF6E8D480}" name="Column3954"/>
    <tableColumn id="3966" xr3:uid="{AB26FDF5-0D7E-45A2-804C-09AA169B7F09}" name="Column3955"/>
    <tableColumn id="3967" xr3:uid="{8F887FDB-BEDB-4CFA-92E2-60FE9A3988E3}" name="Column3956"/>
    <tableColumn id="3968" xr3:uid="{1A9B8B0C-595E-4D96-978B-2040948F5069}" name="Column3957"/>
    <tableColumn id="3969" xr3:uid="{CE1B9EB1-41EA-436D-87FA-60E899CF1480}" name="Column3958"/>
    <tableColumn id="3970" xr3:uid="{C6C14F5D-BFFC-47AF-95F3-E9E239A16577}" name="Column3959"/>
    <tableColumn id="3971" xr3:uid="{63735C9D-65CD-4EA8-B7B6-30C6EAABA0AD}" name="Column3960"/>
    <tableColumn id="3972" xr3:uid="{4DBD9607-34FF-4DEE-9023-ACDF8FEA8570}" name="Column3961"/>
    <tableColumn id="3973" xr3:uid="{F9ABEFDE-CF5E-47E8-A4F6-E2BA9416E356}" name="Column3962"/>
    <tableColumn id="3974" xr3:uid="{28DCB847-6079-4F84-91B1-2992F8F38D00}" name="Column3963"/>
    <tableColumn id="3975" xr3:uid="{F5CE6F16-747B-49C8-8671-21F2551802CD}" name="Column3964"/>
    <tableColumn id="3976" xr3:uid="{BADBF669-E12B-452B-A86E-AFB20928E1C8}" name="Column3965"/>
    <tableColumn id="3977" xr3:uid="{37125EBD-0E72-4B5E-A640-F43C0A3AE29E}" name="Column3966"/>
    <tableColumn id="3978" xr3:uid="{5D8B260B-7D43-4E0F-89F4-47A46255D9D2}" name="Column3967"/>
    <tableColumn id="3979" xr3:uid="{4E5FA629-5F67-44D1-86C6-81A7E36F36BF}" name="Column3968"/>
    <tableColumn id="3980" xr3:uid="{2678CB53-9391-48D1-A3FF-79A8CACAAEA6}" name="Column3969"/>
    <tableColumn id="3981" xr3:uid="{5A1C716C-54C1-4766-BA53-311076554A9C}" name="Column3970"/>
    <tableColumn id="3982" xr3:uid="{D4319D06-B27D-41CA-A8CF-26D18EFACD8E}" name="Column3971"/>
    <tableColumn id="3983" xr3:uid="{A2D0679E-F6D5-4514-8F3F-011961251D3C}" name="Column3972"/>
    <tableColumn id="3984" xr3:uid="{843F4266-2EF8-4A5C-97FD-81DC09844F79}" name="Column3973"/>
    <tableColumn id="3985" xr3:uid="{DD5CABCB-E9E9-431E-A1D6-BEE596ACE02C}" name="Column3974"/>
    <tableColumn id="3986" xr3:uid="{4344C510-6E24-4C5B-B755-BF3382F8279F}" name="Column3975"/>
    <tableColumn id="3987" xr3:uid="{C0E7FF78-3B4C-49FF-BD56-0EBAC28B0B5A}" name="Column3976"/>
    <tableColumn id="3988" xr3:uid="{0742B3D3-055A-437E-A588-5BAAAB7173B4}" name="Column3977"/>
    <tableColumn id="3989" xr3:uid="{1779B0F4-6B6E-4F5D-BF63-F2D7C37ACEDD}" name="Column3978"/>
    <tableColumn id="3990" xr3:uid="{89CBD59D-00FA-46E7-BC0C-C5088885BE00}" name="Column3979"/>
    <tableColumn id="3991" xr3:uid="{C056F1EE-B135-4D39-92C3-731CE93E1468}" name="Column3980"/>
    <tableColumn id="3992" xr3:uid="{D11602A6-7A35-4095-9689-620DC0058F35}" name="Column3981"/>
    <tableColumn id="3993" xr3:uid="{5236A7F3-DCD0-4F77-AA3E-EB9A9FB5E44E}" name="Column3982"/>
    <tableColumn id="3994" xr3:uid="{C9FB97A9-BA37-471B-9013-2BECA8DC7BAD}" name="Column3983"/>
    <tableColumn id="3995" xr3:uid="{C85377B1-CC1C-4FD5-9554-D6A2527CE49B}" name="Column3984"/>
    <tableColumn id="3996" xr3:uid="{82140952-F18D-451D-AF5B-0E44603C57EC}" name="Column3985"/>
    <tableColumn id="3997" xr3:uid="{A6F25C23-1E5D-40FE-8552-50F620CE82C6}" name="Column3986"/>
    <tableColumn id="3998" xr3:uid="{C1E78920-1D83-4FDF-B10D-40C36E8B55ED}" name="Column3987"/>
    <tableColumn id="3999" xr3:uid="{032B2461-86C1-4CC0-87F3-DB2C8501FB7D}" name="Column3988"/>
    <tableColumn id="4000" xr3:uid="{788C5BC5-EFC5-4CC0-B82A-35AA1CDFCB93}" name="Column3989"/>
    <tableColumn id="4001" xr3:uid="{B1E6C92B-63E0-497D-845B-D81673879A5B}" name="Column3990"/>
    <tableColumn id="4002" xr3:uid="{92CE7C09-23C0-4F24-9317-B2EAB9854F75}" name="Column3991"/>
    <tableColumn id="4003" xr3:uid="{99BC3ABE-35C5-4F6A-8C9E-CD57A51CF5B3}" name="Column3992"/>
    <tableColumn id="4004" xr3:uid="{78E657CB-F4FD-438C-9687-BBE13B390A10}" name="Column3993"/>
    <tableColumn id="4005" xr3:uid="{EDB696AF-3929-4F4A-9674-8CE1B6116D31}" name="Column3994"/>
    <tableColumn id="4006" xr3:uid="{E5B37F97-6A67-4351-8CC3-8776B471BB00}" name="Column3995"/>
    <tableColumn id="4007" xr3:uid="{8D0DB93A-D8DD-403A-9F08-0DACF85D12C4}" name="Column3996"/>
    <tableColumn id="4008" xr3:uid="{C85A1F77-DA54-4CF6-9BAB-86446F0FAF17}" name="Column3997"/>
    <tableColumn id="4009" xr3:uid="{77F4F366-17AD-4115-A6D6-6E6FF920BA75}" name="Column3998"/>
    <tableColumn id="4010" xr3:uid="{BEC67562-7BB1-4CD5-84C5-855B62B20D68}" name="Column3999"/>
    <tableColumn id="4011" xr3:uid="{F51F13E3-7750-4889-B56C-691D43299B37}" name="Column4000"/>
    <tableColumn id="4012" xr3:uid="{724F2438-759B-4BB5-9057-3B5EFAAA4AE0}" name="Column4001"/>
    <tableColumn id="4013" xr3:uid="{ACDBD12F-5389-4A05-ADEB-1D66D1C50715}" name="Column4002"/>
    <tableColumn id="4014" xr3:uid="{403BD473-E554-4E3C-A8D3-7C3E2408A1E6}" name="Column4003"/>
    <tableColumn id="4015" xr3:uid="{2B8A329C-7778-4499-A51D-B636F9689205}" name="Column4004"/>
    <tableColumn id="4016" xr3:uid="{B348FF7A-48AA-4175-B86C-96EB81151EA1}" name="Column4005"/>
    <tableColumn id="4017" xr3:uid="{B20BE1E4-9C99-4F1D-AD03-213805FC371F}" name="Column4006"/>
    <tableColumn id="4018" xr3:uid="{92411EA1-915C-4765-822E-EA9D0C107092}" name="Column4007"/>
    <tableColumn id="4019" xr3:uid="{BBF84C6B-8784-4909-87BC-75D2FF0F9C22}" name="Column4008"/>
    <tableColumn id="4020" xr3:uid="{0A533C37-23F0-4CC2-92B6-2E95CE87EFA1}" name="Column4009"/>
    <tableColumn id="4021" xr3:uid="{5802F5E2-8799-4EFE-8858-97DDEECF0BEC}" name="Column4010"/>
    <tableColumn id="4022" xr3:uid="{D39553BE-F784-4308-8DEF-007A2B47E885}" name="Column4011"/>
    <tableColumn id="4023" xr3:uid="{3A61D2E4-0E8F-4234-9054-CAE737B4152E}" name="Column4012"/>
    <tableColumn id="4024" xr3:uid="{38626FF5-8279-4D04-97CE-E429F506BB13}" name="Column4013"/>
    <tableColumn id="4025" xr3:uid="{D335F0C5-D24F-4E72-9A0D-FC24D949A72C}" name="Column4014"/>
    <tableColumn id="4026" xr3:uid="{87BBE1A5-FAEF-4DE3-87FA-33F3F1E4748B}" name="Column4015"/>
    <tableColumn id="4027" xr3:uid="{FB106C3B-D042-4452-B58A-0B3EAB009B70}" name="Column4016"/>
    <tableColumn id="4028" xr3:uid="{7CBD30D9-AC73-40D9-AB67-5CC56C245CB0}" name="Column4017"/>
    <tableColumn id="4029" xr3:uid="{DDE7E1FC-DC39-49E1-9CC8-8071BAD8F53D}" name="Column4018"/>
    <tableColumn id="4030" xr3:uid="{8ACF2C43-40FC-4E2F-9FEC-DDD58156069B}" name="Column4019"/>
    <tableColumn id="4031" xr3:uid="{1422D895-A148-466C-BFEF-4F4DB38A17BF}" name="Column4020"/>
    <tableColumn id="4032" xr3:uid="{8AB68B98-C834-4BFB-9592-3E5F7594710F}" name="Column4021"/>
    <tableColumn id="4033" xr3:uid="{6EB4BA61-451E-4E0D-A5B3-8C7359878C10}" name="Column4022"/>
    <tableColumn id="4034" xr3:uid="{CB17CC5A-A4E6-40DF-93C4-3AEFC6DF7A56}" name="Column4023"/>
    <tableColumn id="4035" xr3:uid="{426B2D46-8F2A-4DE3-9246-3CE80371E525}" name="Column4024"/>
    <tableColumn id="4036" xr3:uid="{C0AB32CC-2B09-451E-8404-1635DB781B66}" name="Column4025"/>
    <tableColumn id="4037" xr3:uid="{D85F995F-B4C4-473A-970E-C5C18C5DA254}" name="Column4026"/>
    <tableColumn id="4038" xr3:uid="{2DB49841-04EB-4250-AD8C-0ECF5CE1FE38}" name="Column4027"/>
    <tableColumn id="4039" xr3:uid="{604E78FB-F5CF-4E57-AD2E-37D034F856BD}" name="Column4028"/>
    <tableColumn id="4040" xr3:uid="{F4DA31AD-4E55-4C16-8C1B-FF93905A10F0}" name="Column4029"/>
    <tableColumn id="4041" xr3:uid="{1505B646-3671-4503-960F-B12B5F6CFC5E}" name="Column4030"/>
    <tableColumn id="4042" xr3:uid="{951B838B-751F-43F3-B845-8F5206A315D3}" name="Column4031"/>
    <tableColumn id="4043" xr3:uid="{E0D220D3-D682-49C5-9528-708E3F7AA3B5}" name="Column4032"/>
    <tableColumn id="4044" xr3:uid="{B0BEFFCC-C545-475B-B631-87AF2875E0D2}" name="Column4033"/>
    <tableColumn id="4045" xr3:uid="{0BDC570A-4D5C-43C9-BF4C-1C1C39CF11FD}" name="Column4034"/>
    <tableColumn id="4046" xr3:uid="{80C241C0-8985-45BF-B471-30F6DB525233}" name="Column4035"/>
    <tableColumn id="4047" xr3:uid="{06B83321-6C06-4721-A567-60CB4B77FA1D}" name="Column4036"/>
    <tableColumn id="4048" xr3:uid="{A46310C4-7A93-4147-8BE7-04062EC0A2BC}" name="Column4037"/>
    <tableColumn id="4049" xr3:uid="{3C107784-8AFC-4E15-90AD-B772D9C9AA03}" name="Column4038"/>
    <tableColumn id="4050" xr3:uid="{82DD4EFE-45F5-4066-9CF6-DD9780447682}" name="Column4039"/>
    <tableColumn id="4051" xr3:uid="{CD380A46-1D07-44F2-BCFB-C9915AFA2D5D}" name="Column4040"/>
    <tableColumn id="4052" xr3:uid="{105AF0FF-E6DD-49DF-8413-77201A2CB64B}" name="Column4041"/>
    <tableColumn id="4053" xr3:uid="{AA750B8F-1178-4E4F-BF8D-F954D8A474FB}" name="Column4042"/>
    <tableColumn id="4054" xr3:uid="{BFDF4D9A-C1EB-4568-8342-895A3CD6A483}" name="Column4043"/>
    <tableColumn id="4055" xr3:uid="{63E8B0B9-2EEB-4B37-94B6-84F45D34423B}" name="Column4044"/>
    <tableColumn id="4056" xr3:uid="{DA312337-0742-4C8A-8077-49D483DC3314}" name="Column4045"/>
    <tableColumn id="4057" xr3:uid="{2A333BBD-341E-4EBB-8DDC-5DB336F3CA79}" name="Column4046"/>
    <tableColumn id="4058" xr3:uid="{35D07F30-7FFD-4A8E-9CA8-1153DC42F61E}" name="Column4047"/>
    <tableColumn id="4059" xr3:uid="{6ABF2F3E-CD77-49DB-B308-5F144148D7F7}" name="Column4048"/>
    <tableColumn id="4060" xr3:uid="{1ED2676F-2570-4309-AE8A-817ABF7AE715}" name="Column4049"/>
    <tableColumn id="4061" xr3:uid="{5C5672FE-7CB0-475D-BCD5-98FE81A50AC3}" name="Column4050"/>
    <tableColumn id="4062" xr3:uid="{B72E253D-12B3-44CC-A31C-756865098D75}" name="Column4051"/>
    <tableColumn id="4063" xr3:uid="{2FE354F2-97FC-4E31-B665-2532D93F4CDC}" name="Column4052"/>
    <tableColumn id="4064" xr3:uid="{B937A6F2-1AE4-439A-A128-92D0FF445AEA}" name="Column4053"/>
    <tableColumn id="4065" xr3:uid="{0F8D740E-BCFB-47DE-9FE3-9D787D937E1A}" name="Column4054"/>
    <tableColumn id="4066" xr3:uid="{F9E9822D-7457-4B8F-A2C5-F121FF579D1A}" name="Column4055"/>
    <tableColumn id="4067" xr3:uid="{9FE4F09F-AF99-4AEE-92D1-08C129639F7F}" name="Column4056"/>
    <tableColumn id="4068" xr3:uid="{29C51AA6-F2AD-42C8-94C0-EE239A205C6A}" name="Column4057"/>
    <tableColumn id="4069" xr3:uid="{C02B4AA9-93B3-46FA-B634-C608D6B90BD0}" name="Column4058"/>
    <tableColumn id="4070" xr3:uid="{848B5866-1157-4BC1-9C0F-C37C0A58DC9C}" name="Column4059"/>
    <tableColumn id="4071" xr3:uid="{2799C4D9-6695-41C7-8F8A-458EF3916BA0}" name="Column4060"/>
    <tableColumn id="4072" xr3:uid="{9A19C0A0-E1FC-4F31-AE24-D7A46AE6D6CA}" name="Column4061"/>
    <tableColumn id="4073" xr3:uid="{7D958A50-464C-484C-9F75-604D98011A0B}" name="Column4062"/>
    <tableColumn id="4074" xr3:uid="{6F3E2A16-4A26-4B31-A990-76B395A32CF2}" name="Column4063"/>
    <tableColumn id="4075" xr3:uid="{767F731E-18C5-4264-AFD0-9C1120838DAF}" name="Column4064"/>
    <tableColumn id="4076" xr3:uid="{F2A32B3F-590F-496A-8B3A-FB96177B23E2}" name="Column4065"/>
    <tableColumn id="4077" xr3:uid="{15EB47D7-4C7A-49D3-8450-A56542536B48}" name="Column4066"/>
    <tableColumn id="4078" xr3:uid="{2C0BE813-D932-499D-8B9E-7CD20A6DBD35}" name="Column4067"/>
    <tableColumn id="4079" xr3:uid="{7047B135-EC0D-464F-92BC-8FBDF30D12E7}" name="Column4068"/>
    <tableColumn id="4080" xr3:uid="{2CDAD3C7-08D6-4E38-ABA9-738225DFFA66}" name="Column4069"/>
    <tableColumn id="4081" xr3:uid="{1712D30B-EDF7-49E1-8CFA-04F8A2B38508}" name="Column4070"/>
    <tableColumn id="4082" xr3:uid="{B861D011-D8DE-4B86-89E8-5E153E47215D}" name="Column4071"/>
    <tableColumn id="4083" xr3:uid="{F699761C-3F0B-43AB-88E5-5C73C59395DF}" name="Column4072"/>
    <tableColumn id="4084" xr3:uid="{66F09574-47A4-4CD4-984C-2D69B9FCE5E3}" name="Column4073"/>
    <tableColumn id="4085" xr3:uid="{7011731D-6FAB-405B-A8FF-96B54D182B2B}" name="Column4074"/>
    <tableColumn id="4086" xr3:uid="{15DC9146-92D0-4877-BDCE-5C56B644B68D}" name="Column4075"/>
    <tableColumn id="4087" xr3:uid="{CC36DDFE-CCD9-4158-ACEA-BEAC50FFCA23}" name="Column4076"/>
    <tableColumn id="4088" xr3:uid="{7404D9AB-23E7-4D37-B3E8-0C3A57988A3E}" name="Column4077"/>
    <tableColumn id="4089" xr3:uid="{F282BA8E-14EC-4EAF-8B33-107B989B42E5}" name="Column4078"/>
    <tableColumn id="4090" xr3:uid="{8C722159-017F-4BAD-853A-4C2B9B15F776}" name="Column4079"/>
    <tableColumn id="4091" xr3:uid="{AA9542D2-4ECE-4AA6-A0FA-13D393D10CA6}" name="Column4080"/>
    <tableColumn id="4092" xr3:uid="{61430182-71DC-4353-8FC9-523DCAC443FB}" name="Column4081"/>
    <tableColumn id="4093" xr3:uid="{0F171DE8-A7AA-413D-920E-3A94AFC9114A}" name="Column4082"/>
    <tableColumn id="4094" xr3:uid="{5DA2CFAA-9B78-4663-816C-B1FEF36AB0BA}" name="Column4083"/>
    <tableColumn id="4095" xr3:uid="{0A973160-8BC3-4926-8548-44EAD1AFDB59}" name="Column4084"/>
    <tableColumn id="4096" xr3:uid="{02B0EEB0-42CD-40A3-A5AA-15F20CCE2021}" name="Column4085"/>
    <tableColumn id="4097" xr3:uid="{AC8D9332-8FF7-4D6F-B50D-799DE38F1F04}" name="Column4086"/>
    <tableColumn id="4098" xr3:uid="{754E040E-44DA-4098-A1F6-9E8BB51E83B6}" name="Column4087"/>
    <tableColumn id="4099" xr3:uid="{D12CBDD5-FD1C-432D-9003-C701086DC5EA}" name="Column4088"/>
    <tableColumn id="4100" xr3:uid="{228F93EB-3094-45FD-8A73-65936E0D0E8C}" name="Column4089"/>
    <tableColumn id="4101" xr3:uid="{6A0F3A91-4C37-4D93-A7FB-2F12AF9AA335}" name="Column4090"/>
    <tableColumn id="4102" xr3:uid="{CE96BE44-18BF-422F-AF21-3EFA79D7604B}" name="Column4091"/>
    <tableColumn id="4103" xr3:uid="{A65DA566-5D48-454C-B0EF-9BCFDF0BA84E}" name="Column4092"/>
    <tableColumn id="4104" xr3:uid="{6B14F511-D962-434C-9B9B-F5C281296B62}" name="Column4093"/>
    <tableColumn id="4105" xr3:uid="{77D070FC-B4C5-4B6A-85A2-332CC578364C}" name="Column4094"/>
    <tableColumn id="4106" xr3:uid="{09FC6BA3-4B81-4908-98DA-A8EFE577D827}" name="Column4095"/>
    <tableColumn id="4107" xr3:uid="{4D9227E4-05D6-4DEF-8369-0FCACD11B790}" name="Column4096"/>
    <tableColumn id="4108" xr3:uid="{105B383E-CDF5-4AA8-AC03-588AED0BA8AE}" name="Column4097"/>
    <tableColumn id="4109" xr3:uid="{1384244B-E996-4D9F-996B-2A53A15A6157}" name="Column4098"/>
    <tableColumn id="4110" xr3:uid="{F9304216-2578-47CB-8225-747B2F846109}" name="Column4099"/>
    <tableColumn id="4111" xr3:uid="{20DBBEB2-4B4E-4C02-BB46-54B73508B53B}" name="Column4100"/>
    <tableColumn id="4112" xr3:uid="{90F67B5F-A5C5-477E-A596-010725D370D9}" name="Column4101"/>
    <tableColumn id="4113" xr3:uid="{292C20BE-B5C9-4F48-9891-0DAF1657D004}" name="Column4102"/>
    <tableColumn id="4114" xr3:uid="{C94AB30F-7B65-4010-A6C0-8A531E5DB7A1}" name="Column4103"/>
    <tableColumn id="4115" xr3:uid="{B90032B6-2C42-4654-AD78-90A153238ADD}" name="Column4104"/>
    <tableColumn id="4116" xr3:uid="{BCF02A13-8586-4B5B-BA82-D5F6EA0B7E71}" name="Column4105"/>
    <tableColumn id="4117" xr3:uid="{14BD3273-503E-44A3-B62D-DE657B35349B}" name="Column4106"/>
    <tableColumn id="4118" xr3:uid="{099A0975-A1DC-40C2-BBDC-2D7BBC0BA95B}" name="Column4107"/>
    <tableColumn id="4119" xr3:uid="{B17A2A28-41EB-46D5-9BEC-3803BF5E4F6A}" name="Column4108"/>
    <tableColumn id="4120" xr3:uid="{3218B781-5417-4243-AB51-27B1204B980E}" name="Column4109"/>
    <tableColumn id="4121" xr3:uid="{E1AFFEBC-FFF4-4FD7-A606-7C060A9987D2}" name="Column4110"/>
    <tableColumn id="4122" xr3:uid="{3F06BC06-04F3-4C5A-BDA9-E51C402FFC3F}" name="Column4111"/>
    <tableColumn id="4123" xr3:uid="{CA576FD0-714A-4768-8F8A-DA22B0D16640}" name="Column4112"/>
    <tableColumn id="4124" xr3:uid="{CBB7B5C6-2999-4859-906E-64BA22274BF6}" name="Column4113"/>
    <tableColumn id="4125" xr3:uid="{3898E110-40EF-4E2D-B848-D350019DE551}" name="Column4114"/>
    <tableColumn id="4126" xr3:uid="{CC4F7F34-AA58-4886-89A7-5291B4143351}" name="Column4115"/>
    <tableColumn id="4127" xr3:uid="{DA99A235-1A26-4A4A-8E9B-8DA451727C53}" name="Column4116"/>
    <tableColumn id="4128" xr3:uid="{54B5B107-C9DF-4154-95C8-7DEDAF8FAFC5}" name="Column4117"/>
    <tableColumn id="4129" xr3:uid="{1D4352A9-1FAB-4516-9868-A70F595FD0E0}" name="Column4118"/>
    <tableColumn id="4130" xr3:uid="{8459FDF5-FE2A-4736-9456-96ABDBC9BAD6}" name="Column4119"/>
    <tableColumn id="4131" xr3:uid="{282E394B-9489-438D-AE4F-8FD8B6D481AB}" name="Column4120"/>
    <tableColumn id="4132" xr3:uid="{0E7DF3D8-28AB-40E0-8445-C8F379AE6F8E}" name="Column4121"/>
    <tableColumn id="4133" xr3:uid="{78FC4405-FC74-45E7-BB73-76F5850081EC}" name="Column4122"/>
    <tableColumn id="4134" xr3:uid="{B3B7E2E4-BE36-4823-9C5A-EE2FF054E249}" name="Column4123"/>
    <tableColumn id="4135" xr3:uid="{DE32F29C-1058-4C1B-8597-A523FE6BE89A}" name="Column4124"/>
    <tableColumn id="4136" xr3:uid="{43EB0BEE-3107-451C-BC8D-7B30F4FCD510}" name="Column4125"/>
    <tableColumn id="4137" xr3:uid="{8AD730B9-37DB-4FFD-9E1D-E492009089E4}" name="Column4126"/>
    <tableColumn id="4138" xr3:uid="{7453BDDE-05D3-49F3-9725-E74254FEF541}" name="Column4127"/>
    <tableColumn id="4139" xr3:uid="{497639FC-6963-491F-B697-E5BAFFBDA2F1}" name="Column4128"/>
    <tableColumn id="4140" xr3:uid="{7C9ED631-9BCB-4379-8061-E9C9DC30D96A}" name="Column4129"/>
    <tableColumn id="4141" xr3:uid="{047FA117-54EF-4301-AD7D-97EE78ED43B3}" name="Column4130"/>
    <tableColumn id="4142" xr3:uid="{A5CEF82E-8953-4ADC-BD88-C0A50D119861}" name="Column4131"/>
    <tableColumn id="4143" xr3:uid="{BF1A1CE8-7616-401F-86F1-8DBA6BEA0748}" name="Column4132"/>
    <tableColumn id="4144" xr3:uid="{7927D243-7436-4EEE-98C5-51B4FA51C48C}" name="Column4133"/>
    <tableColumn id="4145" xr3:uid="{27E4BA6A-2BA9-4EB0-A57E-00E57C2998AA}" name="Column4134"/>
    <tableColumn id="4146" xr3:uid="{E9AC1FF3-B1F4-41E7-8A21-AD9E2AC9C6CA}" name="Column4135"/>
    <tableColumn id="4147" xr3:uid="{46E49022-FC36-4C1A-934D-36C76ABC00CE}" name="Column4136"/>
    <tableColumn id="4148" xr3:uid="{EA2D1508-C3EE-4F8E-8D53-DE0F2FCA1C94}" name="Column4137"/>
    <tableColumn id="4149" xr3:uid="{FDCF22F8-73A8-4D9D-A957-DB514D568D02}" name="Column4138"/>
    <tableColumn id="4150" xr3:uid="{9BF34251-301C-42DC-807C-07BBC901A2E7}" name="Column4139"/>
    <tableColumn id="4151" xr3:uid="{BD56F000-C030-4917-ABD5-CD6AB45FCC8B}" name="Column4140"/>
    <tableColumn id="4152" xr3:uid="{FB0C8606-009D-4F14-AC48-3DC829977AA9}" name="Column4141"/>
    <tableColumn id="4153" xr3:uid="{3BF5B7DE-CCC5-4C22-A40F-2624D17BB95F}" name="Column4142"/>
    <tableColumn id="4154" xr3:uid="{D57A5D51-BCEF-4929-A0DD-510CB890DEAF}" name="Column4143"/>
    <tableColumn id="4155" xr3:uid="{074DE236-678D-4C3C-ABC1-F0E393CE51C6}" name="Column4144"/>
    <tableColumn id="4156" xr3:uid="{C6404DC3-CA32-42C8-9434-3AA1A7F45A7D}" name="Column4145"/>
    <tableColumn id="4157" xr3:uid="{6DEA4559-D94A-473A-AA7D-66C9864C4224}" name="Column4146"/>
    <tableColumn id="4158" xr3:uid="{9E96DC50-C3BB-4E63-A07D-4BF6D881E82F}" name="Column4147"/>
    <tableColumn id="4159" xr3:uid="{C7BA8BFA-683C-4079-9783-503344FE3BFC}" name="Column4148"/>
    <tableColumn id="4160" xr3:uid="{E37FD9FE-FF2E-491B-9D5A-F7AE92D40C37}" name="Column4149"/>
    <tableColumn id="4161" xr3:uid="{5B2D9621-463C-4F87-96B9-6FE458C45FEC}" name="Column4150"/>
    <tableColumn id="4162" xr3:uid="{1A9C1F55-873C-42F7-BAFF-E3710D7ABA1F}" name="Column4151"/>
    <tableColumn id="4163" xr3:uid="{E7CFB52D-4289-474F-9024-41A2BF81E18D}" name="Column4152"/>
    <tableColumn id="4164" xr3:uid="{A4218DB5-286C-44E6-8AE9-FA363C797ED3}" name="Column4153"/>
    <tableColumn id="4165" xr3:uid="{FCC98E69-E23C-4D84-9F24-BDAC016E8DBE}" name="Column4154"/>
    <tableColumn id="4166" xr3:uid="{7800E1A2-5406-4D2F-B861-0737C92BF0C2}" name="Column4155"/>
    <tableColumn id="4167" xr3:uid="{77C91D3C-4C7F-43FC-8523-38D0A2F1C859}" name="Column4156"/>
    <tableColumn id="4168" xr3:uid="{042ED175-E566-4C14-8CC3-D8A665D21EFC}" name="Column4157"/>
    <tableColumn id="4169" xr3:uid="{4702CF3B-04DA-4E50-852D-62BD260519FD}" name="Column4158"/>
    <tableColumn id="4170" xr3:uid="{815CB174-F0DF-49D8-80A0-DC1958ECB18A}" name="Column4159"/>
    <tableColumn id="4171" xr3:uid="{B59F7C0F-D99D-47B9-BA6A-AE74932C22AF}" name="Column4160"/>
    <tableColumn id="4172" xr3:uid="{9A8D6C2B-2C80-42F9-AFEF-0F5506DF6BED}" name="Column4161"/>
    <tableColumn id="4173" xr3:uid="{7ECA833B-8216-4CA0-9477-8883E99360D1}" name="Column4162"/>
    <tableColumn id="4174" xr3:uid="{79C29CF1-2646-4D46-9D58-F70DD69CFF80}" name="Column4163"/>
    <tableColumn id="4175" xr3:uid="{F82455A8-934F-45F4-894D-D003128453E2}" name="Column4164"/>
    <tableColumn id="4176" xr3:uid="{8E7739D2-B830-4680-BA8C-FDB9C0FB1335}" name="Column4165"/>
    <tableColumn id="4177" xr3:uid="{B314CA72-7AE5-4BB0-BF4C-32F08FB9335E}" name="Column4166"/>
    <tableColumn id="4178" xr3:uid="{B1452967-D34D-4315-AD5C-B7036614E397}" name="Column4167"/>
    <tableColumn id="4179" xr3:uid="{9D8670AF-0232-466D-839D-52F152FC9537}" name="Column4168"/>
    <tableColumn id="4180" xr3:uid="{55E1DEA8-1092-4097-8E1E-C2D4D3FB3187}" name="Column4169"/>
    <tableColumn id="4181" xr3:uid="{8A98F49D-0303-44DF-895E-1EBC6F82AD5E}" name="Column4170"/>
    <tableColumn id="4182" xr3:uid="{8FE0D3F4-9660-4EA4-8C9F-3D27BECF5A4C}" name="Column4171"/>
    <tableColumn id="4183" xr3:uid="{9FE2E762-17D9-46DA-A47B-8073539377C8}" name="Column4172"/>
    <tableColumn id="4184" xr3:uid="{49A412F3-B262-4758-9DDC-5C1BDC80A448}" name="Column4173"/>
    <tableColumn id="4185" xr3:uid="{521D067C-AAB7-4280-8C0B-36F9F080E651}" name="Column4174"/>
    <tableColumn id="4186" xr3:uid="{E3AD664F-4D1A-4210-B2CD-8A89901AC1D8}" name="Column4175"/>
    <tableColumn id="4187" xr3:uid="{6D93C6C7-7A3C-4053-8BD1-A77D776E6CB6}" name="Column4176"/>
    <tableColumn id="4188" xr3:uid="{41B9F75A-1E43-4E08-8ED8-9E1F392B5553}" name="Column4177"/>
    <tableColumn id="4189" xr3:uid="{D00F0591-A8D3-4EFF-93ED-B92A8C2752B9}" name="Column4178"/>
    <tableColumn id="4190" xr3:uid="{0680FA62-F7C1-4E0F-8A43-230D0F1E3BCB}" name="Column4179"/>
    <tableColumn id="4191" xr3:uid="{BA8E5A7F-691F-461B-B79F-7619FF66EEDC}" name="Column4180"/>
    <tableColumn id="4192" xr3:uid="{463116DF-76C8-4F8A-A7E1-DBAE4E042770}" name="Column4181"/>
    <tableColumn id="4193" xr3:uid="{FAE13325-CB42-4BAC-AD7F-9FBB2D167247}" name="Column4182"/>
    <tableColumn id="4194" xr3:uid="{5D3C238E-206B-4463-997C-2110838755BB}" name="Column4183"/>
    <tableColumn id="4195" xr3:uid="{49A556CD-3404-4832-9B81-7C53956276B2}" name="Column4184"/>
    <tableColumn id="4196" xr3:uid="{958BC04D-5E7D-4700-8DD8-EAE02B633743}" name="Column4185"/>
    <tableColumn id="4197" xr3:uid="{2338CF5F-1C54-4ADB-B352-E67FC3C1F9F1}" name="Column4186"/>
    <tableColumn id="4198" xr3:uid="{03C4752B-6B6C-499E-98D8-C045AB625D5C}" name="Column4187"/>
    <tableColumn id="4199" xr3:uid="{2063EC0D-AD47-43BD-AB47-FAEC57955A36}" name="Column4188"/>
    <tableColumn id="4200" xr3:uid="{DDE5C3FE-A3FE-4E07-A09C-6641D70C1D39}" name="Column4189"/>
    <tableColumn id="4201" xr3:uid="{A1BF7B3E-3010-4D9F-B272-3AEB770A62FA}" name="Column4190"/>
    <tableColumn id="4202" xr3:uid="{022722C9-3786-488E-BF58-483AC83A6124}" name="Column4191"/>
    <tableColumn id="4203" xr3:uid="{C3367D4E-1FFF-431C-A96B-CD810D4395C9}" name="Column4192"/>
    <tableColumn id="4204" xr3:uid="{D74D2C86-0C5E-475B-8978-D2711A2DCE99}" name="Column4193"/>
    <tableColumn id="4205" xr3:uid="{A3ECBC14-55BD-4620-98FF-49B03BE1B530}" name="Column4194"/>
    <tableColumn id="4206" xr3:uid="{918652BF-C89A-40DD-A413-9EBD85B84EDF}" name="Column4195"/>
    <tableColumn id="4207" xr3:uid="{0376DC0B-5DC0-4C1B-986F-2A6F27EFF971}" name="Column4196"/>
    <tableColumn id="4208" xr3:uid="{3A735692-1585-4479-9225-D664F21F1DDB}" name="Column4197"/>
    <tableColumn id="4209" xr3:uid="{1527CC1C-6673-4F9C-8AFE-7871901F11DD}" name="Column4198"/>
    <tableColumn id="4210" xr3:uid="{37F70458-3448-4358-A02F-9E8D3B771FF2}" name="Column4199"/>
    <tableColumn id="4211" xr3:uid="{40643E7F-E572-4904-9A19-8BF3A78B90F9}" name="Column4200"/>
    <tableColumn id="4212" xr3:uid="{CEAB1272-9210-4961-9FAB-0ADFBE0A3D9D}" name="Column4201"/>
    <tableColumn id="4213" xr3:uid="{53B2DBBF-3A5F-4309-A73A-D37EABFF30B0}" name="Column4202"/>
    <tableColumn id="4214" xr3:uid="{CEEDD43C-386A-4E09-9DFA-D919F988EB86}" name="Column4203"/>
    <tableColumn id="4215" xr3:uid="{E55BD712-CC76-4D79-9069-C3AAEE31E34B}" name="Column4204"/>
    <tableColumn id="4216" xr3:uid="{17B586C7-E392-407F-AF3C-E63C03719EAE}" name="Column4205"/>
    <tableColumn id="4217" xr3:uid="{F5763709-BBB4-4958-AA25-F5C2800637D5}" name="Column4206"/>
    <tableColumn id="4218" xr3:uid="{6E4A9508-57D6-481E-824E-4C241D012F0F}" name="Column4207"/>
    <tableColumn id="4219" xr3:uid="{01848A03-6823-4ADD-834F-1A3E43CD6888}" name="Column4208"/>
    <tableColumn id="4220" xr3:uid="{F834BA7D-39E2-46DB-A6CA-1DB5E58547EE}" name="Column4209"/>
    <tableColumn id="4221" xr3:uid="{99BA5C6C-56C1-4510-B6D8-4C4B8CFBBCB2}" name="Column4210"/>
    <tableColumn id="4222" xr3:uid="{45E60E52-0813-4B61-8A9D-62807770047A}" name="Column4211"/>
    <tableColumn id="4223" xr3:uid="{9B232EF0-EBED-4D38-8096-187EC7229E2D}" name="Column4212"/>
    <tableColumn id="4224" xr3:uid="{6E19A79D-2810-4DFA-AA50-7F7456CC3BA3}" name="Column4213"/>
    <tableColumn id="4225" xr3:uid="{27309075-AA35-41C4-95FB-64610848DAFB}" name="Column4214"/>
    <tableColumn id="4226" xr3:uid="{0A04E6EA-987D-43DA-B25D-2136FCCA268E}" name="Column4215"/>
    <tableColumn id="4227" xr3:uid="{7605D920-EAC2-4792-B49A-4831B1BBB2A1}" name="Column4216"/>
    <tableColumn id="4228" xr3:uid="{1E261F07-FC6D-4959-822D-B7AFDCFADB87}" name="Column4217"/>
    <tableColumn id="4229" xr3:uid="{793F9416-9274-4AA9-ADD0-57228E85780C}" name="Column4218"/>
    <tableColumn id="4230" xr3:uid="{04378B75-6FB9-49D7-A51F-A7F076E3AD53}" name="Column4219"/>
    <tableColumn id="4231" xr3:uid="{BD2B0D38-2F61-40E7-BDC5-DB540707ED72}" name="Column4220"/>
    <tableColumn id="4232" xr3:uid="{6A67C9A1-0B88-4B36-9A75-76BFC011D5D9}" name="Column4221"/>
    <tableColumn id="4233" xr3:uid="{B40E7BDA-F896-404D-BA30-4B355C222453}" name="Column4222"/>
    <tableColumn id="4234" xr3:uid="{F8D682E4-B93C-449D-8E61-D5AA2A1A8E03}" name="Column4223"/>
    <tableColumn id="4235" xr3:uid="{98584081-400D-43B5-99B6-3899A7C6FD49}" name="Column4224"/>
    <tableColumn id="4236" xr3:uid="{84746C24-5930-4DAA-AC6D-7E9EC7F81EC2}" name="Column4225"/>
    <tableColumn id="4237" xr3:uid="{FEB664BD-6420-440B-BA24-463038A0DE4D}" name="Column4226"/>
    <tableColumn id="4238" xr3:uid="{0B848755-306F-413A-BB56-33E174AE0A97}" name="Column4227"/>
    <tableColumn id="4239" xr3:uid="{80C16338-297F-4387-98A6-0EFB1E43F527}" name="Column4228"/>
    <tableColumn id="4240" xr3:uid="{6933C02D-A274-410E-A5D7-0C603A415EAF}" name="Column4229"/>
    <tableColumn id="4241" xr3:uid="{C6DA3A53-6571-43A9-81C2-021543CD4D16}" name="Column4230"/>
    <tableColumn id="4242" xr3:uid="{43D9F08B-3F8B-4CF3-980D-EC71052A5455}" name="Column4231"/>
    <tableColumn id="4243" xr3:uid="{DD2A9C5F-128B-42E2-929D-746A39768430}" name="Column4232"/>
    <tableColumn id="4244" xr3:uid="{08548E18-6949-455D-A5E1-B64865992114}" name="Column4233"/>
    <tableColumn id="4245" xr3:uid="{245E1370-2222-4EEA-9F9D-6D2E50523403}" name="Column4234"/>
    <tableColumn id="4246" xr3:uid="{4009E0DE-C202-4B29-8D1C-76D8C41029DA}" name="Column4235"/>
    <tableColumn id="4247" xr3:uid="{B6D4082A-183A-4389-AF11-59DF5EEFFADE}" name="Column4236"/>
    <tableColumn id="4248" xr3:uid="{1FE9EDFF-882A-438F-85A8-4CDC93BC7538}" name="Column4237"/>
    <tableColumn id="4249" xr3:uid="{0CEA4835-CA64-4992-8958-2683FCFD7F32}" name="Column4238"/>
    <tableColumn id="4250" xr3:uid="{9E08768B-A126-4610-B64C-54A48FB13625}" name="Column4239"/>
    <tableColumn id="4251" xr3:uid="{48C20417-3485-4B52-B17E-19923B93F36C}" name="Column4240"/>
    <tableColumn id="4252" xr3:uid="{038A148F-AC6D-479E-B9A0-3171F502AD24}" name="Column4241"/>
    <tableColumn id="4253" xr3:uid="{7E8E9A59-AB36-442F-B6FD-22942765C934}" name="Column4242"/>
    <tableColumn id="4254" xr3:uid="{14855363-980A-4F05-9B85-6F0C5F4C8518}" name="Column4243"/>
    <tableColumn id="4255" xr3:uid="{CB88BC57-65DC-4625-995F-5486BA479CB7}" name="Column4244"/>
    <tableColumn id="4256" xr3:uid="{66C93CA8-B663-422A-B61D-65E4233AE7C7}" name="Column4245"/>
    <tableColumn id="4257" xr3:uid="{61E92E96-D3C1-436C-81B2-D77AADB530E2}" name="Column4246"/>
    <tableColumn id="4258" xr3:uid="{A014A853-2453-4F55-BFFB-7C6CFF379D5F}" name="Column4247"/>
    <tableColumn id="4259" xr3:uid="{F5372DCC-1D12-4ACA-9294-DDEBE96B219B}" name="Column4248"/>
    <tableColumn id="4260" xr3:uid="{061D878B-BBF4-43BE-9707-E10BEE010337}" name="Column4249"/>
    <tableColumn id="4261" xr3:uid="{6E5B316F-D763-4DE4-BAC7-ADC887C04B0B}" name="Column4250"/>
    <tableColumn id="4262" xr3:uid="{23DB3CEB-2F58-43C8-AAE5-A896187A7FC4}" name="Column4251"/>
    <tableColumn id="4263" xr3:uid="{0659BA17-E6BE-4981-95B5-FE0A12CEC531}" name="Column4252"/>
    <tableColumn id="4264" xr3:uid="{5370628B-BDB3-4871-B6BF-3ADF1CAA591A}" name="Column4253"/>
    <tableColumn id="4265" xr3:uid="{3EC0FB68-79E7-44ED-83B3-3E941264A0A5}" name="Column4254"/>
    <tableColumn id="4266" xr3:uid="{8F7AD200-B8C6-4FE5-AF80-F4B6FD36FF54}" name="Column4255"/>
    <tableColumn id="4267" xr3:uid="{F943288D-B507-4DED-8F2F-86DF9E65D2FE}" name="Column4256"/>
    <tableColumn id="4268" xr3:uid="{2A2758C6-CE77-4F53-A57F-225306B399BA}" name="Column4257"/>
    <tableColumn id="4269" xr3:uid="{E9FDF168-5C1A-4EB6-806C-C06D66849D48}" name="Column4258"/>
    <tableColumn id="4270" xr3:uid="{61C1E5E9-1E20-4B2D-8991-C95B9C78A295}" name="Column4259"/>
    <tableColumn id="4271" xr3:uid="{03BFF684-EDA6-4AA8-8E94-181071E7213D}" name="Column4260"/>
    <tableColumn id="4272" xr3:uid="{893EA07F-3B05-4671-ADEF-E739D4038FBF}" name="Column4261"/>
    <tableColumn id="4273" xr3:uid="{F0B376F0-9BCE-4D87-B21C-6F4536C1322E}" name="Column4262"/>
    <tableColumn id="4274" xr3:uid="{B2464F91-4555-46E0-9369-03308D0A9AED}" name="Column4263"/>
    <tableColumn id="4275" xr3:uid="{C88D7D03-5ACE-4655-AEE8-BC948F0D7DF5}" name="Column4264"/>
    <tableColumn id="4276" xr3:uid="{6768DE7E-50E2-407B-97DC-769D5CAE3A35}" name="Column4265"/>
    <tableColumn id="4277" xr3:uid="{B46FB8D9-3634-44A7-8D79-66A568EA972D}" name="Column4266"/>
    <tableColumn id="4278" xr3:uid="{988CD48B-5B5C-476A-BCA1-7C9FACADECD1}" name="Column4267"/>
    <tableColumn id="4279" xr3:uid="{07111D0E-8BA4-41B2-A53F-63F921B9C991}" name="Column4268"/>
    <tableColumn id="4280" xr3:uid="{FFAD99D1-5FF4-4EDF-AEC7-6BCA081DB1E5}" name="Column4269"/>
    <tableColumn id="4281" xr3:uid="{6B56E21A-04FB-47FD-88CE-01EDE43FF93E}" name="Column4270"/>
    <tableColumn id="4282" xr3:uid="{91EE881D-0751-4B90-99DE-9DB4E318CF5F}" name="Column4271"/>
    <tableColumn id="4283" xr3:uid="{7CCF2F52-C87A-46B5-9C15-E30407ECC371}" name="Column4272"/>
    <tableColumn id="4284" xr3:uid="{76028E4B-3CA1-43AD-9E58-F9DEC5296913}" name="Column4273"/>
    <tableColumn id="4285" xr3:uid="{C9A0B2EE-D4EF-4893-87A3-BD8479AEE4FF}" name="Column4274"/>
    <tableColumn id="4286" xr3:uid="{E5FE9ABC-2D37-4B50-9DDE-01B74501BB9C}" name="Column4275"/>
    <tableColumn id="4287" xr3:uid="{F36D201A-4115-4AC1-8B01-17BD38A051AB}" name="Column4276"/>
    <tableColumn id="4288" xr3:uid="{4591578B-B766-4514-98D9-A6754F407D42}" name="Column4277"/>
    <tableColumn id="4289" xr3:uid="{522C970C-EE7C-4245-93A8-C4E1895839E7}" name="Column4278"/>
    <tableColumn id="4290" xr3:uid="{D2FF288F-EABE-43C5-8315-8AD82C13DFA3}" name="Column4279"/>
    <tableColumn id="4291" xr3:uid="{105D50D8-FA01-4A10-9C0D-39EB681CCDE7}" name="Column4280"/>
    <tableColumn id="4292" xr3:uid="{DDCA71E8-65E5-4B6F-8349-50865B7F7010}" name="Column4281"/>
    <tableColumn id="4293" xr3:uid="{E6326651-1852-472E-A56C-B1C839597C36}" name="Column4282"/>
    <tableColumn id="4294" xr3:uid="{B24DB2E0-311C-4F37-B9D1-EC6F1B463AE3}" name="Column4283"/>
    <tableColumn id="4295" xr3:uid="{5D4A45D4-965E-49EB-B45C-B18CE05504DE}" name="Column4284"/>
    <tableColumn id="4296" xr3:uid="{353AD399-A2BC-4218-85F9-E6D580F43A19}" name="Column4285"/>
    <tableColumn id="4297" xr3:uid="{E9EC1A23-203B-43BF-A1C5-9BC9B8FDEA19}" name="Column4286"/>
    <tableColumn id="4298" xr3:uid="{947FA67B-B01F-4150-8E7E-BAAD7927CC58}" name="Column4287"/>
    <tableColumn id="4299" xr3:uid="{F44C49AE-B6AA-4FA0-BD03-A69321535A0F}" name="Column4288"/>
    <tableColumn id="4300" xr3:uid="{086C07C4-6EF6-4B28-B6AB-5E4D6F3FF948}" name="Column4289"/>
    <tableColumn id="4301" xr3:uid="{1F2DCBC6-1400-4D26-9690-24A8E17F073C}" name="Column4290"/>
    <tableColumn id="4302" xr3:uid="{FBB1AAB0-3184-4B15-9098-641E6FB59D74}" name="Column4291"/>
    <tableColumn id="4303" xr3:uid="{EB29DCE7-42A6-47E8-9792-AA24344A5CA4}" name="Column4292"/>
    <tableColumn id="4304" xr3:uid="{450E2161-FB31-47AE-A854-DD39470C8CBC}" name="Column4293"/>
    <tableColumn id="4305" xr3:uid="{CAFC5AD8-E475-4533-A061-7F5E0089684A}" name="Column4294"/>
    <tableColumn id="4306" xr3:uid="{3334ACFA-99EB-41DB-BD4D-0235C1254EF1}" name="Column4295"/>
    <tableColumn id="4307" xr3:uid="{4EA20F38-DB54-4279-857D-8BCA68B11BCF}" name="Column4296"/>
    <tableColumn id="4308" xr3:uid="{320F52F3-AD86-421B-ADC4-132953FC09FB}" name="Column4297"/>
    <tableColumn id="4309" xr3:uid="{E1DFBCCA-27E4-44CD-8CD4-E298A778AFE4}" name="Column4298"/>
    <tableColumn id="4310" xr3:uid="{08E4096F-8955-4B92-9EAE-596F7062D51D}" name="Column4299"/>
    <tableColumn id="4311" xr3:uid="{46DC435A-40C7-435C-8471-0860FE500D13}" name="Column4300"/>
    <tableColumn id="4312" xr3:uid="{32BE174E-0959-40E0-96E8-314E9EB43F9C}" name="Column4301"/>
    <tableColumn id="4313" xr3:uid="{1E6F5FFF-02A5-4298-830F-C8870E18DC80}" name="Column4302"/>
    <tableColumn id="4314" xr3:uid="{8D5EC4C7-8F01-4948-BBB9-5E399C859A34}" name="Column4303"/>
    <tableColumn id="4315" xr3:uid="{28BFD71F-2403-4312-9E89-C4AEB0679C48}" name="Column4304"/>
    <tableColumn id="4316" xr3:uid="{57815BDC-C68F-41E9-B2F3-47EDDE4FF8E5}" name="Column4305"/>
    <tableColumn id="4317" xr3:uid="{6FD3B086-D979-4529-BFA6-9B59714AB776}" name="Column4306"/>
    <tableColumn id="4318" xr3:uid="{975079F9-FB89-452C-AF73-92461363AB6B}" name="Column4307"/>
    <tableColumn id="4319" xr3:uid="{12D671EF-3EA7-4975-8925-4D3F773D92E1}" name="Column4308"/>
    <tableColumn id="4320" xr3:uid="{BFC2D89F-8713-4408-B3E6-21691DBF8A3A}" name="Column4309"/>
    <tableColumn id="4321" xr3:uid="{6D68059C-7F82-45B2-8B52-F633233A6B70}" name="Column4310"/>
    <tableColumn id="4322" xr3:uid="{BA9C2A2B-3178-417B-BEDF-92DB145F5F53}" name="Column4311"/>
    <tableColumn id="4323" xr3:uid="{AD3B6D66-3EDB-4361-B742-7BC3F1583981}" name="Column4312"/>
    <tableColumn id="4324" xr3:uid="{AA258203-2268-43A2-9C2C-9D12C00E667D}" name="Column4313"/>
    <tableColumn id="4325" xr3:uid="{8F352E66-F802-4683-944A-56211954C311}" name="Column4314"/>
    <tableColumn id="4326" xr3:uid="{E11D01F9-4CA5-45C4-96FE-EFC9FFD99264}" name="Column4315"/>
    <tableColumn id="4327" xr3:uid="{3E4696C9-3EB9-4CA3-AEAA-E9B2E96CF43D}" name="Column4316"/>
    <tableColumn id="4328" xr3:uid="{E5433866-EDA8-405F-A32F-8EAB4DE1D4DC}" name="Column4317"/>
    <tableColumn id="4329" xr3:uid="{66BA084F-F543-439D-BBE1-38D954927482}" name="Column4318"/>
    <tableColumn id="4330" xr3:uid="{3702FF1A-D758-4E71-8014-68273069A66A}" name="Column4319"/>
    <tableColumn id="4331" xr3:uid="{53E93D9E-0580-48BB-A1CE-AD9BEFDD4B5A}" name="Column4320"/>
    <tableColumn id="4332" xr3:uid="{398C870C-663C-4410-B54A-C6CCC260EA54}" name="Column4321"/>
    <tableColumn id="4333" xr3:uid="{7F32AC1A-2BB3-4A57-ABD5-914DF6E476A7}" name="Column4322"/>
    <tableColumn id="4334" xr3:uid="{9D72D350-691C-4D7E-8D9D-7085C863C026}" name="Column4323"/>
    <tableColumn id="4335" xr3:uid="{74EC15B6-42B6-4287-8B57-3100D30B6A77}" name="Column4324"/>
    <tableColumn id="4336" xr3:uid="{46B34E41-6504-4E15-998E-551B187E8B38}" name="Column4325"/>
    <tableColumn id="4337" xr3:uid="{A8E0EFCF-8577-48AE-B5A1-8F8EC665073B}" name="Column4326"/>
    <tableColumn id="4338" xr3:uid="{EAFDF5A8-791F-4278-967B-612A977C4820}" name="Column4327"/>
    <tableColumn id="4339" xr3:uid="{75C4193C-D5A0-40BD-90CA-35E1BFF7D502}" name="Column4328"/>
    <tableColumn id="4340" xr3:uid="{ED1A48D9-ADD9-4EE9-9C46-ED43A0D47A86}" name="Column4329"/>
    <tableColumn id="4341" xr3:uid="{4C5F2915-140C-43F8-996F-C457A3A919DF}" name="Column4330"/>
    <tableColumn id="4342" xr3:uid="{B362EAE8-CED1-45FA-8659-8B79F0BFD290}" name="Column4331"/>
    <tableColumn id="4343" xr3:uid="{CD26682D-7A84-4FA5-A85B-0EF5B8375E76}" name="Column4332"/>
    <tableColumn id="4344" xr3:uid="{7FA730F4-8A9A-4159-9997-D43D80512725}" name="Column4333"/>
    <tableColumn id="4345" xr3:uid="{D8B90830-9C8F-45AA-8659-BD3E9042B87F}" name="Column4334"/>
    <tableColumn id="4346" xr3:uid="{5E2B39D3-E90C-42C7-AEF8-5A974FA4DA15}" name="Column4335"/>
    <tableColumn id="4347" xr3:uid="{762A6041-C6F7-41F7-82C2-482781747145}" name="Column4336"/>
    <tableColumn id="4348" xr3:uid="{988F891F-57E7-4E0F-AC7E-63132F63C3F4}" name="Column4337"/>
    <tableColumn id="4349" xr3:uid="{1CD79BE2-7C1F-46BA-AA1D-4014DDE5A2FF}" name="Column4338"/>
    <tableColumn id="4350" xr3:uid="{5A73083A-A8AE-4BD8-952D-7AF400664489}" name="Column4339"/>
    <tableColumn id="4351" xr3:uid="{AD1F4CA7-1465-49E2-AFB5-8685B91D1DC2}" name="Column4340"/>
    <tableColumn id="4352" xr3:uid="{5419878E-4F8E-4C29-B3B5-27007B3FECE9}" name="Column4341"/>
    <tableColumn id="4353" xr3:uid="{695C3BA5-7BFA-4B08-8833-4F691A2E73B4}" name="Column4342"/>
    <tableColumn id="4354" xr3:uid="{5EA54840-CE77-497A-B8B9-43D082B275A3}" name="Column4343"/>
    <tableColumn id="4355" xr3:uid="{41DE60EE-71DC-4B30-959D-B74BD2AAB36E}" name="Column4344"/>
    <tableColumn id="4356" xr3:uid="{B24C2786-0A4C-4290-8291-93AE13EC7025}" name="Column4345"/>
    <tableColumn id="4357" xr3:uid="{02107C09-6BB0-4323-9A66-D8ED5B228B15}" name="Column4346"/>
    <tableColumn id="4358" xr3:uid="{9C5E9968-0F32-4259-80B2-82A31175D793}" name="Column4347"/>
    <tableColumn id="4359" xr3:uid="{CC7930D0-5BB3-4B18-B3DF-1156EEFB116D}" name="Column4348"/>
    <tableColumn id="4360" xr3:uid="{8487D91C-F562-4AB5-859B-41E579F477D0}" name="Column4349"/>
    <tableColumn id="4361" xr3:uid="{2C380C72-4658-4A7A-8617-38FDB70F3006}" name="Column4350"/>
    <tableColumn id="4362" xr3:uid="{D6CF0898-3190-40BC-96BE-C47AFAD7FBCE}" name="Column4351"/>
    <tableColumn id="4363" xr3:uid="{BD43E709-EB51-4F8D-B608-4D4C5F1DDD5C}" name="Column4352"/>
    <tableColumn id="4364" xr3:uid="{FDD65C00-3C0E-4F5A-B0E9-A749EA48028B}" name="Column4353"/>
    <tableColumn id="4365" xr3:uid="{5057FF7A-9335-46C0-847A-12467D53FEFF}" name="Column4354"/>
    <tableColumn id="4366" xr3:uid="{368EC02C-1533-4850-B23E-CA5649D84C44}" name="Column4355"/>
    <tableColumn id="4367" xr3:uid="{DE291EB8-7369-44FB-8C46-C41C1E6E916F}" name="Column4356"/>
    <tableColumn id="4368" xr3:uid="{508E1D51-D8CE-4E6D-8751-CBCB40A585DE}" name="Column4357"/>
    <tableColumn id="4369" xr3:uid="{49FE527A-5678-46E2-93A0-448C7C877016}" name="Column4358"/>
    <tableColumn id="4370" xr3:uid="{E566F18E-9FDA-4461-8F13-F1D1AD3199E1}" name="Column4359"/>
    <tableColumn id="4371" xr3:uid="{B72CC930-B91B-42F4-A963-7801D448E962}" name="Column4360"/>
    <tableColumn id="4372" xr3:uid="{FBD3E4DD-6D04-47EC-866C-F016210D2A83}" name="Column4361"/>
    <tableColumn id="4373" xr3:uid="{1B8F32E2-681C-4326-A1FD-A7B6796952EC}" name="Column4362"/>
    <tableColumn id="4374" xr3:uid="{E5B8C109-C5D2-4743-BDCD-50DD38CC10B9}" name="Column4363"/>
    <tableColumn id="4375" xr3:uid="{FC3B261A-8A13-470C-AD13-2A237A1B2D58}" name="Column4364"/>
    <tableColumn id="4376" xr3:uid="{27F4917C-34E5-4EA7-9950-DF7B14B2D8FB}" name="Column4365"/>
    <tableColumn id="4377" xr3:uid="{F9409D08-33C6-4D37-94A0-08924CF6ABB1}" name="Column4366"/>
    <tableColumn id="4378" xr3:uid="{6344CEA2-B9B6-4EBB-9B0D-080A009C8CB2}" name="Column4367"/>
    <tableColumn id="4379" xr3:uid="{EE7B2F90-CCA2-491C-BE30-45CB71812613}" name="Column4368"/>
    <tableColumn id="4380" xr3:uid="{88AA237C-A6AB-45A1-94CE-328989E69299}" name="Column4369"/>
    <tableColumn id="4381" xr3:uid="{A3BABE9F-1847-4BF1-B066-8747A585DD19}" name="Column4370"/>
    <tableColumn id="4382" xr3:uid="{8A3BABA9-D629-456E-B036-190EC62F1A79}" name="Column4371"/>
    <tableColumn id="4383" xr3:uid="{113E4C2C-B414-4107-852F-C225823C9D8C}" name="Column4372"/>
    <tableColumn id="4384" xr3:uid="{F822A6FF-3DFE-445E-A701-8278ED8F0314}" name="Column4373"/>
    <tableColumn id="4385" xr3:uid="{B8F7A437-68C3-4C5D-B358-E7D1C7071CE1}" name="Column4374"/>
    <tableColumn id="4386" xr3:uid="{39B11322-4CD9-4AB2-9D4C-DA2A27761082}" name="Column4375"/>
    <tableColumn id="4387" xr3:uid="{88196625-F49A-4C89-8541-A6B6EFF51316}" name="Column4376"/>
    <tableColumn id="4388" xr3:uid="{69143D0D-2661-4C88-BD90-C290771115B8}" name="Column4377"/>
    <tableColumn id="4389" xr3:uid="{DA6EDCE9-AC6C-4418-BE32-F9D02B8C8352}" name="Column4378"/>
    <tableColumn id="4390" xr3:uid="{91810032-91CB-4677-8B64-490E636478D7}" name="Column4379"/>
    <tableColumn id="4391" xr3:uid="{F704945A-92AB-49F7-9D62-1820430FBE72}" name="Column4380"/>
    <tableColumn id="4392" xr3:uid="{766FDC76-3034-41EE-A3DE-1001F8200439}" name="Column4381"/>
    <tableColumn id="4393" xr3:uid="{21DCEAFC-74E8-4C27-843C-9765D30469E4}" name="Column4382"/>
    <tableColumn id="4394" xr3:uid="{03C74B20-0EEC-43B8-89C0-2FAF397CFB2D}" name="Column4383"/>
    <tableColumn id="4395" xr3:uid="{E1FE26C0-9431-4E4F-9B2A-76E1014C11B3}" name="Column4384"/>
    <tableColumn id="4396" xr3:uid="{2D655D4F-73AD-4374-9857-0B574B1D4A38}" name="Column4385"/>
    <tableColumn id="4397" xr3:uid="{9A0A4311-70A1-44A7-B912-F8C8197CDD2E}" name="Column4386"/>
    <tableColumn id="4398" xr3:uid="{6ADE1F84-5E46-4684-82ED-CE0B5721A36A}" name="Column4387"/>
    <tableColumn id="4399" xr3:uid="{0E8AD2B1-8BC6-4009-98E6-6C2E1BECC31D}" name="Column4388"/>
    <tableColumn id="4400" xr3:uid="{75C9321B-A01B-4692-B5E5-E3FE81877BF0}" name="Column4389"/>
    <tableColumn id="4401" xr3:uid="{9AB0F5E6-F35B-44D2-A291-96719BE76812}" name="Column4390"/>
    <tableColumn id="4402" xr3:uid="{7BF149F7-956A-493E-90C4-2A2E8C4CC20B}" name="Column4391"/>
    <tableColumn id="4403" xr3:uid="{13F2FE19-8BA4-4C6A-9160-661FDE547A27}" name="Column4392"/>
    <tableColumn id="4404" xr3:uid="{79E89745-01A5-4E3E-930C-5A7AB02B2929}" name="Column4393"/>
    <tableColumn id="4405" xr3:uid="{EAB97EDA-A58B-46EF-A936-3A0CDDA92A94}" name="Column4394"/>
    <tableColumn id="4406" xr3:uid="{C4CA849B-EE53-4440-9F44-AAA02382E6A5}" name="Column4395"/>
    <tableColumn id="4407" xr3:uid="{72179052-986B-4C7D-B7DE-74A667EB813E}" name="Column4396"/>
    <tableColumn id="4408" xr3:uid="{EEB57938-789C-4363-BA29-EA47066847E6}" name="Column4397"/>
    <tableColumn id="4409" xr3:uid="{6C7E766D-7CC6-469C-B959-116500818309}" name="Column4398"/>
    <tableColumn id="4410" xr3:uid="{CCC67E4D-BFA3-4B3C-AE17-1EC9C30F0E06}" name="Column4399"/>
    <tableColumn id="4411" xr3:uid="{CB059A0A-1CAF-4F66-8803-FD111A0A3FC3}" name="Column4400"/>
    <tableColumn id="4412" xr3:uid="{8C2D68C3-B91A-454B-9E56-DE6906319200}" name="Column4401"/>
    <tableColumn id="4413" xr3:uid="{F2354626-1EDD-416E-A809-E94AF957130C}" name="Column4402"/>
    <tableColumn id="4414" xr3:uid="{10227069-E2A0-4C8E-BBDA-8FF88138E4F3}" name="Column4403"/>
    <tableColumn id="4415" xr3:uid="{97E804F6-7C58-46B9-A221-2CE1AF2F42D2}" name="Column4404"/>
    <tableColumn id="4416" xr3:uid="{21E94423-5805-4345-90BC-B06A752DF674}" name="Column4405"/>
    <tableColumn id="4417" xr3:uid="{64DD3C4F-CF2C-4AC9-8E63-1926CEA09F42}" name="Column4406"/>
    <tableColumn id="4418" xr3:uid="{16617012-7988-423B-9DA4-4601493DA3FB}" name="Column4407"/>
    <tableColumn id="4419" xr3:uid="{F7834C7E-779D-466D-B9DE-4152092EBD07}" name="Column4408"/>
    <tableColumn id="4420" xr3:uid="{86809777-1E34-4FCA-88C1-FD5573BE42C4}" name="Column4409"/>
    <tableColumn id="4421" xr3:uid="{F864F457-D8F5-4FD7-95C2-A42325C945A0}" name="Column4410"/>
    <tableColumn id="4422" xr3:uid="{D9769DDE-E134-4F25-BE73-DD0889E25737}" name="Column4411"/>
    <tableColumn id="4423" xr3:uid="{3F2DF678-6B29-4D0A-AB3A-3FFE955191AB}" name="Column4412"/>
    <tableColumn id="4424" xr3:uid="{CB03BDD7-F253-48B9-89CD-587827059817}" name="Column4413"/>
    <tableColumn id="4425" xr3:uid="{CFBB3124-DFED-4CC7-B621-D449F4B826E8}" name="Column4414"/>
    <tableColumn id="4426" xr3:uid="{79413103-85A8-4E1E-87A2-A657A82831C1}" name="Column4415"/>
    <tableColumn id="4427" xr3:uid="{D51EBB0E-3A81-4FDC-98D5-52832ABFF594}" name="Column4416"/>
    <tableColumn id="4428" xr3:uid="{176A291A-4F93-485B-BB0D-D51862B25BC1}" name="Column4417"/>
    <tableColumn id="4429" xr3:uid="{BC27A9C9-D859-4263-850A-FEEB4234B75C}" name="Column4418"/>
    <tableColumn id="4430" xr3:uid="{76AA5932-520A-4B53-BA57-4202ED1D62B8}" name="Column4419"/>
    <tableColumn id="4431" xr3:uid="{CE4446B6-E21A-47E2-B49A-25055A51E511}" name="Column4420"/>
    <tableColumn id="4432" xr3:uid="{4E555BA2-1022-4519-AB50-FC01BAFC7AF8}" name="Column4421"/>
    <tableColumn id="4433" xr3:uid="{1D53ED86-9AA1-4C65-9135-2DD1B1A4B3F9}" name="Column4422"/>
    <tableColumn id="4434" xr3:uid="{A2C75599-7414-48B5-9A5F-C6102E879AD7}" name="Column4423"/>
    <tableColumn id="4435" xr3:uid="{D896A3E7-8380-42B8-B583-5DE35695778E}" name="Column4424"/>
    <tableColumn id="4436" xr3:uid="{0D4E0FF8-553E-4859-94F4-E0C4CB9BB45A}" name="Column4425"/>
    <tableColumn id="4437" xr3:uid="{0B9EDBFE-43BD-4D58-BBF1-5AA82CF35393}" name="Column4426"/>
    <tableColumn id="4438" xr3:uid="{503E66D7-F93C-4240-A9C6-731C36CAF780}" name="Column4427"/>
    <tableColumn id="4439" xr3:uid="{7C9E902B-5FBE-4B58-B91A-9DE58913ED4C}" name="Column4428"/>
    <tableColumn id="4440" xr3:uid="{C50DA606-10C1-45A1-A743-3F12779B19EF}" name="Column4429"/>
    <tableColumn id="4441" xr3:uid="{A72FB38A-9F24-4288-9196-783BC1D0FC06}" name="Column4430"/>
    <tableColumn id="4442" xr3:uid="{C73289D8-F403-4DC5-8F7F-E1F22B893756}" name="Column4431"/>
    <tableColumn id="4443" xr3:uid="{55261D8F-992F-4E41-8B5C-2D5BF979CF49}" name="Column4432"/>
    <tableColumn id="4444" xr3:uid="{5E589EA8-4472-4315-8824-0072CB9A3128}" name="Column4433"/>
    <tableColumn id="4445" xr3:uid="{58B8C23B-485C-4511-B05A-ABDF0C51C575}" name="Column4434"/>
    <tableColumn id="4446" xr3:uid="{7FB2404C-F475-4A47-B569-903F2115C16E}" name="Column4435"/>
    <tableColumn id="4447" xr3:uid="{CAE2DE3A-4D0B-4887-AD05-0D7E021DF381}" name="Column4436"/>
    <tableColumn id="4448" xr3:uid="{D995F071-528C-4DAF-88C5-A7AB2CBECFC9}" name="Column4437"/>
    <tableColumn id="4449" xr3:uid="{E1140BAB-A990-4F35-A265-76210A1D727C}" name="Column4438"/>
    <tableColumn id="4450" xr3:uid="{2F30CAF8-4FE7-487B-A05A-2FFC8F2784D6}" name="Column4439"/>
    <tableColumn id="4451" xr3:uid="{E0379B55-CB73-44FD-850B-0BDCC1C7147A}" name="Column4440"/>
    <tableColumn id="4452" xr3:uid="{6727636A-4DC3-45A3-A371-88FD2062DC93}" name="Column4441"/>
    <tableColumn id="4453" xr3:uid="{60791F93-C38D-4D9E-9680-BBB404DE08A3}" name="Column4442"/>
    <tableColumn id="4454" xr3:uid="{850C1C25-246D-478C-972A-474AF1D8FD74}" name="Column4443"/>
    <tableColumn id="4455" xr3:uid="{9C9FBE53-D6F0-421E-B74E-C91D1A4DBC5D}" name="Column4444"/>
    <tableColumn id="4456" xr3:uid="{EF938491-8473-4DAC-895F-7E56189A5713}" name="Column4445"/>
    <tableColumn id="4457" xr3:uid="{F911FCAC-C72B-416A-A2DF-F58BC8C6C855}" name="Column4446"/>
    <tableColumn id="4458" xr3:uid="{8165E027-1847-419C-AE98-A00A6139FC09}" name="Column4447"/>
    <tableColumn id="4459" xr3:uid="{EE5C5221-6F31-4E68-ABF2-7398A89C9F11}" name="Column4448"/>
    <tableColumn id="4460" xr3:uid="{AC6D858E-7104-478B-BB99-3F090F896736}" name="Column4449"/>
    <tableColumn id="4461" xr3:uid="{43B211FB-6EE6-4BFE-B392-7792B21E2B81}" name="Column4450"/>
    <tableColumn id="4462" xr3:uid="{F0A6FD85-F208-422C-B95B-43C5084A1282}" name="Column4451"/>
    <tableColumn id="4463" xr3:uid="{FCCB5BAB-9F9E-49A4-B961-33A584D0693B}" name="Column4452"/>
    <tableColumn id="4464" xr3:uid="{03CBA22F-04ED-4AC8-885D-84D94C6CB9DB}" name="Column4453"/>
    <tableColumn id="4465" xr3:uid="{81C1056F-F52F-46FD-AB3A-6803694F48DB}" name="Column4454"/>
    <tableColumn id="4466" xr3:uid="{FACA68CA-DBA0-4D85-B220-E70AC9287F76}" name="Column4455"/>
    <tableColumn id="4467" xr3:uid="{F32217B7-4CF7-44DC-B86F-6C5BAC4BFDF6}" name="Column4456"/>
    <tableColumn id="4468" xr3:uid="{7C396955-7DA1-4186-86BD-9E398671949A}" name="Column4457"/>
    <tableColumn id="4469" xr3:uid="{A05354AD-59E5-4ED5-8634-306E64FA297B}" name="Column4458"/>
    <tableColumn id="4470" xr3:uid="{9731DB80-7FC7-4177-BC41-A5517FCDE9B3}" name="Column4459"/>
    <tableColumn id="4471" xr3:uid="{FC82379A-B13D-4199-84B6-B692F351807B}" name="Column4460"/>
    <tableColumn id="4472" xr3:uid="{A190498D-C2FB-4D38-AF54-2D0F16D96037}" name="Column4461"/>
    <tableColumn id="4473" xr3:uid="{9693E79B-9DB3-4F04-A07E-8A6C5956FF4A}" name="Column4462"/>
    <tableColumn id="4474" xr3:uid="{68C15B0E-56D6-4931-964E-368992E53645}" name="Column4463"/>
    <tableColumn id="4475" xr3:uid="{3A484076-EA71-4E58-9721-D861887A7B35}" name="Column4464"/>
    <tableColumn id="4476" xr3:uid="{7DD59B07-5507-40E1-AB0A-DF45351131D3}" name="Column4465"/>
    <tableColumn id="4477" xr3:uid="{F1DF2BA5-70C6-4CF7-A446-31E9CBB771B2}" name="Column4466"/>
    <tableColumn id="4478" xr3:uid="{0B1DAA73-637D-4328-A675-041004303651}" name="Column4467"/>
    <tableColumn id="4479" xr3:uid="{4E9EC789-E3ED-4966-80A6-6B9B2728D5BF}" name="Column4468"/>
    <tableColumn id="4480" xr3:uid="{6144E545-55DF-4311-972D-1EDDB4CDD3AA}" name="Column4469"/>
    <tableColumn id="4481" xr3:uid="{3FA44098-1931-4E7F-8DBA-42D547595BBD}" name="Column4470"/>
    <tableColumn id="4482" xr3:uid="{E0B49C20-0409-4903-A969-CE989600E545}" name="Column4471"/>
    <tableColumn id="4483" xr3:uid="{DFE77134-0FE0-4EB4-8302-446DBAB57AB5}" name="Column4472"/>
    <tableColumn id="4484" xr3:uid="{CD237812-70AE-483D-867D-313D4D0421FF}" name="Column4473"/>
    <tableColumn id="4485" xr3:uid="{B4627B60-F867-46A3-B228-CC201E080B28}" name="Column4474"/>
    <tableColumn id="4486" xr3:uid="{8EBC0011-E77E-4F0A-A1E0-8AB4540BFD7E}" name="Column4475"/>
    <tableColumn id="4487" xr3:uid="{784E9A18-49E2-497C-BE1D-639C28F460AD}" name="Column4476"/>
    <tableColumn id="4488" xr3:uid="{5B955735-DE80-40DB-BF22-C971423714C3}" name="Column4477"/>
    <tableColumn id="4489" xr3:uid="{B63EE4EA-6FE7-484A-A5E3-C80236CAB751}" name="Column4478"/>
    <tableColumn id="4490" xr3:uid="{523DD956-0220-4BFC-9078-688DD7DD256C}" name="Column4479"/>
    <tableColumn id="4491" xr3:uid="{B5586DFB-C29A-4EA1-9D7C-FF2082D29DD1}" name="Column4480"/>
    <tableColumn id="4492" xr3:uid="{E9FBBE15-2EA7-42AC-ABF9-62BB4B9A90FA}" name="Column4481"/>
    <tableColumn id="4493" xr3:uid="{782CA014-FE02-4A94-A4F0-47F046629B85}" name="Column4482"/>
    <tableColumn id="4494" xr3:uid="{7FFD1898-37D7-47EB-B8B6-A33A7A10BFD4}" name="Column4483"/>
    <tableColumn id="4495" xr3:uid="{8266A379-8908-4359-B008-15367F2BAE71}" name="Column4484"/>
    <tableColumn id="4496" xr3:uid="{E8061A3E-969A-4F32-AF2B-BC56E50CE73C}" name="Column4485"/>
    <tableColumn id="4497" xr3:uid="{FC1AE9F1-00C7-4D84-838E-89E6F1B86277}" name="Column4486"/>
    <tableColumn id="4498" xr3:uid="{23C5ADD1-C816-4A0F-A716-E64DF1E4C85F}" name="Column4487"/>
    <tableColumn id="4499" xr3:uid="{6C116015-7E54-44BE-B2F0-45BE24AF3E18}" name="Column4488"/>
    <tableColumn id="4500" xr3:uid="{8DA266A9-5420-42CC-98FD-6F266970CC50}" name="Column4489"/>
    <tableColumn id="4501" xr3:uid="{A6E804B8-9F4E-4F62-93CD-85BC973E1673}" name="Column4490"/>
    <tableColumn id="4502" xr3:uid="{FFA9DB67-8635-4360-8F43-B723F8C1FD64}" name="Column4491"/>
    <tableColumn id="4503" xr3:uid="{B13CC589-6A40-4C9B-A029-56B3F7C50D3A}" name="Column4492"/>
    <tableColumn id="4504" xr3:uid="{8715D183-938C-4095-8C2C-EDE8C07382E5}" name="Column4493"/>
    <tableColumn id="4505" xr3:uid="{1401E498-F86F-42F0-BF3B-E16F392542DD}" name="Column4494"/>
    <tableColumn id="4506" xr3:uid="{57B69D8C-0BD2-4197-8A9A-9E331CA5BC97}" name="Column4495"/>
    <tableColumn id="4507" xr3:uid="{D7DC2654-FE18-4545-826D-939AF796D4D6}" name="Column4496"/>
    <tableColumn id="4508" xr3:uid="{74DC5FE3-F614-4976-BEED-E6B80AA2E61D}" name="Column4497"/>
    <tableColumn id="4509" xr3:uid="{B4B93107-F614-4C68-BC59-8FC6BA3F40E0}" name="Column4498"/>
    <tableColumn id="4510" xr3:uid="{7E2F425B-6965-4000-9EBC-8B71721B9743}" name="Column4499"/>
    <tableColumn id="4511" xr3:uid="{EE5E307B-C9BC-42A9-8154-CB653CA47B26}" name="Column4500"/>
    <tableColumn id="4512" xr3:uid="{1EC85EDA-97E2-4B03-ADCE-55F4AE97DC35}" name="Column4501"/>
    <tableColumn id="4513" xr3:uid="{17246382-ED52-4493-B004-247F0229154A}" name="Column4502"/>
    <tableColumn id="4514" xr3:uid="{4222788D-41BE-4B88-A5A0-E4ABE84FCCD3}" name="Column4503"/>
    <tableColumn id="4515" xr3:uid="{15984AEB-38C7-4561-9B7C-D4EE23BB010A}" name="Column4504"/>
    <tableColumn id="4516" xr3:uid="{B7D316F9-CF5D-41BA-A697-34B12D55456D}" name="Column4505"/>
    <tableColumn id="4517" xr3:uid="{EACA5B63-196A-4776-B104-F7A13082A195}" name="Column4506"/>
    <tableColumn id="4518" xr3:uid="{BDC8D831-6C79-4F03-B342-F434AD12F5B8}" name="Column4507"/>
    <tableColumn id="4519" xr3:uid="{0F1BD5E9-DF15-4C4C-9AC2-F985A75A2A11}" name="Column4508"/>
    <tableColumn id="4520" xr3:uid="{09327AF6-C688-459E-A58A-456E7077D00C}" name="Column4509"/>
    <tableColumn id="4521" xr3:uid="{46D42606-0EB4-43BB-9D29-D6F272EC95FA}" name="Column4510"/>
    <tableColumn id="4522" xr3:uid="{DD316C0C-5582-43B5-88C8-E3A9920E3E88}" name="Column4511"/>
    <tableColumn id="4523" xr3:uid="{070558CC-A200-4792-AB9E-3F1D88550D9D}" name="Column4512"/>
    <tableColumn id="4524" xr3:uid="{094997C6-EF4D-4D46-BF19-E5B26EF66A8B}" name="Column4513"/>
    <tableColumn id="4525" xr3:uid="{8667665B-5262-4DC4-A072-BC4D0EA734B3}" name="Column4514"/>
    <tableColumn id="4526" xr3:uid="{650EB732-EAF9-456F-9DED-C5C3B7C3DD29}" name="Column4515"/>
    <tableColumn id="4527" xr3:uid="{B8A7A3D0-3BC9-4CCF-99C6-968FD0F3EB2B}" name="Column4516"/>
    <tableColumn id="4528" xr3:uid="{329F412E-71DE-4927-BBFF-06DDA37B62B4}" name="Column4517"/>
    <tableColumn id="4529" xr3:uid="{D8456EC8-66F2-449B-A7A3-905F94D6723C}" name="Column4518"/>
    <tableColumn id="4530" xr3:uid="{7D7E4898-804C-41A7-B395-EAF715E1DB18}" name="Column4519"/>
    <tableColumn id="4531" xr3:uid="{897A8D0B-EC04-48D5-B2E1-1753BAC53DDA}" name="Column4520"/>
    <tableColumn id="4532" xr3:uid="{B4C88458-BB21-4FF3-8970-1B9D380A42D3}" name="Column4521"/>
    <tableColumn id="4533" xr3:uid="{7D3507B0-E081-4439-AC46-5D263E6677DE}" name="Column4522"/>
    <tableColumn id="4534" xr3:uid="{5C940511-7B4F-4018-B6B7-00CAE0B8F620}" name="Column4523"/>
    <tableColumn id="4535" xr3:uid="{139C12A5-3DE2-40A7-9628-BF147ED3CCE9}" name="Column4524"/>
    <tableColumn id="4536" xr3:uid="{A01323B5-713D-4522-820F-426DD84CB1C1}" name="Column4525"/>
    <tableColumn id="4537" xr3:uid="{C64FAE37-97A8-43BA-853D-1C9078CA3ECA}" name="Column4526"/>
    <tableColumn id="4538" xr3:uid="{4959B65C-6829-45A3-92F9-E5D071870EF0}" name="Column4527"/>
    <tableColumn id="4539" xr3:uid="{E62A6455-EF13-4D40-933F-D48729516A0A}" name="Column4528"/>
    <tableColumn id="4540" xr3:uid="{896A4D18-2A46-41F5-A7F1-70553083BA8B}" name="Column4529"/>
    <tableColumn id="4541" xr3:uid="{AF55ABB4-598B-4C0F-A52A-EA3B8C1BB3E5}" name="Column4530"/>
    <tableColumn id="4542" xr3:uid="{EEFBF989-5EDF-4D7A-8F8A-FCB76AC639ED}" name="Column4531"/>
    <tableColumn id="4543" xr3:uid="{E3CD8BBA-5918-49F1-9982-7A463FE15759}" name="Column4532"/>
    <tableColumn id="4544" xr3:uid="{CFBCDEC8-C809-4B66-8093-B5E0DC09DDF8}" name="Column4533"/>
    <tableColumn id="4545" xr3:uid="{9B9F78FA-9E14-476F-97CC-A0ACBBCF4F68}" name="Column4534"/>
    <tableColumn id="4546" xr3:uid="{97F4D24D-B86F-4E36-A0EC-691BE46451D3}" name="Column4535"/>
    <tableColumn id="4547" xr3:uid="{152A3140-1336-46D5-A90E-78188C6C2318}" name="Column4536"/>
    <tableColumn id="4548" xr3:uid="{2F7A97E2-2FA4-41EB-805B-A58E2FE4FC7A}" name="Column4537"/>
    <tableColumn id="4549" xr3:uid="{0C27CC50-21EA-4706-BFB1-5E0783C3546E}" name="Column4538"/>
    <tableColumn id="4550" xr3:uid="{26702486-53AB-4554-9226-C2FE0305ECC6}" name="Column4539"/>
    <tableColumn id="4551" xr3:uid="{22DD0D11-833C-4F49-803A-CBAB2058DC61}" name="Column4540"/>
    <tableColumn id="4552" xr3:uid="{46587C07-F908-4779-835E-3F88F2BD83FC}" name="Column4541"/>
    <tableColumn id="4553" xr3:uid="{FA634B6F-58DD-49A3-9267-B5E43C228A53}" name="Column4542"/>
    <tableColumn id="4554" xr3:uid="{0E1275FA-FDA8-4D4B-872B-F21058BF84B1}" name="Column4543"/>
    <tableColumn id="4555" xr3:uid="{A9CCF936-464E-4B1E-B86F-FB807DC0898C}" name="Column4544"/>
    <tableColumn id="4556" xr3:uid="{BEB260F1-F77D-467A-B6B7-BF6A765CEA75}" name="Column4545"/>
    <tableColumn id="4557" xr3:uid="{000BF04C-6294-4D90-9EB2-860A08A74E21}" name="Column4546"/>
    <tableColumn id="4558" xr3:uid="{2E915D1A-5E69-46E1-B7B8-D1BE443EEE77}" name="Column4547"/>
    <tableColumn id="4559" xr3:uid="{A994EE3E-7D0D-49B9-AD25-8C0D9802FA49}" name="Column4548"/>
    <tableColumn id="4560" xr3:uid="{64411743-ECCF-44E4-AA65-32C01C80028A}" name="Column4549"/>
    <tableColumn id="4561" xr3:uid="{916C5F63-6D18-4292-B756-CDBE9D181F25}" name="Column4550"/>
    <tableColumn id="4562" xr3:uid="{695229C1-8B4B-490C-AC9D-106CB0B85F0C}" name="Column4551"/>
    <tableColumn id="4563" xr3:uid="{1D07CE82-22D4-474A-893A-3341A875E9A7}" name="Column4552"/>
    <tableColumn id="4564" xr3:uid="{FEB0EFA2-9317-409D-9A50-6BC693055D6F}" name="Column4553"/>
    <tableColumn id="4565" xr3:uid="{F825463A-6F05-4B4C-9350-C58C8F61A390}" name="Column4554"/>
    <tableColumn id="4566" xr3:uid="{5A0E77B8-92AB-4730-954C-A14656D1A3CE}" name="Column4555"/>
    <tableColumn id="4567" xr3:uid="{9F363A33-1482-427D-886D-AD9F7F6EB40A}" name="Column4556"/>
    <tableColumn id="4568" xr3:uid="{85ED6A68-6F1B-4DE5-9558-A907EF5D8D67}" name="Column4557"/>
    <tableColumn id="4569" xr3:uid="{33F51274-8322-49DE-8873-83A00D5ABC2A}" name="Column4558"/>
    <tableColumn id="4570" xr3:uid="{DF31CA8F-21FD-4C71-AD06-A1EE305C9629}" name="Column4559"/>
    <tableColumn id="4571" xr3:uid="{DAC87A33-B184-4DEC-881A-CE03B1AD704E}" name="Column4560"/>
    <tableColumn id="4572" xr3:uid="{CCAB5C45-B1C7-4CC4-8647-12BCCBFDF2E1}" name="Column4561"/>
    <tableColumn id="4573" xr3:uid="{0F00AE5A-848D-4495-A4B6-7F194BA9A5AD}" name="Column4562"/>
    <tableColumn id="4574" xr3:uid="{42E060CF-B5F2-4F0A-B0B8-8CEC0EBF0856}" name="Column4563"/>
    <tableColumn id="4575" xr3:uid="{64BBB195-7D07-405C-B56A-4DC8F05ACFCC}" name="Column4564"/>
    <tableColumn id="4576" xr3:uid="{6BA39BE1-897E-4993-B1BB-92096BBEFF12}" name="Column4565"/>
    <tableColumn id="4577" xr3:uid="{F9F2B5F5-9AD7-401E-9E12-C3F16371319C}" name="Column4566"/>
    <tableColumn id="4578" xr3:uid="{F8238620-4954-427A-ADED-2B5C8556963E}" name="Column4567"/>
    <tableColumn id="4579" xr3:uid="{C6CFBF99-1647-4194-BD74-4FE9A122D464}" name="Column4568"/>
    <tableColumn id="4580" xr3:uid="{1703DCDA-5DA7-4687-AD1B-BBAAF7F8EBBF}" name="Column4569"/>
    <tableColumn id="4581" xr3:uid="{66938A13-26DC-4016-A496-54D9DF3509D1}" name="Column4570"/>
    <tableColumn id="4582" xr3:uid="{02194BC8-C806-4662-B15F-796636DAB412}" name="Column4571"/>
    <tableColumn id="4583" xr3:uid="{549BF2A3-288A-4E03-8563-E86F9AF14B08}" name="Column4572"/>
    <tableColumn id="4584" xr3:uid="{F4EBB5CA-D26C-4C10-BA63-5BFB9063F82D}" name="Column4573"/>
    <tableColumn id="4585" xr3:uid="{D4944ECF-A65B-4503-9777-192505ED4EAE}" name="Column4574"/>
    <tableColumn id="4586" xr3:uid="{52CE0784-7D38-4CA6-BD27-F8B5496F19CD}" name="Column4575"/>
    <tableColumn id="4587" xr3:uid="{03168284-CFF5-4BAC-9732-1C85891FD168}" name="Column4576"/>
    <tableColumn id="4588" xr3:uid="{31375385-1984-4B8B-AADC-89AA6AF0E9BD}" name="Column4577"/>
    <tableColumn id="4589" xr3:uid="{AB5988B7-3F24-4A2D-A633-2567533BAEAA}" name="Column4578"/>
    <tableColumn id="4590" xr3:uid="{F605FC6F-37AF-4131-8247-E70FEE9B540B}" name="Column4579"/>
    <tableColumn id="4591" xr3:uid="{1BEF7266-5D29-4FCE-BC76-41D66B5A03D7}" name="Column4580"/>
    <tableColumn id="4592" xr3:uid="{BBD0C81A-B27D-4F8B-B3EA-38087A4891B5}" name="Column4581"/>
    <tableColumn id="4593" xr3:uid="{52171A5E-C134-4FB2-A403-F4DE26355790}" name="Column4582"/>
    <tableColumn id="4594" xr3:uid="{8F847181-3A67-45C1-BCD4-17687A4F9931}" name="Column4583"/>
    <tableColumn id="4595" xr3:uid="{FA2AD8E9-DE2F-48A0-A563-F7DF3820CB4E}" name="Column4584"/>
    <tableColumn id="4596" xr3:uid="{585C9AA1-1A53-4971-AD8A-65F9942D4215}" name="Column4585"/>
    <tableColumn id="4597" xr3:uid="{7CEC84E9-CA8E-4961-875E-75C6E2E73C66}" name="Column4586"/>
    <tableColumn id="4598" xr3:uid="{035A75C7-34ED-40E0-9378-5A8126579172}" name="Column4587"/>
    <tableColumn id="4599" xr3:uid="{691092DD-F9A1-4B08-BE49-39423BEABC55}" name="Column4588"/>
    <tableColumn id="4600" xr3:uid="{E19F21D1-04B4-4FE2-9F8E-8C19EAFA4CB0}" name="Column4589"/>
    <tableColumn id="4601" xr3:uid="{D4F7C333-5AAB-45F4-A5DE-2DC46247CB6C}" name="Column4590"/>
    <tableColumn id="4602" xr3:uid="{D0623A5C-48AD-41BA-9AFF-13B8845027FB}" name="Column4591"/>
    <tableColumn id="4603" xr3:uid="{A7EA1D7E-D1E9-4232-BA67-DBD5D0BF40ED}" name="Column4592"/>
    <tableColumn id="4604" xr3:uid="{7D97C734-9E07-4AB6-916B-C29F604D46EB}" name="Column4593"/>
    <tableColumn id="4605" xr3:uid="{70FB823E-5479-4A7C-881D-FF10BB52D8F0}" name="Column4594"/>
    <tableColumn id="4606" xr3:uid="{B887BFBB-EDAC-4750-9A2C-5F1B03689B2A}" name="Column4595"/>
    <tableColumn id="4607" xr3:uid="{1B2930F3-8FDA-480A-A0E7-89164E8AD398}" name="Column4596"/>
    <tableColumn id="4608" xr3:uid="{104DF3C7-78C4-40EB-89A9-579EAD4A35FB}" name="Column4597"/>
    <tableColumn id="4609" xr3:uid="{2FC7CD5C-5C23-4B38-B07B-1F47BA15FB03}" name="Column4598"/>
    <tableColumn id="4610" xr3:uid="{099199CE-4D5F-45D6-9C6F-4110D354E993}" name="Column4599"/>
    <tableColumn id="4611" xr3:uid="{CBC28E6B-E048-48C1-A570-54255138F7BD}" name="Column4600"/>
    <tableColumn id="4612" xr3:uid="{A0A87A15-B27C-4D75-A600-6DFA51DF9157}" name="Column4601"/>
    <tableColumn id="4613" xr3:uid="{FBB40377-56BA-4A8E-9023-BCAABCB09DD3}" name="Column4602"/>
    <tableColumn id="4614" xr3:uid="{993589F6-7899-436E-868C-2028287C8D04}" name="Column4603"/>
    <tableColumn id="4615" xr3:uid="{C3487C1B-37C9-4A66-B3FA-9B28417170A9}" name="Column4604"/>
    <tableColumn id="4616" xr3:uid="{7EE8EB40-7DE7-4153-88C9-8A667EC6B064}" name="Column4605"/>
    <tableColumn id="4617" xr3:uid="{D0A04A8F-D69E-4D67-9086-0EFE1F7C65DC}" name="Column4606"/>
    <tableColumn id="4618" xr3:uid="{974F53A9-B2D7-499C-AA51-5C0581DD2789}" name="Column4607"/>
    <tableColumn id="4619" xr3:uid="{186F2B23-9F67-455A-8089-EEBC32CFD7F4}" name="Column4608"/>
    <tableColumn id="4620" xr3:uid="{54FA3B69-8E04-4AE9-9F67-F9FAB3DF1727}" name="Column4609"/>
    <tableColumn id="4621" xr3:uid="{CF675A55-9728-4753-8995-22A1955AB495}" name="Column4610"/>
    <tableColumn id="4622" xr3:uid="{51D8791F-3934-4A10-B282-217480D51139}" name="Column4611"/>
    <tableColumn id="4623" xr3:uid="{EF2A261D-D0EF-4867-8ECA-F3E3CE61E886}" name="Column4612"/>
    <tableColumn id="4624" xr3:uid="{AF7D167C-6D2A-4CF4-B960-33E88101B268}" name="Column4613"/>
    <tableColumn id="4625" xr3:uid="{644CBC14-4F29-46BA-BE99-54D383BB641B}" name="Column4614"/>
    <tableColumn id="4626" xr3:uid="{A57AB025-41BB-4720-ABE7-67C6641F76C4}" name="Column4615"/>
    <tableColumn id="4627" xr3:uid="{5FFADB6A-95E1-41A3-B3B8-4301D72208EB}" name="Column4616"/>
    <tableColumn id="4628" xr3:uid="{80196EBB-6E2E-412D-92F2-260E75304EF2}" name="Column4617"/>
    <tableColumn id="4629" xr3:uid="{E5C1CF78-4FF0-4B8D-A25A-AEAD4AC685F5}" name="Column4618"/>
    <tableColumn id="4630" xr3:uid="{F60F6DEE-82B1-44C4-8810-68A47AA0FF0F}" name="Column4619"/>
    <tableColumn id="4631" xr3:uid="{2FA5CC49-BD20-4A4C-A4F2-C1536AE17D77}" name="Column4620"/>
    <tableColumn id="4632" xr3:uid="{50BB333E-BF28-4E0E-96C3-4A5E228E2F11}" name="Column4621"/>
    <tableColumn id="4633" xr3:uid="{54BEF21B-B4A7-4E1F-9EC9-8F887F544EEE}" name="Column4622"/>
    <tableColumn id="4634" xr3:uid="{44508C5F-AD30-4AF5-913A-83B76726925E}" name="Column4623"/>
    <tableColumn id="4635" xr3:uid="{B6C0DDE4-D325-4BF6-BC47-B147AA803D85}" name="Column4624"/>
    <tableColumn id="4636" xr3:uid="{4F1A8918-8DA2-484C-9077-849E8D22BFE6}" name="Column4625"/>
    <tableColumn id="4637" xr3:uid="{3687559D-9BE5-4E66-A571-593D9212449B}" name="Column4626"/>
    <tableColumn id="4638" xr3:uid="{615C5133-BB19-4DCE-8FCF-4EAF64A6267E}" name="Column4627"/>
    <tableColumn id="4639" xr3:uid="{F57B0F2F-745D-4828-B32D-7688B72DDB59}" name="Column4628"/>
    <tableColumn id="4640" xr3:uid="{2A37BF11-1AFF-4498-BB79-DD4B0563A06A}" name="Column4629"/>
    <tableColumn id="4641" xr3:uid="{2FC19AB5-C12D-4A4D-807F-7181A2C8C185}" name="Column4630"/>
    <tableColumn id="4642" xr3:uid="{8A76A3A5-1D64-4791-BEBE-95097BDDB687}" name="Column4631"/>
    <tableColumn id="4643" xr3:uid="{C463008E-7CFA-4CAD-A086-73D4BFDBE027}" name="Column4632"/>
    <tableColumn id="4644" xr3:uid="{67E3D374-1388-40B7-9AC2-5E4BADAA2FA1}" name="Column4633"/>
    <tableColumn id="4645" xr3:uid="{8EEB581B-42C7-4601-A0AB-D41723E9A76E}" name="Column4634"/>
    <tableColumn id="4646" xr3:uid="{753E21EC-6B9E-440C-88D9-093577C9FB51}" name="Column4635"/>
    <tableColumn id="4647" xr3:uid="{D0BEC435-11FD-4BEA-94B9-3CD9312AFCCA}" name="Column4636"/>
    <tableColumn id="4648" xr3:uid="{2357CC30-FBFB-4E69-88DD-6016B6CAE448}" name="Column4637"/>
    <tableColumn id="4649" xr3:uid="{F843097C-BDC9-43DB-96BC-823263887FBB}" name="Column4638"/>
    <tableColumn id="4650" xr3:uid="{317EA443-5205-4A90-9784-1AB955F226E1}" name="Column4639"/>
    <tableColumn id="4651" xr3:uid="{5E0126A1-AD31-4432-AC73-72947628D3A9}" name="Column4640"/>
    <tableColumn id="4652" xr3:uid="{2F47AEBB-87AD-4204-8AC5-3AA4568FB850}" name="Column4641"/>
    <tableColumn id="4653" xr3:uid="{988157F4-F023-4944-82E5-A1C01ED91CC0}" name="Column4642"/>
    <tableColumn id="4654" xr3:uid="{FF23ECBD-A64F-4B12-B2D3-20B8BCC3D5E4}" name="Column4643"/>
    <tableColumn id="4655" xr3:uid="{D40174EA-0ACA-4F9E-90E9-5F5EA7D006CB}" name="Column4644"/>
    <tableColumn id="4656" xr3:uid="{F5988709-C41A-4B2A-B7A2-2946FBEFF98A}" name="Column4645"/>
    <tableColumn id="4657" xr3:uid="{D6EDE1CF-C60D-4C89-AA60-B0E48D97529B}" name="Column4646"/>
    <tableColumn id="4658" xr3:uid="{12E109F8-2B13-4BFE-8165-44C275DA4400}" name="Column4647"/>
    <tableColumn id="4659" xr3:uid="{F81DE20E-0FBB-4466-A6F6-14A66B33B316}" name="Column4648"/>
    <tableColumn id="4660" xr3:uid="{42C9C481-EFFE-4055-9922-4A485E998F13}" name="Column4649"/>
    <tableColumn id="4661" xr3:uid="{F3EFC731-2582-45C3-9448-A72B788286AF}" name="Column4650"/>
    <tableColumn id="4662" xr3:uid="{12E98264-EA27-4CCD-9D15-B0D48C2A54AE}" name="Column4651"/>
    <tableColumn id="4663" xr3:uid="{27878C27-F3F5-40F3-B441-16E690F938A9}" name="Column4652"/>
    <tableColumn id="4664" xr3:uid="{260FCEC2-AC06-40E0-937B-A701F9D10C94}" name="Column4653"/>
    <tableColumn id="4665" xr3:uid="{A8F06447-A0DE-4635-8C62-095D2D2AA7DC}" name="Column4654"/>
    <tableColumn id="4666" xr3:uid="{1C56BE44-CCB6-4E88-A99A-9B9EF9C4BCC4}" name="Column4655"/>
    <tableColumn id="4667" xr3:uid="{73C6EF79-AF62-4BC8-B00C-217E2D138F7C}" name="Column4656"/>
    <tableColumn id="4668" xr3:uid="{0080BA13-035B-40D4-B8EA-7BEB6F98C74C}" name="Column4657"/>
    <tableColumn id="4669" xr3:uid="{BD43B385-9431-40B9-922F-6F8D33D30468}" name="Column4658"/>
    <tableColumn id="4670" xr3:uid="{62A168A5-6444-477C-85A7-760B9E004932}" name="Column4659"/>
    <tableColumn id="4671" xr3:uid="{BC33F8C9-5092-4DA3-8832-E333ECD41D46}" name="Column4660"/>
    <tableColumn id="4672" xr3:uid="{35867B19-5613-48A8-AA26-F0272730FADF}" name="Column4661"/>
    <tableColumn id="4673" xr3:uid="{D44D4EBB-8BFE-44AC-9348-0C051910D9A5}" name="Column4662"/>
    <tableColumn id="4674" xr3:uid="{7D476689-5EBF-4058-8FFA-3D693F665148}" name="Column4663"/>
    <tableColumn id="4675" xr3:uid="{479E1F17-AEB2-4452-A899-D47293AFEDC8}" name="Column4664"/>
    <tableColumn id="4676" xr3:uid="{39FBA3FB-AFC3-4C4A-9C4F-4F38C3DCC808}" name="Column4665"/>
    <tableColumn id="4677" xr3:uid="{A9ABCBEE-05EA-4D42-A837-3606B172353C}" name="Column4666"/>
    <tableColumn id="4678" xr3:uid="{506404E1-5D22-47B9-9C60-5FF8F879E17D}" name="Column4667"/>
    <tableColumn id="4679" xr3:uid="{213AE7AF-2034-4B79-84D2-47848A83DF0A}" name="Column4668"/>
    <tableColumn id="4680" xr3:uid="{269177F9-ED1F-4340-A78C-B9098BB7470C}" name="Column4669"/>
    <tableColumn id="4681" xr3:uid="{76BD62AC-B68D-4874-9630-D59869E3EE9D}" name="Column4670"/>
    <tableColumn id="4682" xr3:uid="{C75E3515-C857-4E54-9D01-E4FC4F16B4BA}" name="Column4671"/>
    <tableColumn id="4683" xr3:uid="{939107AF-0C03-4C60-85AF-6AA1B724C0D5}" name="Column4672"/>
    <tableColumn id="4684" xr3:uid="{0F456EC3-2CF2-4457-BF7B-3AA8372E2411}" name="Column4673"/>
    <tableColumn id="4685" xr3:uid="{DED90978-9EB1-4458-AF77-049A7665EEA5}" name="Column4674"/>
    <tableColumn id="4686" xr3:uid="{4638C1BF-94A1-4D34-BE0F-6EF62E7580E9}" name="Column4675"/>
    <tableColumn id="4687" xr3:uid="{3DDC45D9-8F30-4E4A-9D8C-BA9FF84E759B}" name="Column4676"/>
    <tableColumn id="4688" xr3:uid="{67932A88-EBDE-4C07-A4D0-02A6BB019236}" name="Column4677"/>
    <tableColumn id="4689" xr3:uid="{B8E25C42-E147-4477-9687-33D2E6721205}" name="Column4678"/>
    <tableColumn id="4690" xr3:uid="{84A513D1-57A3-48F2-8047-2083137D7C85}" name="Column4679"/>
    <tableColumn id="4691" xr3:uid="{0F90E53D-FF2B-49DC-A495-6B5CD5B51AA3}" name="Column4680"/>
    <tableColumn id="4692" xr3:uid="{B9046CD9-1B74-49B5-BECC-5E97E2209984}" name="Column4681"/>
    <tableColumn id="4693" xr3:uid="{1F1A0048-86F2-4E0D-A1EA-B32903BA6217}" name="Column4682"/>
    <tableColumn id="4694" xr3:uid="{E9658A62-5FF8-46DE-92E1-698FC47D3809}" name="Column4683"/>
    <tableColumn id="4695" xr3:uid="{4281E656-BE49-4243-B2BB-D458E573CDD3}" name="Column4684"/>
    <tableColumn id="4696" xr3:uid="{B473473B-AEEA-49BA-9A1C-9B795406C8DD}" name="Column4685"/>
    <tableColumn id="4697" xr3:uid="{AF032BB2-252C-4EC1-A01E-0B14A6D44D54}" name="Column4686"/>
    <tableColumn id="4698" xr3:uid="{AD447E07-C6BD-4DE8-85CF-811EE5641E73}" name="Column4687"/>
    <tableColumn id="4699" xr3:uid="{37B505D9-5130-4E38-B278-FB5353DE7A14}" name="Column4688"/>
    <tableColumn id="4700" xr3:uid="{2D120D18-7E59-4C3B-ADFE-36C1B4E31A2A}" name="Column4689"/>
    <tableColumn id="4701" xr3:uid="{3E5A5244-AAF2-4CB5-8FEF-041EDB3950E3}" name="Column4690"/>
    <tableColumn id="4702" xr3:uid="{4788B903-F25B-45DE-B7EF-CCFB09E564E2}" name="Column4691"/>
    <tableColumn id="4703" xr3:uid="{F923279B-9A4E-4362-B029-3208D1D99CEA}" name="Column4692"/>
    <tableColumn id="4704" xr3:uid="{1BE92D0F-4DAC-4465-B4C4-CF5958A03CE6}" name="Column4693"/>
    <tableColumn id="4705" xr3:uid="{7F94A12D-A267-4AC6-AC02-39FEF6F8A0C1}" name="Column4694"/>
    <tableColumn id="4706" xr3:uid="{FD154B57-B49B-443D-8693-07ACF2ECB0E0}" name="Column4695"/>
    <tableColumn id="4707" xr3:uid="{26D0D2DC-73EA-45F0-B501-11D373731C6A}" name="Column4696"/>
    <tableColumn id="4708" xr3:uid="{DE56900E-AEEB-48BD-BC97-C23BFE6B4A2F}" name="Column4697"/>
    <tableColumn id="4709" xr3:uid="{BBCBFBEB-0152-42A5-8B8A-A6439BB85984}" name="Column4698"/>
    <tableColumn id="4710" xr3:uid="{AE927D29-FB21-4711-A53C-6AC741146EE3}" name="Column4699"/>
    <tableColumn id="4711" xr3:uid="{493C0B72-8A55-4E4C-BEE8-61B2A979EFD0}" name="Column4700"/>
    <tableColumn id="4712" xr3:uid="{8631643E-00D0-4D87-AB64-9ED46C87436A}" name="Column4701"/>
    <tableColumn id="4713" xr3:uid="{9998A0EE-3576-4FFE-B85D-996CAF15E452}" name="Column4702"/>
    <tableColumn id="4714" xr3:uid="{D99279AF-8E28-4A86-9579-213133B659DA}" name="Column4703"/>
    <tableColumn id="4715" xr3:uid="{7DFE6FB8-416E-40D4-A604-5C42325DE72F}" name="Column4704"/>
    <tableColumn id="4716" xr3:uid="{4DED57BC-445E-4F2C-AF43-6F5E47935E1D}" name="Column4705"/>
    <tableColumn id="4717" xr3:uid="{52B96B32-DF30-40D6-998E-7229BD8501D1}" name="Column4706"/>
    <tableColumn id="4718" xr3:uid="{165907B7-72E9-4170-85A7-78A7287F2B0C}" name="Column4707"/>
    <tableColumn id="4719" xr3:uid="{150255AA-E9EE-471B-8889-DB52D30E145A}" name="Column4708"/>
    <tableColumn id="4720" xr3:uid="{ED52D8C3-003B-4B1A-BB91-F2198E981D6E}" name="Column4709"/>
    <tableColumn id="4721" xr3:uid="{700D44EC-43B8-4426-BD6D-EC1ADE4EF869}" name="Column4710"/>
    <tableColumn id="4722" xr3:uid="{2B05E4C1-11C8-49C7-8425-AF8227E84F04}" name="Column4711"/>
    <tableColumn id="4723" xr3:uid="{05E151F6-54A3-4CCD-8C79-CFBBF158ECFC}" name="Column4712"/>
    <tableColumn id="4724" xr3:uid="{2F8BEB77-FC5B-487C-A1B6-03108ABB20A3}" name="Column4713"/>
    <tableColumn id="4725" xr3:uid="{D9BB0A34-1324-43D7-B081-E3A5AB376EB6}" name="Column4714"/>
    <tableColumn id="4726" xr3:uid="{84856F26-4D2A-40F7-8F4F-81BFFABDF848}" name="Column4715"/>
    <tableColumn id="4727" xr3:uid="{45020557-1E56-486C-AB6C-5042DDDB3FDA}" name="Column4716"/>
    <tableColumn id="4728" xr3:uid="{5D4FACDF-0611-4CF9-A576-0CBAF9B849E4}" name="Column4717"/>
    <tableColumn id="4729" xr3:uid="{F00964CC-EA02-45A9-A492-F1C7E41942A3}" name="Column4718"/>
    <tableColumn id="4730" xr3:uid="{41A2D6E4-220C-4C11-A0D2-E5E8852D5974}" name="Column4719"/>
    <tableColumn id="4731" xr3:uid="{1313050A-470B-419C-83CA-8F7339AA848F}" name="Column4720"/>
    <tableColumn id="4732" xr3:uid="{72C75AF2-BC22-4414-8B69-735ED44BB42D}" name="Column4721"/>
    <tableColumn id="4733" xr3:uid="{41A6DBA8-BCAF-4367-AEE5-057A9E897438}" name="Column4722"/>
    <tableColumn id="4734" xr3:uid="{408C728B-5992-4F52-9DC6-5D468D9B89F5}" name="Column4723"/>
    <tableColumn id="4735" xr3:uid="{0BD59FCE-4E22-4DD5-A9BD-79AEB1AC3C5C}" name="Column4724"/>
    <tableColumn id="4736" xr3:uid="{BF20FAC3-5BCA-4366-81D4-0A5637661A59}" name="Column4725"/>
    <tableColumn id="4737" xr3:uid="{6F85393F-AF82-4E53-A236-D6DCEC90CDD7}" name="Column4726"/>
    <tableColumn id="4738" xr3:uid="{378E7E5C-BA74-45C9-8398-0F79DB58C3FD}" name="Column4727"/>
    <tableColumn id="4739" xr3:uid="{A7E2F3CD-B2FB-4FAA-B485-2F1FC90026E0}" name="Column4728"/>
    <tableColumn id="4740" xr3:uid="{1E39A8C9-DA23-4801-8A0D-AF432BF96F1F}" name="Column4729"/>
    <tableColumn id="4741" xr3:uid="{03BB8E21-D33E-4206-82C2-0E2700CF6A8C}" name="Column4730"/>
    <tableColumn id="4742" xr3:uid="{E81DFE15-05AE-421A-A32A-C4AE146CA759}" name="Column4731"/>
    <tableColumn id="4743" xr3:uid="{DD157E6F-9446-4FE7-B9E6-8B0C092A5692}" name="Column4732"/>
    <tableColumn id="4744" xr3:uid="{28502043-5592-46DA-A73F-D2DA8E871E26}" name="Column4733"/>
    <tableColumn id="4745" xr3:uid="{AFDC290E-24DB-4D8A-879C-1FA93A6003FD}" name="Column4734"/>
    <tableColumn id="4746" xr3:uid="{C81E11C6-1635-48E7-B5E4-49F2CCE89C89}" name="Column4735"/>
    <tableColumn id="4747" xr3:uid="{C2C1D834-DAD5-4184-9B51-98870917B4BD}" name="Column4736"/>
    <tableColumn id="4748" xr3:uid="{E8609592-D654-464E-8A45-352DFAEF79F8}" name="Column4737"/>
    <tableColumn id="4749" xr3:uid="{0DCA9F86-D0A5-462C-9B28-29E508F2A8C5}" name="Column4738"/>
    <tableColumn id="4750" xr3:uid="{18E7692F-EBA5-4192-8AA1-5218EF36C63D}" name="Column4739"/>
    <tableColumn id="4751" xr3:uid="{6BBC3B7B-1447-493C-BEE7-ADABC81D184B}" name="Column4740"/>
    <tableColumn id="4752" xr3:uid="{3E34F2E2-7978-4A28-A896-DE145E203EB9}" name="Column4741"/>
    <tableColumn id="4753" xr3:uid="{930BBDB9-EE89-477D-B692-449720BCA8BD}" name="Column4742"/>
    <tableColumn id="4754" xr3:uid="{0059962C-73A3-41EF-BA71-66964AE970C0}" name="Column4743"/>
    <tableColumn id="4755" xr3:uid="{B901C703-6EA6-4074-BD33-0048037D7CB3}" name="Column4744"/>
    <tableColumn id="4756" xr3:uid="{19CF44FC-3BA1-489C-A1F8-1C12A1D762DB}" name="Column4745"/>
    <tableColumn id="4757" xr3:uid="{73F8449A-D2AD-4A68-BBCC-B4894F8AF1D1}" name="Column4746"/>
    <tableColumn id="4758" xr3:uid="{3E891545-DF1F-4AD5-9028-3683786F401D}" name="Column4747"/>
    <tableColumn id="4759" xr3:uid="{7C926C4F-1537-4564-82B2-8232D04EB4EF}" name="Column4748"/>
    <tableColumn id="4760" xr3:uid="{FCF4E1A9-621B-4EC9-ABC8-7253357A7889}" name="Column4749"/>
    <tableColumn id="4761" xr3:uid="{C61E74AC-4852-4DFB-AABE-722173E245E4}" name="Column4750"/>
    <tableColumn id="4762" xr3:uid="{7E397EC4-C85A-471E-B5E2-FB206147DD08}" name="Column4751"/>
    <tableColumn id="4763" xr3:uid="{96B10AAE-D578-4271-841C-87716888D772}" name="Column4752"/>
    <tableColumn id="4764" xr3:uid="{5725F2C2-2EEF-43F1-B446-0E5B610137C8}" name="Column4753"/>
    <tableColumn id="4765" xr3:uid="{70CD916D-66C4-4518-AD2F-A35BA831D596}" name="Column4754"/>
    <tableColumn id="4766" xr3:uid="{E89DDE99-9696-4FCE-B32D-917D92D91DF1}" name="Column4755"/>
    <tableColumn id="4767" xr3:uid="{0ACCB32F-79F9-41B6-BF58-3CD03DED240F}" name="Column4756"/>
    <tableColumn id="4768" xr3:uid="{0CA13F7E-9105-4236-87DB-6C8A1B166CEE}" name="Column4757"/>
    <tableColumn id="4769" xr3:uid="{1A4BC010-574C-466F-A8F2-703D263BED65}" name="Column4758"/>
    <tableColumn id="4770" xr3:uid="{FA3BFBCF-17BA-4BC5-99DF-7697163E7816}" name="Column4759"/>
    <tableColumn id="4771" xr3:uid="{40E1E734-D9FF-463A-8500-3004ECFA6488}" name="Column4760"/>
    <tableColumn id="4772" xr3:uid="{104DB234-4446-42AA-B0A3-49883D7133B3}" name="Column4761"/>
    <tableColumn id="4773" xr3:uid="{3890FEB7-32B7-4479-AEC8-3A4F4D8B08F7}" name="Column4762"/>
    <tableColumn id="4774" xr3:uid="{C83975C4-B6B3-412B-BDAC-B8BE81E494F9}" name="Column4763"/>
    <tableColumn id="4775" xr3:uid="{45C13B1D-ED5A-4FF8-8D95-CDA81B445223}" name="Column4764"/>
    <tableColumn id="4776" xr3:uid="{15054634-4BDB-41AF-B03B-12B0B887C2D2}" name="Column4765"/>
    <tableColumn id="4777" xr3:uid="{49E0FDEC-243D-4609-A140-26DCB4292764}" name="Column4766"/>
    <tableColumn id="4778" xr3:uid="{7DEDA853-F668-4A0A-A4E7-9EDA383A79C7}" name="Column4767"/>
    <tableColumn id="4779" xr3:uid="{932CC491-2B46-4DCD-8668-5CE3E67B359B}" name="Column4768"/>
    <tableColumn id="4780" xr3:uid="{2C5C4642-A295-4526-94B0-9E5A74FACDCD}" name="Column4769"/>
    <tableColumn id="4781" xr3:uid="{8B5930D2-23DE-4DB9-9053-EABDE1790A3E}" name="Column4770"/>
    <tableColumn id="4782" xr3:uid="{90845FD4-A566-4410-8124-BD237B5DA203}" name="Column4771"/>
    <tableColumn id="4783" xr3:uid="{864CC146-84CC-48C8-BD5A-FE23A45BA766}" name="Column4772"/>
    <tableColumn id="4784" xr3:uid="{A0A1098D-BE70-48CD-BBFE-87AF21C0F6C6}" name="Column4773"/>
    <tableColumn id="4785" xr3:uid="{8562E36C-0846-4125-B224-B511EF2B6BA5}" name="Column4774"/>
    <tableColumn id="4786" xr3:uid="{0AD29800-3803-4FCB-83EA-1D305AF99B70}" name="Column4775"/>
    <tableColumn id="4787" xr3:uid="{11039546-148E-4C12-8462-630816B8BC2B}" name="Column4776"/>
    <tableColumn id="4788" xr3:uid="{1EE16BBD-3947-482D-A88B-D86802C11CB6}" name="Column4777"/>
    <tableColumn id="4789" xr3:uid="{7E60ADD5-A1AB-4CF8-A935-B4D53634C7E3}" name="Column4778"/>
    <tableColumn id="4790" xr3:uid="{2DF38C75-90F5-4E27-A9B8-069F62DB3733}" name="Column4779"/>
    <tableColumn id="4791" xr3:uid="{8CB67157-ECAE-4B5B-A075-FFBD91A157BD}" name="Column4780"/>
    <tableColumn id="4792" xr3:uid="{9C9E78F5-0361-4378-B0B3-6E28546FAFF9}" name="Column4781"/>
    <tableColumn id="4793" xr3:uid="{B049F5AC-8E48-4C91-A066-8333E81836AE}" name="Column4782"/>
    <tableColumn id="4794" xr3:uid="{D6D879BB-51A8-4287-91EF-51BC5F19899A}" name="Column4783"/>
    <tableColumn id="4795" xr3:uid="{ECA2227E-93E4-4DAC-A7BA-DA78AA95EBB2}" name="Column4784"/>
    <tableColumn id="4796" xr3:uid="{FEC6E0E4-5E7A-45B1-AEBA-8BECA42B1F5B}" name="Column4785"/>
    <tableColumn id="4797" xr3:uid="{0F1A650C-CE47-4E34-9EFB-FD98A3206B29}" name="Column4786"/>
    <tableColumn id="4798" xr3:uid="{E13B8C4C-AEF9-4155-883A-98CF9B9112C9}" name="Column4787"/>
    <tableColumn id="4799" xr3:uid="{0E14FBFB-516C-4E95-BB8F-78BAC6F832F4}" name="Column4788"/>
    <tableColumn id="4800" xr3:uid="{D7F04F90-6EFA-4C71-9FC9-90F5FBBCABCC}" name="Column4789"/>
    <tableColumn id="4801" xr3:uid="{1591963E-482A-4A55-A56E-021151FBAD08}" name="Column4790"/>
    <tableColumn id="4802" xr3:uid="{C41D2974-51C2-4C8A-AB50-BDBAE6835306}" name="Column4791"/>
    <tableColumn id="4803" xr3:uid="{6ACB2439-AF77-461E-BEB3-FC0306072AE0}" name="Column4792"/>
    <tableColumn id="4804" xr3:uid="{64E86853-7026-4EEE-B657-73574B17FB66}" name="Column4793"/>
    <tableColumn id="4805" xr3:uid="{4D45AA54-27ED-425A-A4DA-9D5E1C9A82D3}" name="Column4794"/>
    <tableColumn id="4806" xr3:uid="{20A56D97-3F44-445B-BC97-DD9095CC1C09}" name="Column4795"/>
    <tableColumn id="4807" xr3:uid="{ECBC6167-1871-41B1-A80B-A2D532FED7EB}" name="Column4796"/>
    <tableColumn id="4808" xr3:uid="{6E734A98-7788-4AC3-94CC-FCFF5DF01F9E}" name="Column4797"/>
    <tableColumn id="4809" xr3:uid="{44B7DC8B-20C6-4D1D-BED5-EE7742B8F0D3}" name="Column4798"/>
    <tableColumn id="4810" xr3:uid="{5F2DDEB7-AA6E-40DC-B67B-15BC4CB1E387}" name="Column4799"/>
    <tableColumn id="4811" xr3:uid="{F02827D9-4058-436D-AA65-A6EE5E735521}" name="Column4800"/>
    <tableColumn id="4812" xr3:uid="{755409CC-D700-425E-8F98-64CF38195FB9}" name="Column4801"/>
    <tableColumn id="4813" xr3:uid="{3E94A4D8-0715-487B-A27E-3A75FBBF8A09}" name="Column4802"/>
    <tableColumn id="4814" xr3:uid="{CE0E5DF4-C8E4-4C62-A70B-07E6BE6AE1F5}" name="Column4803"/>
    <tableColumn id="4815" xr3:uid="{34327265-B033-4861-9E52-50857C832EE2}" name="Column4804"/>
    <tableColumn id="4816" xr3:uid="{C53B34C9-DB07-4CDB-A596-91C48E468168}" name="Column4805"/>
    <tableColumn id="4817" xr3:uid="{81FED552-6FCB-4C97-A71C-D589735A7F4F}" name="Column4806"/>
    <tableColumn id="4818" xr3:uid="{C55D243A-A3F3-4D69-B80F-50AE548F9A3F}" name="Column4807"/>
    <tableColumn id="4819" xr3:uid="{C2C44CCC-8481-42A3-87F0-467EE0FA4FFF}" name="Column4808"/>
    <tableColumn id="4820" xr3:uid="{5E827E0E-9520-4F0C-A847-7290AB267E71}" name="Column4809"/>
    <tableColumn id="4821" xr3:uid="{E2101388-1CC2-4AE0-9D26-EAC6EE6DD949}" name="Column4810"/>
    <tableColumn id="4822" xr3:uid="{208B7881-EDE3-4F87-BB15-E34F5199C131}" name="Column4811"/>
    <tableColumn id="4823" xr3:uid="{8D5865AA-5245-49CA-AE41-AAD4FED26C59}" name="Column4812"/>
    <tableColumn id="4824" xr3:uid="{E2BA7CF3-927D-4855-BE13-72C6BE7D1C19}" name="Column4813"/>
    <tableColumn id="4825" xr3:uid="{97914343-24B5-4763-B72E-75FCFDD210E1}" name="Column4814"/>
    <tableColumn id="4826" xr3:uid="{2AF60970-F4E0-4579-9312-22387580ECD1}" name="Column4815"/>
    <tableColumn id="4827" xr3:uid="{D4CFB227-1429-470D-AFC0-789712B01DB1}" name="Column4816"/>
    <tableColumn id="4828" xr3:uid="{5B411942-B5CA-4EFD-8BBE-DD46E394178A}" name="Column4817"/>
    <tableColumn id="4829" xr3:uid="{B6CDF800-47AC-4AD2-88BF-FEBBBF84761E}" name="Column4818"/>
    <tableColumn id="4830" xr3:uid="{98682932-92D6-4B70-BC4E-9E4D11AF8927}" name="Column4819"/>
    <tableColumn id="4831" xr3:uid="{A0518EFF-48F4-42BA-9341-49667EEDC927}" name="Column4820"/>
    <tableColumn id="4832" xr3:uid="{AD51BD87-5AA5-482D-A204-09AC9EFE5E89}" name="Column4821"/>
    <tableColumn id="4833" xr3:uid="{B34C1B7F-A59E-4F26-9D10-C88E21A4BC93}" name="Column4822"/>
    <tableColumn id="4834" xr3:uid="{F2F70E1A-8CBD-40F3-B85A-840253DA5677}" name="Column4823"/>
    <tableColumn id="4835" xr3:uid="{59F5E961-1F38-4FFD-A94E-DC4948CB842D}" name="Column4824"/>
    <tableColumn id="4836" xr3:uid="{979B3D0C-2A8C-41DB-9AF2-05B7911D3924}" name="Column4825"/>
    <tableColumn id="4837" xr3:uid="{A26262C6-69B7-4446-B236-2AA34F0B0837}" name="Column4826"/>
    <tableColumn id="4838" xr3:uid="{D1811269-4840-4623-ACE4-687DE4015EF6}" name="Column4827"/>
    <tableColumn id="4839" xr3:uid="{B53346CD-643F-4DEE-ADD5-99A329AE4662}" name="Column4828"/>
    <tableColumn id="4840" xr3:uid="{E37E2CB6-3527-4EAE-AB9C-0EBA00AFF7EB}" name="Column4829"/>
    <tableColumn id="4841" xr3:uid="{6AA5783C-1604-484F-AFD8-AC787CC30FBC}" name="Column4830"/>
    <tableColumn id="4842" xr3:uid="{5048A2E7-D101-4218-82A2-897F60D4B0DA}" name="Column4831"/>
    <tableColumn id="4843" xr3:uid="{23F00053-1B7A-406F-9D48-7A582B260A43}" name="Column4832"/>
    <tableColumn id="4844" xr3:uid="{A4EE91C1-D6ED-4237-8B82-3141F46F1B61}" name="Column4833"/>
    <tableColumn id="4845" xr3:uid="{F075C7F4-0152-4260-9DB9-6263DE2BD606}" name="Column4834"/>
    <tableColumn id="4846" xr3:uid="{59BB0D04-F5A0-4389-8575-3AFF8F0DC1CE}" name="Column4835"/>
    <tableColumn id="4847" xr3:uid="{071D67F1-60AC-4B87-849E-CE2D6D503B25}" name="Column4836"/>
    <tableColumn id="4848" xr3:uid="{2DEFB282-1AD1-418F-813D-23F0E8DE48B8}" name="Column4837"/>
    <tableColumn id="4849" xr3:uid="{16337FE6-C138-400E-8837-89E1937E27E1}" name="Column4838"/>
    <tableColumn id="4850" xr3:uid="{2C1FE268-A0A6-4391-A351-037CBD8C962B}" name="Column4839"/>
    <tableColumn id="4851" xr3:uid="{37652A98-8B43-4A24-854E-6CE8E0D35572}" name="Column4840"/>
    <tableColumn id="4852" xr3:uid="{11A88CB4-DF7F-4E22-A02C-938A486C0CFA}" name="Column4841"/>
    <tableColumn id="4853" xr3:uid="{790F203C-3B3A-445D-8DD0-E0977A0E9414}" name="Column4842"/>
    <tableColumn id="4854" xr3:uid="{CE000551-CDBB-4750-9EA3-6897D547CF1F}" name="Column4843"/>
    <tableColumn id="4855" xr3:uid="{B24B62CE-27B1-4E21-9F0A-C6FC9812AF6E}" name="Column4844"/>
    <tableColumn id="4856" xr3:uid="{3D78E0DB-E855-4AFA-8E32-5F1C001B1565}" name="Column4845"/>
    <tableColumn id="4857" xr3:uid="{4C0ACE34-60EC-4022-83A0-1088C450C82D}" name="Column4846"/>
    <tableColumn id="4858" xr3:uid="{B1A8A83F-1E20-49E8-8955-8EBA28199431}" name="Column4847"/>
    <tableColumn id="4859" xr3:uid="{5D7B642E-0313-467A-88A3-3E649E7CA412}" name="Column4848"/>
    <tableColumn id="4860" xr3:uid="{DB2D8EA5-4829-4118-9E1A-7930B15EBA0C}" name="Column4849"/>
    <tableColumn id="4861" xr3:uid="{4F4DF84D-90D0-40B5-A1AC-14DA302763FE}" name="Column4850"/>
    <tableColumn id="4862" xr3:uid="{513AC5A8-EAD8-4042-BB8A-72CFD974D874}" name="Column4851"/>
    <tableColumn id="4863" xr3:uid="{F13A07CE-209F-464A-8D99-A9E0ABE77584}" name="Column4852"/>
    <tableColumn id="4864" xr3:uid="{374A0195-D7E8-4225-B7DA-F6E0A1339B04}" name="Column4853"/>
    <tableColumn id="4865" xr3:uid="{3E490D06-F812-4CBD-AA0A-CDEDA39AA829}" name="Column4854"/>
    <tableColumn id="4866" xr3:uid="{EEAE94A1-8303-484C-8C14-75E5F8AC8A97}" name="Column4855"/>
    <tableColumn id="4867" xr3:uid="{B2FECF5C-9854-4DD4-A474-0478A5214140}" name="Column4856"/>
    <tableColumn id="4868" xr3:uid="{DF964F70-3D8A-4E46-BC55-5591F62AD32F}" name="Column4857"/>
    <tableColumn id="4869" xr3:uid="{AC48ECA3-1C7A-4518-9A09-96E67D96274C}" name="Column4858"/>
    <tableColumn id="4870" xr3:uid="{927692A0-6D11-42D7-9415-9FD3BA279023}" name="Column4859"/>
    <tableColumn id="4871" xr3:uid="{1F4E4922-0915-4C75-9C2F-7498D64AF52D}" name="Column4860"/>
    <tableColumn id="4872" xr3:uid="{28EFE59E-42B4-4F9F-97FE-B1ABB2A0664F}" name="Column4861"/>
    <tableColumn id="4873" xr3:uid="{60911FAC-B1E0-470C-9D99-1D3D039081CE}" name="Column4862"/>
    <tableColumn id="4874" xr3:uid="{79BC735B-EB5C-4137-BFBD-9C0215835E27}" name="Column4863"/>
    <tableColumn id="4875" xr3:uid="{48A11C82-6E22-472F-986D-B1C88E79AF28}" name="Column4864"/>
    <tableColumn id="4876" xr3:uid="{0A203B0B-7906-4D70-8FFB-5B69D796A31B}" name="Column4865"/>
    <tableColumn id="4877" xr3:uid="{D2146FEE-BDD1-4231-AAB6-B68366ADABC4}" name="Column4866"/>
    <tableColumn id="4878" xr3:uid="{75D704E6-828C-4A95-81BF-D718232779E2}" name="Column4867"/>
    <tableColumn id="4879" xr3:uid="{88602586-F613-49A6-9CAA-5B4266FAA8ED}" name="Column4868"/>
    <tableColumn id="4880" xr3:uid="{C3F642A6-E86C-45F0-A639-30F8EC2D7923}" name="Column4869"/>
    <tableColumn id="4881" xr3:uid="{393D1714-50A8-430B-8A95-22A67EA88720}" name="Column4870"/>
    <tableColumn id="4882" xr3:uid="{017FDF4D-491E-4E83-9B85-9DCCBF3E1A13}" name="Column4871"/>
    <tableColumn id="4883" xr3:uid="{18782CAC-CCE7-4E3C-A1EC-997634099FFC}" name="Column4872"/>
    <tableColumn id="4884" xr3:uid="{DC57BC6F-8FD3-4223-987D-4941B3CAE137}" name="Column4873"/>
    <tableColumn id="4885" xr3:uid="{059CF616-E0A5-43E8-9D01-0F6D23955260}" name="Column4874"/>
    <tableColumn id="4886" xr3:uid="{0E016D46-6B14-4A7C-872E-0A8435AE711D}" name="Column4875"/>
    <tableColumn id="4887" xr3:uid="{0E16431B-382B-4325-8E95-D8BD5CB1C125}" name="Column4876"/>
    <tableColumn id="4888" xr3:uid="{F67AD0AA-BBE2-48B4-AB44-67788803FC27}" name="Column4877"/>
    <tableColumn id="4889" xr3:uid="{55332A1F-4AC2-47E8-BCAB-314A10666864}" name="Column4878"/>
    <tableColumn id="4890" xr3:uid="{E15BD436-DEFA-4E64-B5FC-C7A25D2DD629}" name="Column4879"/>
    <tableColumn id="4891" xr3:uid="{2B4936E4-CD7C-4732-BEB6-54D23FF91E73}" name="Column4880"/>
    <tableColumn id="4892" xr3:uid="{388B82DB-9596-4292-BA07-F41E9478100B}" name="Column4881"/>
    <tableColumn id="4893" xr3:uid="{94FF59F3-1D7A-4DD6-B388-22A89BF28D22}" name="Column4882"/>
    <tableColumn id="4894" xr3:uid="{DA879371-AD1C-4F60-9F71-8E092F8DA868}" name="Column4883"/>
    <tableColumn id="4895" xr3:uid="{8A56FA25-1969-4A16-896A-1E0A805BCB5F}" name="Column4884"/>
    <tableColumn id="4896" xr3:uid="{7911EB8B-2C0D-4054-B46D-630E37E17D52}" name="Column4885"/>
    <tableColumn id="4897" xr3:uid="{8C9673EE-C174-47A0-BA61-F196C1D096A5}" name="Column4886"/>
    <tableColumn id="4898" xr3:uid="{EAA1DA2A-F055-4EBA-BB68-2AAEFD4C93A7}" name="Column4887"/>
    <tableColumn id="4899" xr3:uid="{2773C06E-3F6A-4E35-855F-E67AF4B8414D}" name="Column4888"/>
    <tableColumn id="4900" xr3:uid="{4758736A-1CC1-4EB9-9997-DA99EFE75C1A}" name="Column4889"/>
    <tableColumn id="4901" xr3:uid="{7F099293-DE95-4706-BE7F-E2CDC8B31DE2}" name="Column4890"/>
    <tableColumn id="4902" xr3:uid="{85BF39C1-7677-406F-821D-A034D2776431}" name="Column4891"/>
    <tableColumn id="4903" xr3:uid="{CF751B79-2914-468F-B60E-156B2779B3DF}" name="Column4892"/>
    <tableColumn id="4904" xr3:uid="{056DFB94-8AA8-45F3-9B28-A4551FA22C55}" name="Column4893"/>
    <tableColumn id="4905" xr3:uid="{17D4C1E4-F268-4D64-A450-9186CFAF0780}" name="Column4894"/>
    <tableColumn id="4906" xr3:uid="{50024FB5-20D4-4A23-A241-CC0624913489}" name="Column4895"/>
    <tableColumn id="4907" xr3:uid="{1F21E371-C71F-48B8-BBB4-5E6FA2FF5743}" name="Column4896"/>
    <tableColumn id="4908" xr3:uid="{9F3A05EA-4684-4A44-B910-465B2218C5E4}" name="Column4897"/>
    <tableColumn id="4909" xr3:uid="{3506DB1E-0C3B-4186-B631-7416CB68BB47}" name="Column4898"/>
    <tableColumn id="4910" xr3:uid="{E1C6319F-8BA1-43D6-8EEF-DAC4B6F0F6A7}" name="Column4899"/>
    <tableColumn id="4911" xr3:uid="{C4700975-1488-4B4F-A686-E98241BFA77E}" name="Column4900"/>
    <tableColumn id="4912" xr3:uid="{0B2D1210-4733-45AF-96A4-8AF70F29D3AC}" name="Column4901"/>
    <tableColumn id="4913" xr3:uid="{6F90DB64-4C1F-40FA-89FD-569BDA1C6B95}" name="Column4902"/>
    <tableColumn id="4914" xr3:uid="{7B4CFD02-3251-4C0E-82F6-0F7F12AD0879}" name="Column4903"/>
    <tableColumn id="4915" xr3:uid="{8265A333-D4A3-4955-96C4-7CF423E16EC4}" name="Column4904"/>
    <tableColumn id="4916" xr3:uid="{22AF1E58-655B-4BD0-A53E-3A05A0A3C87D}" name="Column4905"/>
    <tableColumn id="4917" xr3:uid="{81423110-8342-4BA1-918B-FC9547A28B6C}" name="Column4906"/>
    <tableColumn id="4918" xr3:uid="{5B3B7A78-9560-497A-B24E-512C0DE2440E}" name="Column4907"/>
    <tableColumn id="4919" xr3:uid="{9DC1320B-F7A8-401E-AB49-BCACF781573A}" name="Column4908"/>
    <tableColumn id="4920" xr3:uid="{7DA41B6E-687D-47A3-8661-F3DA2D1BA77D}" name="Column4909"/>
    <tableColumn id="4921" xr3:uid="{F77C9A60-0173-48D0-90DF-4F8E7C395302}" name="Column4910"/>
    <tableColumn id="4922" xr3:uid="{0054B847-1678-420B-B9A0-931EDA72C386}" name="Column4911"/>
    <tableColumn id="4923" xr3:uid="{3F777673-425C-4454-81B8-A932418811B4}" name="Column4912"/>
    <tableColumn id="4924" xr3:uid="{8FA941B3-53AC-4464-85D9-838B50E1BAE9}" name="Column4913"/>
    <tableColumn id="4925" xr3:uid="{3F9E373D-150B-4646-A650-1BC3AE9EAE5B}" name="Column4914"/>
    <tableColumn id="4926" xr3:uid="{F07D39C9-80F3-4394-87EC-B9AE7FB1D0D7}" name="Column4915"/>
    <tableColumn id="4927" xr3:uid="{9AB2A075-A19B-4F6E-AF97-103FCA37483A}" name="Column4916"/>
    <tableColumn id="4928" xr3:uid="{BF308407-40F5-449A-B3B3-41D565A1301B}" name="Column4917"/>
    <tableColumn id="4929" xr3:uid="{D1C0F08A-1737-48F9-990C-AB6481B55B43}" name="Column4918"/>
    <tableColumn id="4930" xr3:uid="{6DEDCE08-FFEF-4278-B57C-F41DA76245B0}" name="Column4919"/>
    <tableColumn id="4931" xr3:uid="{5AB8A156-1ABD-4864-BADB-E40A5D81C177}" name="Column4920"/>
    <tableColumn id="4932" xr3:uid="{DCE7A7F0-9CFE-4D97-948A-F58799B18ABC}" name="Column4921"/>
    <tableColumn id="4933" xr3:uid="{5011D29E-F673-4B5B-B023-E6622AE7EE23}" name="Column4922"/>
    <tableColumn id="4934" xr3:uid="{5A445741-0548-459D-AC9C-9E32A33CBC62}" name="Column4923"/>
    <tableColumn id="4935" xr3:uid="{F7F5A02F-DDFA-450F-BAE8-3B0C2504CB8A}" name="Column4924"/>
    <tableColumn id="4936" xr3:uid="{ADFA1372-742F-4B42-93A3-905B885653BD}" name="Column4925"/>
    <tableColumn id="4937" xr3:uid="{32CB2A2B-5836-4254-8E86-E77C91713A3A}" name="Column4926"/>
    <tableColumn id="4938" xr3:uid="{B7DF5F78-B319-4BA9-8D1A-2E669348A46D}" name="Column4927"/>
    <tableColumn id="4939" xr3:uid="{8BC4645C-E83F-4F9A-BD51-839A6D3CF71B}" name="Column4928"/>
    <tableColumn id="4940" xr3:uid="{823CAA84-7B1A-4A01-A61F-F4332C9DC5F1}" name="Column4929"/>
    <tableColumn id="4941" xr3:uid="{30656150-AAA9-448F-A661-09BC9F3005B7}" name="Column4930"/>
    <tableColumn id="4942" xr3:uid="{924BC2FF-0514-4493-BC65-1F4650C71B9D}" name="Column4931"/>
    <tableColumn id="4943" xr3:uid="{4552311C-9918-40ED-8E60-C01E53864F8E}" name="Column4932"/>
    <tableColumn id="4944" xr3:uid="{31C113BD-D1FD-41B3-85BF-614E834B4B26}" name="Column4933"/>
    <tableColumn id="4945" xr3:uid="{A2980C85-BD81-4882-83AF-3792D6AE649F}" name="Column4934"/>
    <tableColumn id="4946" xr3:uid="{9A55B828-8670-413D-9A85-613C486E8378}" name="Column4935"/>
    <tableColumn id="4947" xr3:uid="{09BA9583-A3F7-4843-A31A-FAB317581C40}" name="Column4936"/>
    <tableColumn id="4948" xr3:uid="{F4918C23-C043-4914-BFAF-C50C6E152F0B}" name="Column4937"/>
    <tableColumn id="4949" xr3:uid="{A4322457-0115-4047-A621-1940346DC70D}" name="Column4938"/>
    <tableColumn id="4950" xr3:uid="{A33355AA-58EC-4D52-8EBF-8DB9BBBC00F0}" name="Column4939"/>
    <tableColumn id="4951" xr3:uid="{B45D3CA2-70DC-4790-B696-48F1A3FE5A04}" name="Column4940"/>
    <tableColumn id="4952" xr3:uid="{CC02D4A7-28F1-450F-B661-472DE169A87A}" name="Column4941"/>
    <tableColumn id="4953" xr3:uid="{445C65A2-6290-42F2-B0D0-4C2E7DC8AAA3}" name="Column4942"/>
    <tableColumn id="4954" xr3:uid="{A576DF1C-D25B-4177-A73A-48BB8370D4FB}" name="Column4943"/>
    <tableColumn id="4955" xr3:uid="{E9453257-8AB9-4E1F-81BF-035BF271993F}" name="Column4944"/>
    <tableColumn id="4956" xr3:uid="{654E8A0C-A0AA-4FA1-BE90-4F93337AC476}" name="Column4945"/>
    <tableColumn id="4957" xr3:uid="{5E1FF68A-E999-49A1-9293-FC09367C7AC3}" name="Column4946"/>
    <tableColumn id="4958" xr3:uid="{B3967B16-D7CF-4DBA-A77E-0BF73753E811}" name="Column4947"/>
    <tableColumn id="4959" xr3:uid="{E23A81DD-84B7-45E7-99C7-D50CC35F1CAA}" name="Column4948"/>
    <tableColumn id="4960" xr3:uid="{7D7982B3-3DB2-40AC-92DA-CFFE4AC98C2D}" name="Column4949"/>
    <tableColumn id="4961" xr3:uid="{87EB391F-4DDC-4F61-8CC5-9617F2CC2B1D}" name="Column4950"/>
    <tableColumn id="4962" xr3:uid="{C49E8FD6-D849-4C0D-96CF-33D322EB441F}" name="Column4951"/>
    <tableColumn id="4963" xr3:uid="{E96007F7-7FC3-4ABB-81AC-B5EA1095F693}" name="Column4952"/>
    <tableColumn id="4964" xr3:uid="{D642D1E4-7072-46F0-A827-EFD206BA2AAA}" name="Column4953"/>
    <tableColumn id="4965" xr3:uid="{95948F6C-0025-427F-8FB8-E674098B9D0F}" name="Column4954"/>
    <tableColumn id="4966" xr3:uid="{4ECA3816-15BD-4F5B-95B4-5504C32DE7B9}" name="Column4955"/>
    <tableColumn id="4967" xr3:uid="{BA5AF661-6D9D-4630-A098-ECD1BB5DF511}" name="Column4956"/>
    <tableColumn id="4968" xr3:uid="{CF91CC1B-676C-45F8-AE85-F5E363D72496}" name="Column4957"/>
    <tableColumn id="4969" xr3:uid="{81AD336F-5717-4F64-9EC9-1D29168BBD51}" name="Column4958"/>
    <tableColumn id="4970" xr3:uid="{CA79B48C-2DD7-49EF-A98E-A4826F2A80FC}" name="Column4959"/>
    <tableColumn id="4971" xr3:uid="{EB2616A5-20B1-4CE4-875D-251652D2644D}" name="Column4960"/>
    <tableColumn id="4972" xr3:uid="{DB9E7791-F5D0-4769-9C63-2E14458AB08A}" name="Column4961"/>
    <tableColumn id="4973" xr3:uid="{5DDA1DDE-B862-423E-8A05-6B5AB583640A}" name="Column4962"/>
    <tableColumn id="4974" xr3:uid="{0897F33A-BE40-413D-8EBE-C8C702C650DF}" name="Column4963"/>
    <tableColumn id="4975" xr3:uid="{BC1BB7C7-76ED-49E2-A203-67F47DA30442}" name="Column4964"/>
    <tableColumn id="4976" xr3:uid="{DA302E4C-35C0-4509-B7B3-15A0019C9180}" name="Column4965"/>
    <tableColumn id="4977" xr3:uid="{8DC25C45-6D74-48C8-8E9F-48C4763CB7EB}" name="Column4966"/>
    <tableColumn id="4978" xr3:uid="{1C168C17-2FEF-4A9E-852B-6842BE0614CB}" name="Column4967"/>
    <tableColumn id="4979" xr3:uid="{E9C04DD2-E7A1-405B-9171-6B25090C3A55}" name="Column4968"/>
    <tableColumn id="4980" xr3:uid="{0AE1C2A1-13F7-4351-A2F2-90BD41D79C55}" name="Column4969"/>
    <tableColumn id="4981" xr3:uid="{1D5279DE-959A-45AC-87C7-E3EC81EDA978}" name="Column4970"/>
    <tableColumn id="4982" xr3:uid="{8F92EED8-4B8A-4CE0-9E45-95D2E90CCC64}" name="Column4971"/>
    <tableColumn id="4983" xr3:uid="{1B6D11A4-C326-49D7-AEC9-7FEC5565F6C5}" name="Column4972"/>
    <tableColumn id="4984" xr3:uid="{FA06662B-FBB5-4B2A-9393-D8EADD79FC27}" name="Column4973"/>
    <tableColumn id="4985" xr3:uid="{446A7CE0-893F-48EE-9DA8-AD57E0A77A54}" name="Column4974"/>
    <tableColumn id="4986" xr3:uid="{38186F51-A240-470F-BC26-0D976B744CB1}" name="Column4975"/>
    <tableColumn id="4987" xr3:uid="{A4833C99-55E0-4AE5-94EA-0D7D52F2A43D}" name="Column4976"/>
    <tableColumn id="4988" xr3:uid="{4A4BB9E1-2684-4D68-8EAC-3F7AC0473BBD}" name="Column4977"/>
    <tableColumn id="4989" xr3:uid="{9FAF56C0-45BD-4661-806D-266F7218E3C5}" name="Column4978"/>
    <tableColumn id="4990" xr3:uid="{97ADA257-0067-4E7E-9B84-FA0627DCD2AF}" name="Column4979"/>
    <tableColumn id="4991" xr3:uid="{78E74CCB-5B87-4E42-9B51-469B7B8716E4}" name="Column4980"/>
    <tableColumn id="4992" xr3:uid="{E1FC3A86-B2BC-47F6-BEAC-DE67F779ED11}" name="Column4981"/>
    <tableColumn id="4993" xr3:uid="{182C79FA-41FA-4BF8-924C-303BE7C1EC6E}" name="Column4982"/>
    <tableColumn id="4994" xr3:uid="{BFD7DFD5-BFB7-4FF1-BF48-F99A3D098C21}" name="Column4983"/>
    <tableColumn id="4995" xr3:uid="{8515E9F3-5D23-47CE-804F-13FC541995BF}" name="Column4984"/>
    <tableColumn id="4996" xr3:uid="{A401FC76-E72F-418C-97DF-7AAF7CCBA1F4}" name="Column4985"/>
    <tableColumn id="4997" xr3:uid="{664BA560-8CDA-4938-998E-AE760ED417CD}" name="Column4986"/>
    <tableColumn id="4998" xr3:uid="{DB9B7BEE-B70E-4A37-8F43-B798C8C9054A}" name="Column4987"/>
    <tableColumn id="4999" xr3:uid="{FB45D917-5772-4050-9088-0FFC6A160489}" name="Column4988"/>
    <tableColumn id="5000" xr3:uid="{C6BB7F00-18AE-4869-AD75-9ACB7B423A42}" name="Column4989"/>
    <tableColumn id="5001" xr3:uid="{0538659E-3C1A-4402-A900-DE491435D342}" name="Column4990"/>
    <tableColumn id="5002" xr3:uid="{2436F57B-E55A-412A-BECD-4A3AD32C6D32}" name="Column4991"/>
    <tableColumn id="5003" xr3:uid="{401BE7B8-6C6C-4D2C-AFCA-3CC22E2B060D}" name="Column4992"/>
    <tableColumn id="5004" xr3:uid="{4E7468D7-005C-450B-8E9A-99187C2995D7}" name="Column4993"/>
    <tableColumn id="5005" xr3:uid="{E07B87B7-57FF-4219-B608-45A02DBAFCB3}" name="Column4994"/>
    <tableColumn id="5006" xr3:uid="{F1C7B235-D693-47BA-918E-F686AC969825}" name="Column4995"/>
    <tableColumn id="5007" xr3:uid="{D803AA90-A131-4176-BCD4-D6B9C22BBD2F}" name="Column4996"/>
    <tableColumn id="5008" xr3:uid="{3595D474-5611-47F9-B50B-27C56F6418ED}" name="Column4997"/>
    <tableColumn id="5009" xr3:uid="{F993BF18-7E10-433B-927C-F8F2F20AEF2B}" name="Column4998"/>
    <tableColumn id="5010" xr3:uid="{3BEEBEE7-63F5-41FF-A503-6655C6B115A4}" name="Column4999"/>
    <tableColumn id="5011" xr3:uid="{115B940E-169C-4CCA-A035-0817013C25EE}" name="Column5000"/>
    <tableColumn id="5012" xr3:uid="{EFC859F1-30E8-4A68-9FD9-259474B20A7C}" name="Column5001"/>
    <tableColumn id="5013" xr3:uid="{15F5DE5B-CF05-47BB-BC29-01E1BDCD17F6}" name="Column5002"/>
    <tableColumn id="5014" xr3:uid="{5AE135A0-955F-4758-A882-9AE585F20BA5}" name="Column5003"/>
    <tableColumn id="5015" xr3:uid="{9D47780D-28AD-4AA6-8FBE-69AE5A75C604}" name="Column5004"/>
    <tableColumn id="5016" xr3:uid="{2FB365DE-07EF-491B-A4D3-67C72A52AA97}" name="Column5005"/>
    <tableColumn id="5017" xr3:uid="{F5342A60-FAD3-48AF-BA20-7F5010962E81}" name="Column5006"/>
    <tableColumn id="5018" xr3:uid="{0FBA5A7C-B6A0-4975-9660-FB4233064C05}" name="Column5007"/>
    <tableColumn id="5019" xr3:uid="{DFCE92F6-C940-480F-ADDE-84A866DE8F96}" name="Column5008"/>
    <tableColumn id="5020" xr3:uid="{91DE48AD-C14C-4F47-9034-6F9F2440C1B1}" name="Column5009"/>
    <tableColumn id="5021" xr3:uid="{8D455B7B-5DCF-4E7F-831D-27CCF9EFA5AA}" name="Column5010"/>
    <tableColumn id="5022" xr3:uid="{FE36054D-1696-4A54-82E2-A29BAB6DE4E9}" name="Column5011"/>
    <tableColumn id="5023" xr3:uid="{DF6CCE98-0563-4C1A-967C-91448E3985FC}" name="Column5012"/>
    <tableColumn id="5024" xr3:uid="{51E68BE0-63AB-4383-9874-9C21BA05D74A}" name="Column5013"/>
    <tableColumn id="5025" xr3:uid="{4E804439-BB80-4D26-A7F4-AFB98F15B6F5}" name="Column5014"/>
    <tableColumn id="5026" xr3:uid="{52312828-BDC4-4E9A-8E38-93F3B619A667}" name="Column5015"/>
    <tableColumn id="5027" xr3:uid="{CCF35B77-8F14-4620-9F87-982248B04E88}" name="Column5016"/>
    <tableColumn id="5028" xr3:uid="{B74A7706-94CE-4797-A93D-C3C24CBFA432}" name="Column5017"/>
    <tableColumn id="5029" xr3:uid="{C70D44DC-E96A-4FCC-945C-2EA807F7E675}" name="Column5018"/>
    <tableColumn id="5030" xr3:uid="{1C6D50FE-B5DE-40B6-B478-B02CC729715F}" name="Column5019"/>
    <tableColumn id="5031" xr3:uid="{F5FC1EDB-8AFF-445A-A3F2-B5F68BDAB61B}" name="Column5020"/>
    <tableColumn id="5032" xr3:uid="{B5BFB2CD-9825-43E6-9444-D42EB26D508F}" name="Column5021"/>
    <tableColumn id="5033" xr3:uid="{33EAFE1A-04FA-40DB-B98E-10CF5FFE8828}" name="Column5022"/>
    <tableColumn id="5034" xr3:uid="{6DC4BCF9-A068-4C1A-8D4D-A0D2042C9249}" name="Column5023"/>
    <tableColumn id="5035" xr3:uid="{36D89AF7-A44A-4432-B2DA-63CF778F3A01}" name="Column5024"/>
    <tableColumn id="5036" xr3:uid="{C27B9DCD-DF99-4C2C-8CF5-C576427E2FFF}" name="Column5025"/>
    <tableColumn id="5037" xr3:uid="{6CEEC7FC-64B0-4AD2-9E4C-76C840274F7F}" name="Column5026"/>
    <tableColumn id="5038" xr3:uid="{31F4192D-DB71-4F1D-9645-BEF432A060A9}" name="Column5027"/>
    <tableColumn id="5039" xr3:uid="{644DFB75-874C-408C-A90D-D398DEE0A720}" name="Column5028"/>
    <tableColumn id="5040" xr3:uid="{6D4C373B-BF27-4F84-9073-6DE2568DB086}" name="Column5029"/>
    <tableColumn id="5041" xr3:uid="{14225185-367D-496A-A261-10338F9F6F29}" name="Column5030"/>
    <tableColumn id="5042" xr3:uid="{3BCB237F-3376-4F7A-9687-384243585DA8}" name="Column5031"/>
    <tableColumn id="5043" xr3:uid="{1F92C2D1-D43A-4AF1-8701-7CDD59263DBF}" name="Column5032"/>
    <tableColumn id="5044" xr3:uid="{9B40C31E-5509-4972-A58B-C9607C3A5481}" name="Column5033"/>
    <tableColumn id="5045" xr3:uid="{0F1B5CAB-AB6E-4C69-B623-3C0C67BA555E}" name="Column5034"/>
    <tableColumn id="5046" xr3:uid="{C45ECF1D-35F9-4519-9D0F-7C777E689D2D}" name="Column5035"/>
    <tableColumn id="5047" xr3:uid="{D6DABA62-6CB7-4B21-8774-47B9BDF3BC8D}" name="Column5036"/>
    <tableColumn id="5048" xr3:uid="{2EAF0F73-5917-4283-975E-4D824084FA21}" name="Column5037"/>
    <tableColumn id="5049" xr3:uid="{673E3478-7DD3-4B35-AC0F-7BCA2EA00E28}" name="Column5038"/>
    <tableColumn id="5050" xr3:uid="{0C0DC94F-F233-44A6-B5D4-8351BE997BDE}" name="Column5039"/>
    <tableColumn id="5051" xr3:uid="{FCD5CA26-EA04-4CFA-B7BC-42FCF611147E}" name="Column5040"/>
    <tableColumn id="5052" xr3:uid="{3E9DBEDA-D0ED-4CCA-82CA-A2198837B90B}" name="Column5041"/>
    <tableColumn id="5053" xr3:uid="{3C58D51C-79C3-4F3E-B0E2-8748FC76078F}" name="Column5042"/>
    <tableColumn id="5054" xr3:uid="{6DE0D2D2-5089-4A19-85C3-AA94550F4EC7}" name="Column5043"/>
    <tableColumn id="5055" xr3:uid="{038164DB-D88E-40DF-813B-E8BDA47E44A9}" name="Column5044"/>
    <tableColumn id="5056" xr3:uid="{3E4BEB46-BA06-4369-83B4-302E7B43623C}" name="Column5045"/>
    <tableColumn id="5057" xr3:uid="{39CCF3F2-5BE0-4340-99B1-C312958D0859}" name="Column5046"/>
    <tableColumn id="5058" xr3:uid="{822200D2-B976-4BDD-9F67-082A2BE86D0F}" name="Column5047"/>
    <tableColumn id="5059" xr3:uid="{BC34E804-62B9-409A-936B-D8EC5E641149}" name="Column5048"/>
    <tableColumn id="5060" xr3:uid="{7820781E-400D-4AD6-ADD9-E8DB9F8423FE}" name="Column5049"/>
    <tableColumn id="5061" xr3:uid="{13174BC2-3977-4C50-8299-48C953959643}" name="Column5050"/>
    <tableColumn id="5062" xr3:uid="{79E15AC3-E88D-4FDA-A93F-9BB1A6BF84DC}" name="Column5051"/>
    <tableColumn id="5063" xr3:uid="{5397B21C-B39E-4F5C-A163-20CEB4AF8176}" name="Column5052"/>
    <tableColumn id="5064" xr3:uid="{ADD42DBA-7BFC-49E5-9A95-C58551E4B0AD}" name="Column5053"/>
    <tableColumn id="5065" xr3:uid="{BE42E543-2F90-4852-B0F7-5583CAD7FFC0}" name="Column5054"/>
    <tableColumn id="5066" xr3:uid="{C3B67F2E-E82A-4993-BBE5-88A389EF7E50}" name="Column5055"/>
    <tableColumn id="5067" xr3:uid="{E42A0F71-E02A-476A-B3BC-7029B9655E49}" name="Column5056"/>
    <tableColumn id="5068" xr3:uid="{7AD973E9-2629-4090-9EDC-FB446618918D}" name="Column5057"/>
    <tableColumn id="5069" xr3:uid="{A93C5E16-7B90-4D49-B8AC-291DA14F1194}" name="Column5058"/>
    <tableColumn id="5070" xr3:uid="{9D280D07-A19D-4149-8FCD-A7119230250D}" name="Column5059"/>
    <tableColumn id="5071" xr3:uid="{80307155-9DFE-4FCA-9BEC-8FA18A5F695D}" name="Column5060"/>
    <tableColumn id="5072" xr3:uid="{95FA9A46-6B21-4402-989F-AD868D8985C0}" name="Column5061"/>
    <tableColumn id="5073" xr3:uid="{A32793A8-370F-41AE-9F2E-D1AB838F1235}" name="Column5062"/>
    <tableColumn id="5074" xr3:uid="{0A1E6FD6-75B6-4B78-8502-89F8116403F4}" name="Column5063"/>
    <tableColumn id="5075" xr3:uid="{C10222D5-437E-43CE-93D2-659F169F0A15}" name="Column5064"/>
    <tableColumn id="5076" xr3:uid="{CFEB0700-6FAC-4AE0-A001-9C18BD9889FF}" name="Column5065"/>
    <tableColumn id="5077" xr3:uid="{63AEE83D-1A29-4CCF-9957-076185285DDB}" name="Column5066"/>
    <tableColumn id="5078" xr3:uid="{1797D6BB-1779-499D-BC1D-D027063C3469}" name="Column5067"/>
    <tableColumn id="5079" xr3:uid="{E46BA7E5-D913-4626-9451-7CFD3B8263A5}" name="Column5068"/>
    <tableColumn id="5080" xr3:uid="{357B3DA9-6211-40FB-9201-837426B9F5A4}" name="Column5069"/>
    <tableColumn id="5081" xr3:uid="{E1FC30FE-126F-408B-9FE2-D638217F93D1}" name="Column5070"/>
    <tableColumn id="5082" xr3:uid="{B6E38097-9512-4536-BCA6-A6D222DF688B}" name="Column5071"/>
    <tableColumn id="5083" xr3:uid="{41395707-332B-43CC-A1F0-D235797DA888}" name="Column5072"/>
    <tableColumn id="5084" xr3:uid="{EA0E35B2-58DA-4F9A-85EA-FD49521A1D92}" name="Column5073"/>
    <tableColumn id="5085" xr3:uid="{7E38154C-CDBF-4C60-9752-0D3F4BA5E797}" name="Column5074"/>
    <tableColumn id="5086" xr3:uid="{7A75A2B2-CFC7-45C2-8C2A-807007AADCC6}" name="Column5075"/>
    <tableColumn id="5087" xr3:uid="{795F00F1-39D8-4944-91F5-B908313BC27F}" name="Column5076"/>
    <tableColumn id="5088" xr3:uid="{C06C9FDB-8E6B-4B25-8C53-E5380AA4FA09}" name="Column5077"/>
    <tableColumn id="5089" xr3:uid="{8FE63229-93B1-48E6-B801-A4EAA7D88F03}" name="Column5078"/>
    <tableColumn id="5090" xr3:uid="{E8AA005E-043D-4ABF-BEB6-50C5348F1A34}" name="Column5079"/>
    <tableColumn id="5091" xr3:uid="{D07DC26F-B2AB-418E-97BE-9A4E5958BE47}" name="Column5080"/>
    <tableColumn id="5092" xr3:uid="{7701B99D-9CA5-483A-9051-7A2B8B31B7B4}" name="Column5081"/>
    <tableColumn id="5093" xr3:uid="{CD4B3D09-CD22-420B-8B77-566563AF439B}" name="Column5082"/>
    <tableColumn id="5094" xr3:uid="{476EC7EA-D7BC-4D92-8B70-F88A276C694A}" name="Column5083"/>
    <tableColumn id="5095" xr3:uid="{7FA33FD0-9350-4A7B-AFEB-F4EB0F36EB8C}" name="Column5084"/>
    <tableColumn id="5096" xr3:uid="{F0564E02-EB36-463B-974C-EDC46CF085B5}" name="Column5085"/>
    <tableColumn id="5097" xr3:uid="{13EC84C5-81CA-4F7B-9206-1BEEB1FAEB11}" name="Column5086"/>
    <tableColumn id="5098" xr3:uid="{FDF7D444-BAE5-43BC-ABFC-4B68FBD02681}" name="Column5087"/>
    <tableColumn id="5099" xr3:uid="{339AAF84-3C2D-433F-B5DA-4B163BFF54DF}" name="Column5088"/>
    <tableColumn id="5100" xr3:uid="{F4420A9A-F9D4-4078-AE27-06E77F14EF72}" name="Column5089"/>
    <tableColumn id="5101" xr3:uid="{D32CC9EA-E540-4165-B6B5-475AA25F647B}" name="Column5090"/>
    <tableColumn id="5102" xr3:uid="{47C1C98B-1909-4908-A2FD-3E7977E8FC3C}" name="Column5091"/>
    <tableColumn id="5103" xr3:uid="{548734BC-4282-4C75-9223-24B392DD93AE}" name="Column5092"/>
    <tableColumn id="5104" xr3:uid="{E4AFB126-0291-4735-96D9-FA7BCB0B41D0}" name="Column5093"/>
    <tableColumn id="5105" xr3:uid="{96C3D4FA-7838-4CB7-9294-85F71AA5F0E2}" name="Column5094"/>
    <tableColumn id="5106" xr3:uid="{EDE8D729-49AB-4137-A7D3-824FEDE68F99}" name="Column5095"/>
    <tableColumn id="5107" xr3:uid="{BA803AA5-BD2E-4CB8-9560-704EDB16E0E4}" name="Column5096"/>
    <tableColumn id="5108" xr3:uid="{4677EEF6-CD9D-4086-BFDF-797EA3F80B5B}" name="Column5097"/>
    <tableColumn id="5109" xr3:uid="{C1FE8105-10A8-4CC7-9660-22746683EE5B}" name="Column5098"/>
    <tableColumn id="5110" xr3:uid="{0C30F677-75DE-4388-9538-12D3A442B884}" name="Column5099"/>
    <tableColumn id="5111" xr3:uid="{2E87CBEE-CD68-4983-9DFE-06A59BB31C8C}" name="Column5100"/>
    <tableColumn id="5112" xr3:uid="{1D1243CD-4025-4F18-81A1-29A68C528B7F}" name="Column5101"/>
    <tableColumn id="5113" xr3:uid="{D06EAFF1-5583-472C-B859-C74E7D49D9DE}" name="Column5102"/>
    <tableColumn id="5114" xr3:uid="{5951DD00-4E1A-495C-B065-8508C710B2F8}" name="Column5103"/>
    <tableColumn id="5115" xr3:uid="{1E9DBFE6-17BA-4F83-BEAC-941F1FF7E984}" name="Column5104"/>
    <tableColumn id="5116" xr3:uid="{9CF9E687-E5FA-4B7B-8276-779BD3EE14E9}" name="Column5105"/>
    <tableColumn id="5117" xr3:uid="{CDCD9F36-6B24-4B01-B64B-78D8AE959831}" name="Column5106"/>
    <tableColumn id="5118" xr3:uid="{C14A14AC-6F28-4629-B5B5-A3AD4C9AD0F7}" name="Column5107"/>
    <tableColumn id="5119" xr3:uid="{06B4D108-A481-48FF-AF03-527683B34F9C}" name="Column5108"/>
    <tableColumn id="5120" xr3:uid="{30478AFA-8D92-43D6-81AF-69E41BFDCA8F}" name="Column5109"/>
    <tableColumn id="5121" xr3:uid="{ECB2137F-71F4-48F4-8DA4-8FF56CF33FBD}" name="Column5110"/>
    <tableColumn id="5122" xr3:uid="{6280674F-8677-47D6-8984-1B10532815BC}" name="Column5111"/>
    <tableColumn id="5123" xr3:uid="{09E0AEED-7E0E-4BDB-B574-24FC15D64C27}" name="Column5112"/>
    <tableColumn id="5124" xr3:uid="{D7F8FB7C-E6A6-4216-9764-E268FB638889}" name="Column5113"/>
    <tableColumn id="5125" xr3:uid="{FAB0964E-2AEA-4463-ACFB-8F92FC7549EC}" name="Column5114"/>
    <tableColumn id="5126" xr3:uid="{BB59F91B-3914-405E-9F2B-88A9A03EE4F5}" name="Column5115"/>
    <tableColumn id="5127" xr3:uid="{97A7DF77-ADB6-4D01-90A2-E742DAC030D5}" name="Column5116"/>
    <tableColumn id="5128" xr3:uid="{4D7CA6F7-D21F-4C31-A160-3354D744D777}" name="Column5117"/>
    <tableColumn id="5129" xr3:uid="{22796EF9-44FB-4753-AE4E-20D3EEA6E30A}" name="Column5118"/>
    <tableColumn id="5130" xr3:uid="{6D26EFED-118F-4FDB-8C9D-398ADC963143}" name="Column5119"/>
    <tableColumn id="5131" xr3:uid="{88573986-C279-44F0-B205-143CFD5F5BCD}" name="Column5120"/>
    <tableColumn id="5132" xr3:uid="{06163BD0-F29F-4F67-AFCA-377EB05A1887}" name="Column5121"/>
    <tableColumn id="5133" xr3:uid="{4A939AFA-D6D3-4D08-B3E2-132DBDBD6084}" name="Column5122"/>
    <tableColumn id="5134" xr3:uid="{D55EA9A1-99FF-4E4F-A565-9E5C2268C2C7}" name="Column5123"/>
    <tableColumn id="5135" xr3:uid="{6ECD4038-2B9E-4CA8-9388-608DD266AFF9}" name="Column5124"/>
    <tableColumn id="5136" xr3:uid="{0662E842-10BC-4511-8F07-C64EE3BFE6CA}" name="Column5125"/>
    <tableColumn id="5137" xr3:uid="{E6149C09-F3D2-4D5A-8707-C2DC570A09D9}" name="Column5126"/>
    <tableColumn id="5138" xr3:uid="{F54FA795-77BE-470F-BE17-C2B89F6D142B}" name="Column5127"/>
    <tableColumn id="5139" xr3:uid="{129116FB-0680-4EA9-8788-436D99E9C8DB}" name="Column5128"/>
    <tableColumn id="5140" xr3:uid="{6893037A-2318-48C0-984A-C627CE09B472}" name="Column5129"/>
    <tableColumn id="5141" xr3:uid="{7520038C-ED05-4485-B777-88F5227FFA73}" name="Column5130"/>
    <tableColumn id="5142" xr3:uid="{A14D349A-4165-476C-A3AD-C82BBF667D0C}" name="Column5131"/>
    <tableColumn id="5143" xr3:uid="{6F980B33-7AE4-47EE-A313-95D45A0D09D9}" name="Column5132"/>
    <tableColumn id="5144" xr3:uid="{F9490E5A-B950-407B-9F42-8B08360C4F17}" name="Column5133"/>
    <tableColumn id="5145" xr3:uid="{21FF99BE-2E5C-42D0-98FB-B8F9481E98AA}" name="Column5134"/>
    <tableColumn id="5146" xr3:uid="{015E00FF-27DA-4685-84ED-B4AB2E0B9B67}" name="Column5135"/>
    <tableColumn id="5147" xr3:uid="{94C02058-0B76-4895-8E87-0E390755F4D5}" name="Column5136"/>
    <tableColumn id="5148" xr3:uid="{8498E9C5-D290-45A6-B5FF-A2A0FF9E0D0D}" name="Column5137"/>
    <tableColumn id="5149" xr3:uid="{9DE87085-65D1-4FAF-AE64-699F5A296FDB}" name="Column5138"/>
    <tableColumn id="5150" xr3:uid="{27570429-389A-4676-876B-AC59CDFC7D27}" name="Column5139"/>
    <tableColumn id="5151" xr3:uid="{65D934C0-90D8-4306-9C2C-1BEAE97CA644}" name="Column5140"/>
    <tableColumn id="5152" xr3:uid="{E35E1F35-A823-4335-83A6-E89355F3E6A4}" name="Column5141"/>
    <tableColumn id="5153" xr3:uid="{C77BC06E-7D0E-4528-8327-47F5005589D0}" name="Column5142"/>
    <tableColumn id="5154" xr3:uid="{69BFDE7B-20D5-4B3C-B20F-6F295AC3916E}" name="Column5143"/>
    <tableColumn id="5155" xr3:uid="{DC95EDA8-D6F2-4FD6-A833-C92E495C8180}" name="Column5144"/>
    <tableColumn id="5156" xr3:uid="{49535F42-BCAF-413B-82C8-FB99B02FB5F6}" name="Column5145"/>
    <tableColumn id="5157" xr3:uid="{7F786C69-E89C-4BF7-A0E4-2A1E7EB9DF7F}" name="Column5146"/>
    <tableColumn id="5158" xr3:uid="{3B8ABA13-4007-49E4-A9D0-9720BE4B5156}" name="Column5147"/>
    <tableColumn id="5159" xr3:uid="{739D0552-9D5A-4E04-8B6C-0D1F75BAB757}" name="Column5148"/>
    <tableColumn id="5160" xr3:uid="{7F3F412E-64CC-4AA8-A8F4-B79AAEDBA39B}" name="Column5149"/>
    <tableColumn id="5161" xr3:uid="{4A1DDB66-CDEE-42E4-8688-45CF52C19C56}" name="Column5150"/>
    <tableColumn id="5162" xr3:uid="{95F59046-AE5A-46D1-94F5-74DA1882DB18}" name="Column5151"/>
    <tableColumn id="5163" xr3:uid="{C572B9C4-5F75-4435-88B3-CE6A90A52918}" name="Column5152"/>
    <tableColumn id="5164" xr3:uid="{83737C95-0A27-4E30-858F-C6C017472744}" name="Column5153"/>
    <tableColumn id="5165" xr3:uid="{B4B8EC08-7D74-4EB5-B4EB-DA6847F63F34}" name="Column5154"/>
    <tableColumn id="5166" xr3:uid="{227F11E6-8926-4169-A572-161309062416}" name="Column5155"/>
    <tableColumn id="5167" xr3:uid="{9FB629E9-50AF-404F-8AA4-15E9D7BC0C25}" name="Column5156"/>
    <tableColumn id="5168" xr3:uid="{76415D8A-2C86-419D-BF85-1778E7B61546}" name="Column5157"/>
    <tableColumn id="5169" xr3:uid="{47DDA052-5833-47CE-B7C4-186A0557AF34}" name="Column5158"/>
    <tableColumn id="5170" xr3:uid="{EB5B7094-5F4D-4130-807C-7374A6489A66}" name="Column5159"/>
    <tableColumn id="5171" xr3:uid="{701566B2-3AC9-4777-862D-DB7F32BA21EF}" name="Column5160"/>
    <tableColumn id="5172" xr3:uid="{9B92AFDA-E8C1-47B6-95DB-475F136FEBB4}" name="Column5161"/>
    <tableColumn id="5173" xr3:uid="{AED864E3-724E-4D2B-81E3-8EA31B7E06CB}" name="Column5162"/>
    <tableColumn id="5174" xr3:uid="{240EA35A-90DA-4B1C-B731-08A800B73E1A}" name="Column5163"/>
    <tableColumn id="5175" xr3:uid="{3690F423-5DE7-4562-97B2-86CB9E444020}" name="Column5164"/>
    <tableColumn id="5176" xr3:uid="{EE156832-D986-42D8-A8FE-8D7E0B808B15}" name="Column5165"/>
    <tableColumn id="5177" xr3:uid="{A2C01105-479A-423A-82E7-C2EBFE8421E0}" name="Column5166"/>
    <tableColumn id="5178" xr3:uid="{5717C60E-BD94-4F0B-8B29-79C68FA2BA77}" name="Column5167"/>
    <tableColumn id="5179" xr3:uid="{5ADD6AF9-3FE8-4771-9412-7E584BB75D85}" name="Column5168"/>
    <tableColumn id="5180" xr3:uid="{EC248BD6-D033-4D10-83A8-0F17A413D082}" name="Column5169"/>
    <tableColumn id="5181" xr3:uid="{0667A38E-6420-4D92-BA75-5A12C3FA93EE}" name="Column5170"/>
    <tableColumn id="5182" xr3:uid="{396E71EE-94CC-49BE-8E04-F6A9AD052A98}" name="Column5171"/>
    <tableColumn id="5183" xr3:uid="{1F957B9F-7899-4AB6-A2F8-7721C39BFC7A}" name="Column5172"/>
    <tableColumn id="5184" xr3:uid="{6DCDA655-9690-4D39-9048-AFA51C93DAEB}" name="Column5173"/>
    <tableColumn id="5185" xr3:uid="{5258772A-946F-45E8-BE4B-63B328455AE3}" name="Column5174"/>
    <tableColumn id="5186" xr3:uid="{66D66534-DEDA-42FD-AE6B-734F6BAFA930}" name="Column5175"/>
    <tableColumn id="5187" xr3:uid="{1290CCE3-8304-4DEA-B2AB-7C8046EF233D}" name="Column5176"/>
    <tableColumn id="5188" xr3:uid="{18F21EA0-BA4A-4577-8A62-B81435E04499}" name="Column5177"/>
    <tableColumn id="5189" xr3:uid="{29D0D9F6-E3FF-4E59-8900-0400FA13846F}" name="Column5178"/>
    <tableColumn id="5190" xr3:uid="{E8AC7BDA-572D-407B-A4AE-41DA6A765556}" name="Column5179"/>
    <tableColumn id="5191" xr3:uid="{E16DFE15-6B9F-4077-8681-CEB16959460E}" name="Column5180"/>
    <tableColumn id="5192" xr3:uid="{29ED6275-7F94-44CF-8DC2-ED1EA78C5524}" name="Column5181"/>
    <tableColumn id="5193" xr3:uid="{BCABC671-77FB-45C6-B54D-7EC14CD8A92D}" name="Column5182"/>
    <tableColumn id="5194" xr3:uid="{A834A223-12AD-41A4-8BAC-F58DF9BAFD25}" name="Column5183"/>
    <tableColumn id="5195" xr3:uid="{6F519FDD-0966-4601-9176-577AAFF20FBD}" name="Column5184"/>
    <tableColumn id="5196" xr3:uid="{2EFD719C-7FD6-4F19-AD39-CEA4830576C0}" name="Column5185"/>
    <tableColumn id="5197" xr3:uid="{24C6FD56-BEF2-4E88-9CE0-D029788639B6}" name="Column5186"/>
    <tableColumn id="5198" xr3:uid="{AAD47564-A4FC-42C7-A820-E9F824FED443}" name="Column5187"/>
    <tableColumn id="5199" xr3:uid="{7FB02DD2-F268-418B-B17A-0BE5B302E495}" name="Column5188"/>
    <tableColumn id="5200" xr3:uid="{9FE9C710-C31D-4DFA-A607-70C5EEB163A8}" name="Column5189"/>
    <tableColumn id="5201" xr3:uid="{43E88188-EF23-47CD-93CD-F0DB2DF08617}" name="Column5190"/>
    <tableColumn id="5202" xr3:uid="{B151BF71-7E90-427A-9918-851DBCEED6C0}" name="Column5191"/>
    <tableColumn id="5203" xr3:uid="{B74DD774-1433-435A-905A-908D9A591D7F}" name="Column5192"/>
    <tableColumn id="5204" xr3:uid="{CB5BE884-4FBD-4150-810A-F2B6D39E99B8}" name="Column5193"/>
    <tableColumn id="5205" xr3:uid="{99F849E9-22C2-4E1E-A839-FEEF5665E382}" name="Column5194"/>
    <tableColumn id="5206" xr3:uid="{1EF98489-EBBB-4C1F-B772-31F94D46B747}" name="Column5195"/>
    <tableColumn id="5207" xr3:uid="{BA0CA959-358B-4323-856B-4AEC8152D3A2}" name="Column5196"/>
    <tableColumn id="5208" xr3:uid="{54F66D35-9226-43BF-9289-D704DA4CE746}" name="Column5197"/>
    <tableColumn id="5209" xr3:uid="{4DC20967-8882-4671-959F-EC500E3B519F}" name="Column5198"/>
    <tableColumn id="5210" xr3:uid="{456E5E59-13F1-472B-8572-0883396DECC3}" name="Column5199"/>
    <tableColumn id="5211" xr3:uid="{7BEBF397-A6C9-4804-8658-B59201722745}" name="Column5200"/>
    <tableColumn id="5212" xr3:uid="{0BE638A6-128D-409F-88E1-AE9697D69143}" name="Column5201"/>
    <tableColumn id="5213" xr3:uid="{E28CC2DC-C4F7-4F4D-9D0F-53E46649DF0D}" name="Column5202"/>
    <tableColumn id="5214" xr3:uid="{A57F489C-C1F9-4ED7-9BC2-2FD087614094}" name="Column5203"/>
    <tableColumn id="5215" xr3:uid="{7D2EA748-3098-4A80-AE1E-14D96BFFC92F}" name="Column5204"/>
    <tableColumn id="5216" xr3:uid="{74F2B4ED-0F1D-4791-973A-D84AABC83A55}" name="Column5205"/>
    <tableColumn id="5217" xr3:uid="{381D22E2-F479-4856-BFAD-FD865B0A1424}" name="Column5206"/>
    <tableColumn id="5218" xr3:uid="{B8DFD17D-E484-4241-A447-C74878F2AA0D}" name="Column5207"/>
    <tableColumn id="5219" xr3:uid="{407F5FC0-E3FB-4ED5-A4F5-194040EFF0E0}" name="Column5208"/>
    <tableColumn id="5220" xr3:uid="{A0346ED6-0FA0-45BE-83D6-55C449A771E6}" name="Column5209"/>
    <tableColumn id="5221" xr3:uid="{EBDE2FEA-FC62-4B0E-AD0E-F215B86DB806}" name="Column5210"/>
    <tableColumn id="5222" xr3:uid="{C80A62D0-8A62-4AF8-AD7F-ED763646878B}" name="Column5211"/>
    <tableColumn id="5223" xr3:uid="{9AEB31AB-59D7-44A2-B704-32CCEA8A4092}" name="Column5212"/>
    <tableColumn id="5224" xr3:uid="{51AF9D36-8450-484A-A560-042DA2828A36}" name="Column5213"/>
    <tableColumn id="5225" xr3:uid="{A8B0C505-0FD9-418E-828E-F7825A122B2D}" name="Column5214"/>
    <tableColumn id="5226" xr3:uid="{7527D15D-12C8-469E-BB76-8408951FDE79}" name="Column5215"/>
    <tableColumn id="5227" xr3:uid="{DCCAF5AB-D471-4CFD-8CCA-509439D426B3}" name="Column5216"/>
    <tableColumn id="5228" xr3:uid="{64B449D9-A050-4803-AE83-D7742A274148}" name="Column5217"/>
    <tableColumn id="5229" xr3:uid="{B42AE464-AED9-4EB6-8E71-F48A7AA6693C}" name="Column5218"/>
    <tableColumn id="5230" xr3:uid="{B135C7B4-05A0-49D7-BDEC-5DD2BEC6CDCC}" name="Column5219"/>
    <tableColumn id="5231" xr3:uid="{D96A0036-6D79-4584-9AD3-7C1E23B59CCC}" name="Column5220"/>
    <tableColumn id="5232" xr3:uid="{D7B479D6-32E5-40F1-AB7F-9746B1B4F278}" name="Column5221"/>
    <tableColumn id="5233" xr3:uid="{3A2779B6-DE88-4954-A4F8-8EA9F102BCC2}" name="Column5222"/>
    <tableColumn id="5234" xr3:uid="{D2213B1D-DF36-4232-BCEA-3BE359EC3995}" name="Column5223"/>
    <tableColumn id="5235" xr3:uid="{5FD342B9-EC9F-4B8C-9F7C-05D4C2DFF495}" name="Column5224"/>
    <tableColumn id="5236" xr3:uid="{B0300BD4-7FFA-4C8C-977E-21C075B6E922}" name="Column5225"/>
    <tableColumn id="5237" xr3:uid="{6D740C71-D14C-4E71-88CA-2BB5EC6DC9A7}" name="Column5226"/>
    <tableColumn id="5238" xr3:uid="{4D3BEB5B-4687-426B-B476-2E127669CAE3}" name="Column5227"/>
    <tableColumn id="5239" xr3:uid="{66B2319B-8E22-431E-BD33-5B93BEEF7932}" name="Column5228"/>
    <tableColumn id="5240" xr3:uid="{C3441361-9EE9-4D79-9C55-76ECD872F30A}" name="Column5229"/>
    <tableColumn id="5241" xr3:uid="{6D73A950-6566-462A-BD97-435B58713546}" name="Column5230"/>
    <tableColumn id="5242" xr3:uid="{C82B15BC-E747-45B4-8955-70E943EEF398}" name="Column5231"/>
    <tableColumn id="5243" xr3:uid="{21F24A63-69B1-4E30-B865-C7A02C26F2D8}" name="Column5232"/>
    <tableColumn id="5244" xr3:uid="{3699BB0D-82A8-4336-9F20-7BF560CB581D}" name="Column5233"/>
    <tableColumn id="5245" xr3:uid="{49977F19-8A31-4BB9-ABD4-9E11DE3FE4D3}" name="Column5234"/>
    <tableColumn id="5246" xr3:uid="{AB0E56A3-07D0-42E9-8DF1-EF6F1AF6DE4B}" name="Column5235"/>
    <tableColumn id="5247" xr3:uid="{18D011E9-9AFB-42C1-BD1A-99511C02A27A}" name="Column5236"/>
    <tableColumn id="5248" xr3:uid="{A83164C1-FEC1-4FA0-B67D-A4E024F858C4}" name="Column5237"/>
    <tableColumn id="5249" xr3:uid="{C4E77330-4822-4306-A44E-4018D89CBE73}" name="Column5238"/>
    <tableColumn id="5250" xr3:uid="{3F819A00-0F4B-421F-A1D1-66DD11D94A9C}" name="Column5239"/>
    <tableColumn id="5251" xr3:uid="{C0333CCC-3308-4B94-BEED-F9CCC1916A2D}" name="Column5240"/>
    <tableColumn id="5252" xr3:uid="{E607251C-3AD9-45DA-BC78-7A96746B7D6F}" name="Column5241"/>
    <tableColumn id="5253" xr3:uid="{52F4C951-983C-4E51-B83C-5C0C25DEDC03}" name="Column5242"/>
    <tableColumn id="5254" xr3:uid="{15DD85E8-4B1B-48FD-A9CC-7A33C9095A4B}" name="Column5243"/>
    <tableColumn id="5255" xr3:uid="{C830DEDC-F086-415E-AB0B-D8A086FFE625}" name="Column5244"/>
    <tableColumn id="5256" xr3:uid="{574880AA-4F41-41F6-A233-CDA8317A587A}" name="Column5245"/>
    <tableColumn id="5257" xr3:uid="{917C0B9D-83FC-4248-BB2D-0567818E2FA1}" name="Column5246"/>
    <tableColumn id="5258" xr3:uid="{B2515789-000D-48A3-AFF8-C8C5E98AEDAB}" name="Column5247"/>
    <tableColumn id="5259" xr3:uid="{CCD66FF4-C7F6-45DA-BAE6-CA20CDDBC2C9}" name="Column5248"/>
    <tableColumn id="5260" xr3:uid="{ADC22C0F-F8D8-4A44-BD12-A6933EE31EAC}" name="Column5249"/>
    <tableColumn id="5261" xr3:uid="{4CDBE559-9869-4953-9B98-45F170588EC3}" name="Column5250"/>
    <tableColumn id="5262" xr3:uid="{14747E26-18B2-41FE-A696-5F5931580DFE}" name="Column5251"/>
    <tableColumn id="5263" xr3:uid="{7EA28198-902E-478A-8176-C28938A69EE2}" name="Column5252"/>
    <tableColumn id="5264" xr3:uid="{CE0981A7-3106-40E2-B18C-33CA3E1B9878}" name="Column5253"/>
    <tableColumn id="5265" xr3:uid="{9E090D7F-A8F7-4401-B850-C8B640EBAA3F}" name="Column5254"/>
    <tableColumn id="5266" xr3:uid="{6349F46C-CD14-4E17-966C-73E3AC962C96}" name="Column5255"/>
    <tableColumn id="5267" xr3:uid="{14277160-F225-4F65-96D5-B7C40A329873}" name="Column5256"/>
    <tableColumn id="5268" xr3:uid="{2EADEA07-06D6-4F86-87C4-B56288F0543E}" name="Column5257"/>
    <tableColumn id="5269" xr3:uid="{F6268D09-98FB-4667-9DF4-CCC860444E1A}" name="Column5258"/>
    <tableColumn id="5270" xr3:uid="{11EC2239-CE2E-486B-B572-B0D829AD9D5A}" name="Column5259"/>
    <tableColumn id="5271" xr3:uid="{20528797-0D62-4AE9-99F6-686D7F11E487}" name="Column5260"/>
    <tableColumn id="5272" xr3:uid="{DE1BEBAC-B2AE-4AFD-B703-6B1ADE39A772}" name="Column5261"/>
    <tableColumn id="5273" xr3:uid="{2CECBA30-6AE0-4559-A9D3-F3BE3D2EB9AA}" name="Column5262"/>
    <tableColumn id="5274" xr3:uid="{16DD22E4-0D3A-403B-B43F-CC61AC247042}" name="Column5263"/>
    <tableColumn id="5275" xr3:uid="{C5A6B1AE-1BB5-4C19-A7A9-848191380C45}" name="Column5264"/>
    <tableColumn id="5276" xr3:uid="{37DC9AEF-F0A9-4777-9C20-43F191D9DA93}" name="Column5265"/>
    <tableColumn id="5277" xr3:uid="{6735FCC8-7B96-4819-8D57-97B75292924C}" name="Column5266"/>
    <tableColumn id="5278" xr3:uid="{2C422440-51AC-4729-9CAE-EBBE8204E3B9}" name="Column5267"/>
    <tableColumn id="5279" xr3:uid="{83E1A8AC-C93F-4F78-B28F-497B9B7E75D7}" name="Column5268"/>
    <tableColumn id="5280" xr3:uid="{CC75015B-F6BD-40F5-A917-792DF611AC3A}" name="Column5269"/>
    <tableColumn id="5281" xr3:uid="{9E5245D9-BD4D-41B1-8A89-DDBF6645B456}" name="Column5270"/>
    <tableColumn id="5282" xr3:uid="{BF443074-6CD5-41F6-B614-EB3422283E59}" name="Column5271"/>
    <tableColumn id="5283" xr3:uid="{DB79083C-CE12-449F-AA66-B32552FD2B35}" name="Column5272"/>
    <tableColumn id="5284" xr3:uid="{4E8F4EF7-5924-47B2-AA71-54087B142A93}" name="Column5273"/>
    <tableColumn id="5285" xr3:uid="{70112497-AD42-48B7-AB2A-8D7C0D3C9860}" name="Column5274"/>
    <tableColumn id="5286" xr3:uid="{878F15D2-0294-4392-B1AF-6A02552E9C26}" name="Column5275"/>
    <tableColumn id="5287" xr3:uid="{A7361EF7-0749-4DCD-A1E2-69D0E8D5B3D4}" name="Column5276"/>
    <tableColumn id="5288" xr3:uid="{37F9C703-9F2F-4AFE-8318-BBF7538F281D}" name="Column5277"/>
    <tableColumn id="5289" xr3:uid="{2610474C-A9BD-44C9-B441-3BB386921F28}" name="Column5278"/>
    <tableColumn id="5290" xr3:uid="{F68754D6-9785-4142-B540-8F7BA2FBFF12}" name="Column5279"/>
    <tableColumn id="5291" xr3:uid="{EAFFB4EF-9CE0-4914-A3FF-C4FF4B291FA3}" name="Column5280"/>
    <tableColumn id="5292" xr3:uid="{55E3C082-7640-421A-9E42-CE7F0A197666}" name="Column5281"/>
    <tableColumn id="5293" xr3:uid="{0187178C-F9DA-42DC-AC01-6C1F526435C8}" name="Column5282"/>
    <tableColumn id="5294" xr3:uid="{4851C2A7-D1F1-434E-A66C-D8971DBA5277}" name="Column5283"/>
    <tableColumn id="5295" xr3:uid="{5864854F-62AC-4936-A339-945BCC3D1A78}" name="Column5284"/>
    <tableColumn id="5296" xr3:uid="{A7E8B43F-8056-4725-AAE6-AB86FE409E31}" name="Column5285"/>
    <tableColumn id="5297" xr3:uid="{01C859D4-6B4C-4481-A72E-91AB46249379}" name="Column5286"/>
    <tableColumn id="5298" xr3:uid="{04B28AAE-7F55-4716-8D5B-AF816AE66FBE}" name="Column5287"/>
    <tableColumn id="5299" xr3:uid="{85C388CA-E85B-456D-B902-58852CF502E5}" name="Column5288"/>
    <tableColumn id="5300" xr3:uid="{AD88E253-CFC8-4A0F-BA60-FFD62CE9E211}" name="Column5289"/>
    <tableColumn id="5301" xr3:uid="{73322C69-E280-4FEE-8D36-059DD0D0D4FC}" name="Column5290"/>
    <tableColumn id="5302" xr3:uid="{39A93098-5B8F-4545-A775-E6894763DDAB}" name="Column5291"/>
    <tableColumn id="5303" xr3:uid="{FC5F833B-46E6-4DE0-8F9C-4A6C793643D1}" name="Column5292"/>
    <tableColumn id="5304" xr3:uid="{1D999B90-D201-4D49-8C92-425974B97EC3}" name="Column5293"/>
    <tableColumn id="5305" xr3:uid="{4FCAC5C2-8FED-400C-AAA9-249073CF8742}" name="Column5294"/>
    <tableColumn id="5306" xr3:uid="{889EA5C6-4B0F-4FB7-9B97-A8A37317BFDC}" name="Column5295"/>
    <tableColumn id="5307" xr3:uid="{C029771C-F1F3-4C0A-9D76-D34B47D885EC}" name="Column5296"/>
    <tableColumn id="5308" xr3:uid="{341A920A-EBC8-4EC5-B2A9-FFFBFEDBAE75}" name="Column5297"/>
    <tableColumn id="5309" xr3:uid="{7038FD2C-9F00-4A3C-A3B8-30264AD2AFB5}" name="Column5298"/>
    <tableColumn id="5310" xr3:uid="{1CE0C597-4526-4624-9573-44D0E1719B7A}" name="Column5299"/>
    <tableColumn id="5311" xr3:uid="{D03B933E-ABF0-40A1-8F42-BCA706D657A6}" name="Column5300"/>
    <tableColumn id="5312" xr3:uid="{52F4F31C-6713-4D60-AC47-1F4A367ACB6D}" name="Column5301"/>
    <tableColumn id="5313" xr3:uid="{1371A5EC-E86C-47FC-8264-18C318BB8550}" name="Column5302"/>
    <tableColumn id="5314" xr3:uid="{EDDCE488-D82D-4413-B239-D90EAF1675EB}" name="Column5303"/>
    <tableColumn id="5315" xr3:uid="{A798BD14-31AC-4564-94B6-80F18F7040C6}" name="Column5304"/>
    <tableColumn id="5316" xr3:uid="{19C229D9-596E-417E-BC48-B81E9A59D92D}" name="Column5305"/>
    <tableColumn id="5317" xr3:uid="{9200D5F3-B23D-42A9-877B-E404DD0A029F}" name="Column5306"/>
    <tableColumn id="5318" xr3:uid="{627514DE-70A3-44D2-AF8C-1E9B452B8C48}" name="Column5307"/>
    <tableColumn id="5319" xr3:uid="{3A6799C4-27E4-427C-8791-59D4E8F5452A}" name="Column5308"/>
    <tableColumn id="5320" xr3:uid="{8146F01C-AD6B-4A20-A4F9-76584F2A12F6}" name="Column5309"/>
    <tableColumn id="5321" xr3:uid="{4B5F3D15-66FC-47C3-86A9-F18A93C028CA}" name="Column5310"/>
    <tableColumn id="5322" xr3:uid="{CB0606B1-AA27-4FF3-BAA4-272BBADEB7E7}" name="Column5311"/>
    <tableColumn id="5323" xr3:uid="{E7EA50FB-584F-47A4-BBEF-48AF862E7FD0}" name="Column5312"/>
    <tableColumn id="5324" xr3:uid="{046DB9DA-7F00-4768-9540-A88D51914E41}" name="Column5313"/>
    <tableColumn id="5325" xr3:uid="{A7F53FA3-465A-4895-9B96-24D6ED539804}" name="Column5314"/>
    <tableColumn id="5326" xr3:uid="{4CC845DC-18D7-45BB-BA4C-066344660788}" name="Column5315"/>
    <tableColumn id="5327" xr3:uid="{D35265B0-65E0-4F87-A878-AEE4313F50BF}" name="Column5316"/>
    <tableColumn id="5328" xr3:uid="{47A22DFD-CE10-40A2-84AD-38B7DB3D321B}" name="Column5317"/>
    <tableColumn id="5329" xr3:uid="{8F9159A3-7E9B-4145-B05C-23A312EB0CE2}" name="Column5318"/>
    <tableColumn id="5330" xr3:uid="{ACFC5EA2-A322-46CC-94C6-A126357DEC2D}" name="Column5319"/>
    <tableColumn id="5331" xr3:uid="{B08F12AE-9871-4ACB-862D-DB6B78FB8A25}" name="Column5320"/>
    <tableColumn id="5332" xr3:uid="{8CCEED13-D593-4818-A652-F1998A894780}" name="Column5321"/>
    <tableColumn id="5333" xr3:uid="{D978D12A-7AF1-4931-81F0-96EA4D9C10FC}" name="Column5322"/>
    <tableColumn id="5334" xr3:uid="{F8F8928C-EB6A-4D7E-A23E-7F50FF106B4A}" name="Column5323"/>
    <tableColumn id="5335" xr3:uid="{68CAD683-900F-46BA-84D1-28ABA63F73B5}" name="Column5324"/>
    <tableColumn id="5336" xr3:uid="{3E8ABE01-3BD1-4898-A732-273E8A3C823C}" name="Column5325"/>
    <tableColumn id="5337" xr3:uid="{8255FFEA-3FF4-4788-AFF2-A73EFC9F3E97}" name="Column5326"/>
    <tableColumn id="5338" xr3:uid="{4B82D3E7-CD17-4335-9F95-C9CADB9445CE}" name="Column5327"/>
    <tableColumn id="5339" xr3:uid="{6903660F-1D04-43F4-A5EE-507C4BEF663E}" name="Column5328"/>
    <tableColumn id="5340" xr3:uid="{F25F0178-8A53-4788-A662-83035C14BA2A}" name="Column5329"/>
    <tableColumn id="5341" xr3:uid="{AFFDA8B3-83D6-47A8-81D1-0589245612CA}" name="Column5330"/>
    <tableColumn id="5342" xr3:uid="{A326B6C0-7D50-44A0-91FD-A1C2A18F2D59}" name="Column5331"/>
    <tableColumn id="5343" xr3:uid="{EB12F5D9-7ADD-418D-849F-2F700711A927}" name="Column5332"/>
    <tableColumn id="5344" xr3:uid="{B233F9BC-598A-48C1-9C1F-0A9E0C4EF062}" name="Column5333"/>
    <tableColumn id="5345" xr3:uid="{27DCB804-A1CE-4264-92EF-BE751C9492CF}" name="Column5334"/>
    <tableColumn id="5346" xr3:uid="{020A68A6-3F3C-4F45-BEDE-4CF81A64343A}" name="Column5335"/>
    <tableColumn id="5347" xr3:uid="{BA31A8D1-DFB6-435D-B4D0-674CE4B12EB2}" name="Column5336"/>
    <tableColumn id="5348" xr3:uid="{2735C450-D381-49F7-ACDD-F02E94F0CE1D}" name="Column5337"/>
    <tableColumn id="5349" xr3:uid="{69ADCB8B-DAAE-4C92-B5FC-2171EE5FBB03}" name="Column5338"/>
    <tableColumn id="5350" xr3:uid="{29AD712F-4F2B-42EC-9871-F4699A186A2B}" name="Column5339"/>
    <tableColumn id="5351" xr3:uid="{FEF685C0-D33C-491F-9D6B-3CDD6E8360BF}" name="Column5340"/>
    <tableColumn id="5352" xr3:uid="{F2EC28A6-DBCB-474D-9256-01608DFDB8D6}" name="Column5341"/>
    <tableColumn id="5353" xr3:uid="{C47534D7-58C7-439A-BAA9-AB599911CA7E}" name="Column5342"/>
    <tableColumn id="5354" xr3:uid="{01B951DB-AA36-43BE-AA70-8672E7F76784}" name="Column5343"/>
    <tableColumn id="5355" xr3:uid="{FE8E981B-0FFA-464A-B695-05B9C703ED3F}" name="Column5344"/>
    <tableColumn id="5356" xr3:uid="{B44CA20D-41F7-4734-BC69-A08A8FF066B3}" name="Column5345"/>
    <tableColumn id="5357" xr3:uid="{A0CD291A-6367-416F-8998-0B5F3F011386}" name="Column5346"/>
    <tableColumn id="5358" xr3:uid="{613D1602-46EC-48A5-874F-17A48C1072EC}" name="Column5347"/>
    <tableColumn id="5359" xr3:uid="{718763A3-989A-466B-BB7A-25588577D8F4}" name="Column5348"/>
    <tableColumn id="5360" xr3:uid="{CD0AC825-7FAA-442F-B5E8-ADAE04BD65AE}" name="Column5349"/>
    <tableColumn id="5361" xr3:uid="{2197AEA5-9A75-437F-92CA-FB1ABB78E65F}" name="Column5350"/>
    <tableColumn id="5362" xr3:uid="{B30DDF71-BB80-42EB-9757-4043C9107FEA}" name="Column5351"/>
    <tableColumn id="5363" xr3:uid="{708848CB-76A9-4419-87FE-8926240CD928}" name="Column5352"/>
    <tableColumn id="5364" xr3:uid="{F50055D1-CA6A-425C-A511-2EDD5825FF91}" name="Column5353"/>
    <tableColumn id="5365" xr3:uid="{14D5ABA8-70B1-47FF-B557-95740B87BBCC}" name="Column5354"/>
    <tableColumn id="5366" xr3:uid="{0DD1D349-ECEF-4BE2-9281-E5B894A3E6FD}" name="Column5355"/>
    <tableColumn id="5367" xr3:uid="{7DAD18DB-AD40-4836-A578-E467108AA627}" name="Column5356"/>
    <tableColumn id="5368" xr3:uid="{42E7B2E9-437F-42DE-B2BC-32EBE2FB913D}" name="Column5357"/>
    <tableColumn id="5369" xr3:uid="{87E89B7E-F6A1-4A60-91BE-44D2ACCCA944}" name="Column5358"/>
    <tableColumn id="5370" xr3:uid="{2E12CFBC-B89C-4551-90F4-A37232C6EB68}" name="Column5359"/>
    <tableColumn id="5371" xr3:uid="{260BDBFA-3125-44DE-A787-860041AF1B27}" name="Column5360"/>
    <tableColumn id="5372" xr3:uid="{F0E0B587-DF3A-46E1-AB62-31E3C894C6BE}" name="Column5361"/>
    <tableColumn id="5373" xr3:uid="{32AA7035-A909-40B3-9FA9-59792724F48C}" name="Column5362"/>
    <tableColumn id="5374" xr3:uid="{BE76A5DD-C2E7-4028-97C4-0A6A317BE01C}" name="Column5363"/>
    <tableColumn id="5375" xr3:uid="{A1CAB984-9C44-4D87-B06D-8E3CF57C2B40}" name="Column5364"/>
    <tableColumn id="5376" xr3:uid="{4171BD4A-DCCA-4B13-92B7-E8F3458134AE}" name="Column5365"/>
    <tableColumn id="5377" xr3:uid="{3BAB76AB-5CEF-4DDA-8572-395C7CA3C7C7}" name="Column5366"/>
    <tableColumn id="5378" xr3:uid="{BD661F33-79B3-4DE8-A896-A57D55BE988D}" name="Column5367"/>
    <tableColumn id="5379" xr3:uid="{D89CD0ED-6CD9-4E04-B46A-5A27DA99C73E}" name="Column5368"/>
    <tableColumn id="5380" xr3:uid="{8B68D5D2-8714-4A11-859E-9491CCAD9465}" name="Column5369"/>
    <tableColumn id="5381" xr3:uid="{4C831061-DB06-4595-821C-325231377805}" name="Column5370"/>
    <tableColumn id="5382" xr3:uid="{413B4862-9E91-48A9-88C7-559E5DDD33EB}" name="Column5371"/>
    <tableColumn id="5383" xr3:uid="{F1E7B69B-754C-4300-9DBA-D2742B70698B}" name="Column5372"/>
    <tableColumn id="5384" xr3:uid="{45862E1E-A299-42B8-B1D8-1B724E021AAC}" name="Column5373"/>
    <tableColumn id="5385" xr3:uid="{189A4D36-2EB7-43A2-91F0-AB42930D163C}" name="Column5374"/>
    <tableColumn id="5386" xr3:uid="{CC47D827-E2E2-4CDF-AF27-85B14DAB3044}" name="Column5375"/>
    <tableColumn id="5387" xr3:uid="{E03C6CC1-E1D2-4AB9-9EB2-CC9B4AEB9697}" name="Column5376"/>
    <tableColumn id="5388" xr3:uid="{FB5E2AF7-5341-4939-A588-5A73E7CCAD96}" name="Column5377"/>
    <tableColumn id="5389" xr3:uid="{BC20950E-323C-433D-B998-2706164E5311}" name="Column5378"/>
    <tableColumn id="5390" xr3:uid="{30A0DB8F-DDC4-40D6-9405-CEE9033B66F0}" name="Column5379"/>
    <tableColumn id="5391" xr3:uid="{7F9E68A9-B5CE-4B8C-BC2F-23DD80DE30F6}" name="Column5380"/>
    <tableColumn id="5392" xr3:uid="{DFF374AD-DCA3-4B84-B7F5-7660BD68A846}" name="Column5381"/>
    <tableColumn id="5393" xr3:uid="{E5A3175B-4CDD-4EBE-8629-2B4B171387C7}" name="Column5382"/>
    <tableColumn id="5394" xr3:uid="{A6775879-0966-4877-BC8F-846A9E7E4466}" name="Column5383"/>
    <tableColumn id="5395" xr3:uid="{BFDBB06D-A314-43B5-AA02-D250C76452A5}" name="Column5384"/>
    <tableColumn id="5396" xr3:uid="{4B853D61-8F49-4B40-955B-17D90EF928ED}" name="Column5385"/>
    <tableColumn id="5397" xr3:uid="{BF929061-8D45-4E4D-BE65-FFCB37E42B1C}" name="Column5386"/>
    <tableColumn id="5398" xr3:uid="{8C56C307-43C3-4D58-A147-1E91F363B6CE}" name="Column5387"/>
    <tableColumn id="5399" xr3:uid="{786DE4EB-AA2F-41C8-8E7B-D38A4BEA2D0C}" name="Column5388"/>
    <tableColumn id="5400" xr3:uid="{3CE1A700-EB4B-4EEF-A852-FB6FA7567E65}" name="Column5389"/>
    <tableColumn id="5401" xr3:uid="{69187010-63DA-4D84-9DA4-937DD742ED9B}" name="Column5390"/>
    <tableColumn id="5402" xr3:uid="{6FBC17AE-98CC-4280-9524-8BF67DFA2021}" name="Column5391"/>
    <tableColumn id="5403" xr3:uid="{D0514654-330D-4973-9EC4-FF95D2731C09}" name="Column5392"/>
    <tableColumn id="5404" xr3:uid="{5C475F2F-2D09-4F38-886E-C4501EE6EA30}" name="Column5393"/>
    <tableColumn id="5405" xr3:uid="{287017AC-E1FC-4927-BF30-5F8299E28F81}" name="Column5394"/>
    <tableColumn id="5406" xr3:uid="{8A0FDEA3-A061-4EBB-873E-AF744F3E43E5}" name="Column5395"/>
    <tableColumn id="5407" xr3:uid="{6EA5696A-3DA8-4D95-8B87-2099D04FB1AA}" name="Column5396"/>
    <tableColumn id="5408" xr3:uid="{C0146CE3-6D5F-4A04-9E26-781216AF19CD}" name="Column5397"/>
    <tableColumn id="5409" xr3:uid="{78726560-84C8-46D6-99EF-F15DD996FEA1}" name="Column5398"/>
    <tableColumn id="5410" xr3:uid="{CA477FE6-5686-4317-AAE4-7AD4411E1636}" name="Column5399"/>
    <tableColumn id="5411" xr3:uid="{236609E8-C57E-4530-B0E8-DE5C4DDE9BE1}" name="Column5400"/>
    <tableColumn id="5412" xr3:uid="{AC752D93-49E8-4955-8E8E-34B9166DD706}" name="Column5401"/>
    <tableColumn id="5413" xr3:uid="{B3A2D6AC-8EA8-40FF-AD7B-BE2B5A7A0446}" name="Column5402"/>
    <tableColumn id="5414" xr3:uid="{ADBDE254-2B28-45B4-89A0-B4028D726EB1}" name="Column5403"/>
    <tableColumn id="5415" xr3:uid="{C0F1FFC6-7961-46B1-BD64-BCE952AA88C1}" name="Column5404"/>
    <tableColumn id="5416" xr3:uid="{D0F02896-17E6-4C86-A13A-C3A5CBF6DE0D}" name="Column5405"/>
    <tableColumn id="5417" xr3:uid="{D9D76338-3C3D-4599-9D86-6B38B96F22B9}" name="Column5406"/>
    <tableColumn id="5418" xr3:uid="{C522292F-381B-47A1-B1C1-22B20C7207F8}" name="Column5407"/>
    <tableColumn id="5419" xr3:uid="{2A071985-B089-4B2D-AFE6-0CC3B57064EF}" name="Column5408"/>
    <tableColumn id="5420" xr3:uid="{10AE6AEC-812C-48F3-9A28-800CD510159A}" name="Column5409"/>
    <tableColumn id="5421" xr3:uid="{7389FAFE-90A3-4A04-9AC3-A43D54B949D6}" name="Column5410"/>
    <tableColumn id="5422" xr3:uid="{B2D500EA-EF6D-460C-853E-43DF61A3B073}" name="Column5411"/>
    <tableColumn id="5423" xr3:uid="{027B2EFA-0B16-4E4D-A490-37A68168EF7C}" name="Column5412"/>
    <tableColumn id="5424" xr3:uid="{0E30BC60-2C79-49B6-9917-2E895CDFBFD1}" name="Column5413"/>
    <tableColumn id="5425" xr3:uid="{64C24963-6E6C-4855-A081-F7FB1187B18A}" name="Column5414"/>
    <tableColumn id="5426" xr3:uid="{FD88EFFC-08F8-447C-BCF1-8F8FBF0E3015}" name="Column5415"/>
    <tableColumn id="5427" xr3:uid="{ABADBEA7-8A4B-4D47-9AE5-07F24E19BAF6}" name="Column5416"/>
    <tableColumn id="5428" xr3:uid="{61ECE2A6-CA66-471C-99A1-4DECD0083F42}" name="Column5417"/>
    <tableColumn id="5429" xr3:uid="{24AC8F01-6616-434C-B478-279D57E31F08}" name="Column5418"/>
    <tableColumn id="5430" xr3:uid="{318C3FF3-8F6B-4E1B-B028-D879F647FEDB}" name="Column5419"/>
    <tableColumn id="5431" xr3:uid="{72FB1412-DC71-45E9-8484-89BF2FA77C54}" name="Column5420"/>
    <tableColumn id="5432" xr3:uid="{5813D41B-7FDA-49DC-B0C2-8218725816A6}" name="Column5421"/>
    <tableColumn id="5433" xr3:uid="{487783DB-42C7-4ACE-896A-C136DD6D5649}" name="Column5422"/>
    <tableColumn id="5434" xr3:uid="{0D1F8BE0-6596-4BBC-9EF9-75D2B73F328A}" name="Column5423"/>
    <tableColumn id="5435" xr3:uid="{FEB03612-8CDD-4C02-8D0A-778FC61F27A8}" name="Column5424"/>
    <tableColumn id="5436" xr3:uid="{B91944DA-00DF-47C4-9641-FC848F0F596E}" name="Column5425"/>
    <tableColumn id="5437" xr3:uid="{ECA23449-C86A-418C-99EB-85A3EEA4FDE0}" name="Column5426"/>
    <tableColumn id="5438" xr3:uid="{F9329791-7E4D-47E1-8399-E7DAE573440B}" name="Column5427"/>
    <tableColumn id="5439" xr3:uid="{BA59EB55-4088-49F1-A455-822B49ECAE67}" name="Column5428"/>
    <tableColumn id="5440" xr3:uid="{7BB5BC5A-E5DD-47F6-8A07-B66D5799DF09}" name="Column5429"/>
    <tableColumn id="5441" xr3:uid="{99F72EB1-7EC2-45D2-A9B2-F6881960A52A}" name="Column5430"/>
    <tableColumn id="5442" xr3:uid="{082490C9-5E33-43F6-B8EA-8A68D09C211F}" name="Column5431"/>
    <tableColumn id="5443" xr3:uid="{45C9ECA7-72A9-4FD9-8ABC-AD3C162FF097}" name="Column5432"/>
    <tableColumn id="5444" xr3:uid="{8AC7F01E-C4C8-4CC5-AC41-795313A08233}" name="Column5433"/>
    <tableColumn id="5445" xr3:uid="{4794455D-5213-4D84-95D7-AAE06A1CCD0C}" name="Column5434"/>
    <tableColumn id="5446" xr3:uid="{7F81CB68-3826-422E-9A34-BBB5D8B66CB2}" name="Column5435"/>
    <tableColumn id="5447" xr3:uid="{8DC50984-52EF-4A1C-A71A-416807B0BD48}" name="Column5436"/>
    <tableColumn id="5448" xr3:uid="{973DAE1F-1D65-4E71-B096-882EF03E37FF}" name="Column5437"/>
    <tableColumn id="5449" xr3:uid="{E894CE42-64CC-4755-8CB6-B9DA76AD2537}" name="Column5438"/>
    <tableColumn id="5450" xr3:uid="{125F08BF-B8C1-430F-9402-7EF352D9A50F}" name="Column5439"/>
    <tableColumn id="5451" xr3:uid="{4211BF3C-C691-45F0-8157-16D8A9EE2599}" name="Column5440"/>
    <tableColumn id="5452" xr3:uid="{AF9AD987-4508-4F90-9CF0-3EB5009E2F68}" name="Column5441"/>
    <tableColumn id="5453" xr3:uid="{95634D2D-3333-41FB-A410-5B8DC3A1BF4D}" name="Column5442"/>
    <tableColumn id="5454" xr3:uid="{FCC33665-6D9E-4DCA-BD42-F271B208487E}" name="Column5443"/>
    <tableColumn id="5455" xr3:uid="{7CED8547-1011-4652-8B78-29C113D4BDA8}" name="Column5444"/>
    <tableColumn id="5456" xr3:uid="{4BAFBAC6-8FF6-44F8-BFFB-68E574FA7605}" name="Column5445"/>
    <tableColumn id="5457" xr3:uid="{E5765F98-581D-4212-9558-EAF57D704253}" name="Column5446"/>
    <tableColumn id="5458" xr3:uid="{4CB514DB-FE43-426C-B0AD-A2DC19541C26}" name="Column5447"/>
    <tableColumn id="5459" xr3:uid="{00A318BB-9C2A-45CD-A997-DC65DE283B31}" name="Column5448"/>
    <tableColumn id="5460" xr3:uid="{EA311D53-8661-4D6C-99E2-D001D1B57E6B}" name="Column5449"/>
    <tableColumn id="5461" xr3:uid="{F1A2806E-5030-4AB4-866E-40B2534492B9}" name="Column5450"/>
    <tableColumn id="5462" xr3:uid="{34B32CB7-F2FD-406F-BBC1-266586858897}" name="Column5451"/>
    <tableColumn id="5463" xr3:uid="{405DC233-3E8E-40E9-99B3-657B1F6DCD40}" name="Column5452"/>
    <tableColumn id="5464" xr3:uid="{69D92626-3FB2-4FB5-83BD-862311D3CCB9}" name="Column5453"/>
    <tableColumn id="5465" xr3:uid="{5CB9DBD1-EB63-4025-B03B-DFDFCDB564B3}" name="Column5454"/>
    <tableColumn id="5466" xr3:uid="{36F9CDF4-7E06-4E17-A14A-BFB345B03FC8}" name="Column5455"/>
    <tableColumn id="5467" xr3:uid="{9FC1D5F6-4808-4375-AC8C-A948756BCC67}" name="Column5456"/>
    <tableColumn id="5468" xr3:uid="{8ADAFFF8-6E35-4945-B6DD-DB761007E048}" name="Column5457"/>
    <tableColumn id="5469" xr3:uid="{3D3208FB-D44A-46DD-AC9A-AE6DDBE0A56B}" name="Column5458"/>
    <tableColumn id="5470" xr3:uid="{16550295-583B-4A6A-ADF8-540790709F91}" name="Column5459"/>
    <tableColumn id="5471" xr3:uid="{FA4CC63A-6BEA-4904-95E1-7D078FA0DA32}" name="Column5460"/>
    <tableColumn id="5472" xr3:uid="{792CC7DD-9491-4F24-A2EF-A57FE5C90053}" name="Column5461"/>
    <tableColumn id="5473" xr3:uid="{22BF8F44-ED52-4E48-BC3B-50A808A60FE3}" name="Column5462"/>
    <tableColumn id="5474" xr3:uid="{EE6FC0C8-BA90-49EE-984C-2E02B0EB7F57}" name="Column5463"/>
    <tableColumn id="5475" xr3:uid="{B2EE6B22-23BB-4345-B982-8766E74A7352}" name="Column5464"/>
    <tableColumn id="5476" xr3:uid="{42D81AD3-2144-4715-A808-72059C558533}" name="Column5465"/>
    <tableColumn id="5477" xr3:uid="{C62241D9-9B5E-413B-9419-E160C9F749EB}" name="Column5466"/>
    <tableColumn id="5478" xr3:uid="{9DF843EA-01E5-4587-9426-64CC065016B8}" name="Column5467"/>
    <tableColumn id="5479" xr3:uid="{396D9947-9FD9-42B8-954F-48E927B60E6A}" name="Column5468"/>
    <tableColumn id="5480" xr3:uid="{21457610-7117-4803-9D14-E790C8BEEBDB}" name="Column5469"/>
    <tableColumn id="5481" xr3:uid="{C4821D5E-4620-4A65-9B94-FFF9B73F1F62}" name="Column5470"/>
    <tableColumn id="5482" xr3:uid="{E2ECE60C-3AD0-4432-AF12-88DCE09361AD}" name="Column5471"/>
    <tableColumn id="5483" xr3:uid="{36EB3647-B617-401C-AAFF-C5088DCA971A}" name="Column5472"/>
    <tableColumn id="5484" xr3:uid="{3734EDAC-81AE-479E-A957-EB48C243DAC6}" name="Column5473"/>
    <tableColumn id="5485" xr3:uid="{6279A109-B8CC-4AF5-AEC3-B953479BCB00}" name="Column5474"/>
    <tableColumn id="5486" xr3:uid="{E967F87C-071D-41FE-845A-422DD27A7445}" name="Column5475"/>
    <tableColumn id="5487" xr3:uid="{AC6E9E5B-7A61-45EA-94CD-759684727261}" name="Column5476"/>
    <tableColumn id="5488" xr3:uid="{2913B61D-324B-4873-9A03-724EBEF2B331}" name="Column5477"/>
    <tableColumn id="5489" xr3:uid="{EAF29C0B-C34C-4FDD-A3A4-8D78AEA7F058}" name="Column5478"/>
    <tableColumn id="5490" xr3:uid="{B2CD52BC-E01E-4232-9EAA-5BF83BE69289}" name="Column5479"/>
    <tableColumn id="5491" xr3:uid="{E3F9AC15-51E3-4323-BC49-D2AC47ABB6A7}" name="Column5480"/>
    <tableColumn id="5492" xr3:uid="{1BE89099-FB52-4809-A40E-78ACEE394533}" name="Column5481"/>
    <tableColumn id="5493" xr3:uid="{19779095-88C0-49B9-B6CE-508518F261A3}" name="Column5482"/>
    <tableColumn id="5494" xr3:uid="{2D66BA4C-061B-4251-B9C7-9D5E738BDAE5}" name="Column5483"/>
    <tableColumn id="5495" xr3:uid="{F76AA59E-7080-4B6D-8B6A-64A78F9A13F9}" name="Column5484"/>
    <tableColumn id="5496" xr3:uid="{90B4F970-C6B4-44B0-8B61-970D2E20C0A4}" name="Column5485"/>
    <tableColumn id="5497" xr3:uid="{B354ABD8-4F22-47BC-8E9D-D17DB8B41F1F}" name="Column5486"/>
    <tableColumn id="5498" xr3:uid="{10E7308B-29AC-432D-B66C-CF0E44A7F876}" name="Column5487"/>
    <tableColumn id="5499" xr3:uid="{38CE7657-89FA-4C9E-AE70-CE5695B3BA01}" name="Column5488"/>
    <tableColumn id="5500" xr3:uid="{92CA3E7F-2C6E-4201-8667-FCD227C4A6F9}" name="Column5489"/>
    <tableColumn id="5501" xr3:uid="{AD8AC751-C711-4500-9F14-C3A502ACA32B}" name="Column5490"/>
    <tableColumn id="5502" xr3:uid="{C82A2620-535F-4A76-8118-218EF7E40A04}" name="Column5491"/>
    <tableColumn id="5503" xr3:uid="{F7A7BBE5-6EE7-4572-83C1-7CDCD24B6C46}" name="Column5492"/>
    <tableColumn id="5504" xr3:uid="{FDE73633-10AB-488C-A783-EC2DC09BD088}" name="Column5493"/>
    <tableColumn id="5505" xr3:uid="{6D08F7D2-93AD-40D3-AE78-E358ED34C2BF}" name="Column5494"/>
    <tableColumn id="5506" xr3:uid="{09E3493B-F873-4F45-A955-60E44263EEBE}" name="Column5495"/>
    <tableColumn id="5507" xr3:uid="{FFAFCF82-404E-4F19-8709-3CEC2B76071B}" name="Column5496"/>
    <tableColumn id="5508" xr3:uid="{6FD0B2B7-8140-4334-A5F8-18D2B50E9514}" name="Column5497"/>
    <tableColumn id="5509" xr3:uid="{DECD8FC3-FD0A-4188-A7F2-A2AF3180B0DD}" name="Column5498"/>
    <tableColumn id="5510" xr3:uid="{F84D4D23-12B8-4793-9754-31EF93444469}" name="Column5499"/>
    <tableColumn id="5511" xr3:uid="{F524D349-119A-45EA-B9F3-83B6F6CA6047}" name="Column5500"/>
    <tableColumn id="5512" xr3:uid="{6FD40C97-FF55-44FA-9827-A1AEDD21B790}" name="Column5501"/>
    <tableColumn id="5513" xr3:uid="{50D85C55-68C2-4537-B477-6EC52DB35F51}" name="Column5502"/>
    <tableColumn id="5514" xr3:uid="{5D924968-A442-406B-9F59-0F16CF76ACA9}" name="Column5503"/>
    <tableColumn id="5515" xr3:uid="{CCD401C9-65E8-48EA-A896-13220E988571}" name="Column5504"/>
    <tableColumn id="5516" xr3:uid="{B45BA802-4777-4D26-8174-6DFF7CD6B92C}" name="Column5505"/>
    <tableColumn id="5517" xr3:uid="{5F5E0516-6AD5-4CB1-8194-24C04143CFD6}" name="Column5506"/>
    <tableColumn id="5518" xr3:uid="{D2AD0DA0-EEBF-4E3F-88CF-6C931015FD63}" name="Column5507"/>
    <tableColumn id="5519" xr3:uid="{44257A85-CDBC-4C1A-B474-377B34336C35}" name="Column5508"/>
    <tableColumn id="5520" xr3:uid="{39070EC1-3A91-4C26-9036-92CA46210F40}" name="Column5509"/>
    <tableColumn id="5521" xr3:uid="{12802D11-9AF3-4CDC-8E1C-53CCFDFB9FFF}" name="Column5510"/>
    <tableColumn id="5522" xr3:uid="{9A50A551-3B51-45F8-BFE0-4F0FF3B05C60}" name="Column5511"/>
    <tableColumn id="5523" xr3:uid="{1C821276-C9BB-4EF6-B1C9-0B62F9AD7B2E}" name="Column5512"/>
    <tableColumn id="5524" xr3:uid="{B84ED951-E320-4BAE-B651-F6F9B9BA8DA0}" name="Column5513"/>
    <tableColumn id="5525" xr3:uid="{8B807912-CA46-4FBE-8E6D-5506980BF3BE}" name="Column5514"/>
    <tableColumn id="5526" xr3:uid="{5837DEA0-5CEB-4056-8091-AEA648CA1725}" name="Column5515"/>
    <tableColumn id="5527" xr3:uid="{08768880-10F0-43E5-8754-5100FF659461}" name="Column5516"/>
    <tableColumn id="5528" xr3:uid="{0BCC6121-32FD-4DC8-85FC-43A2EAF5E70F}" name="Column5517"/>
    <tableColumn id="5529" xr3:uid="{C4B9F26E-BCF6-4018-8171-39337F2178AA}" name="Column5518"/>
    <tableColumn id="5530" xr3:uid="{ABE86DF8-55CD-4BED-9C58-4ABE7254F261}" name="Column5519"/>
    <tableColumn id="5531" xr3:uid="{06C04B96-4099-46EA-830A-9650365E6823}" name="Column5520"/>
    <tableColumn id="5532" xr3:uid="{D7FC74D0-A50B-4251-BB74-83A1D1A11AD1}" name="Column5521"/>
    <tableColumn id="5533" xr3:uid="{A233DEB2-111E-4B9C-BC32-4AB633B1BB94}" name="Column5522"/>
    <tableColumn id="5534" xr3:uid="{C8FC7FEE-3D5C-4E00-893D-A744347C2CE4}" name="Column5523"/>
    <tableColumn id="5535" xr3:uid="{7611A764-F651-4F30-896E-8C1A84B2B596}" name="Column5524"/>
    <tableColumn id="5536" xr3:uid="{CA56E18D-5351-4365-93DC-8ED39B5A1387}" name="Column5525"/>
    <tableColumn id="5537" xr3:uid="{8E0C6374-2206-475C-B56B-1F334F9C87DB}" name="Column5526"/>
    <tableColumn id="5538" xr3:uid="{1943A134-2BE7-4BFD-A257-8C9347FED756}" name="Column5527"/>
    <tableColumn id="5539" xr3:uid="{96FF45AA-FA48-44F2-9F05-4212D524D9DD}" name="Column5528"/>
    <tableColumn id="5540" xr3:uid="{1960E5BC-22CF-4A2B-A2C5-D8CC601E7CB1}" name="Column5529"/>
    <tableColumn id="5541" xr3:uid="{F711A815-7D40-4AFB-8AA9-9E6D199B1D23}" name="Column5530"/>
    <tableColumn id="5542" xr3:uid="{F4BD4443-BB83-4BAB-B5FA-8DB958906016}" name="Column5531"/>
    <tableColumn id="5543" xr3:uid="{4C16AAA1-5DD9-4506-95BD-CEDF469FC207}" name="Column5532"/>
    <tableColumn id="5544" xr3:uid="{59862084-E25E-43BB-89D5-3AFBE54E4725}" name="Column5533"/>
    <tableColumn id="5545" xr3:uid="{C372B35D-5D16-4DD8-A34C-BFBC1A53F847}" name="Column5534"/>
    <tableColumn id="5546" xr3:uid="{C2F92A30-D7A1-4651-8508-10BD61DAE940}" name="Column5535"/>
    <tableColumn id="5547" xr3:uid="{7C0548D8-41CC-45B8-9887-62B6C92E9F0C}" name="Column5536"/>
    <tableColumn id="5548" xr3:uid="{7D6A4748-AEC2-44F2-A80D-2EAEB396E170}" name="Column5537"/>
    <tableColumn id="5549" xr3:uid="{512852A0-4E41-470B-A323-10B918138D3C}" name="Column5538"/>
    <tableColumn id="5550" xr3:uid="{F48265BC-C8FA-4EDD-A71F-DA8B2D7E862D}" name="Column5539"/>
    <tableColumn id="5551" xr3:uid="{263C691E-C57A-464E-A70E-BFB390A70283}" name="Column5540"/>
    <tableColumn id="5552" xr3:uid="{375A600E-A18A-4B9F-8BD6-06724931A008}" name="Column5541"/>
    <tableColumn id="5553" xr3:uid="{99295718-9B75-4A67-BB2D-D1725E6804E9}" name="Column5542"/>
    <tableColumn id="5554" xr3:uid="{E7E18D5D-7BEA-41F8-BC68-55F17785C6D0}" name="Column5543"/>
    <tableColumn id="5555" xr3:uid="{D63CE193-0AD2-4867-86F6-62643BC48979}" name="Column5544"/>
    <tableColumn id="5556" xr3:uid="{7BEAC883-7B19-46B4-9E58-91F1FC25443C}" name="Column5545"/>
    <tableColumn id="5557" xr3:uid="{995F0139-7613-4553-B4BA-3BF4B39426F8}" name="Column5546"/>
    <tableColumn id="5558" xr3:uid="{5E36BBE6-4D45-4D47-8847-0155045ED484}" name="Column5547"/>
    <tableColumn id="5559" xr3:uid="{C8F69AF2-F734-41A1-82FA-7B9FFD4CA70E}" name="Column5548"/>
    <tableColumn id="5560" xr3:uid="{93836059-F485-4DBD-8D28-4679CA806997}" name="Column5549"/>
    <tableColumn id="5561" xr3:uid="{34C10CAF-9A84-4700-8E3E-2DE14FB04332}" name="Column5550"/>
    <tableColumn id="5562" xr3:uid="{F48E52E8-3767-4E46-B6A2-5056D8381102}" name="Column5551"/>
    <tableColumn id="5563" xr3:uid="{52BE2673-0B09-4D89-B1CE-A182BD4F64F8}" name="Column5552"/>
    <tableColumn id="5564" xr3:uid="{FCB688FA-A748-47C2-B91D-2630F86D14E2}" name="Column5553"/>
    <tableColumn id="5565" xr3:uid="{E602704D-1440-41F0-98A3-27961385B3DA}" name="Column5554"/>
    <tableColumn id="5566" xr3:uid="{6C75D2FB-CA4D-4DB9-8582-633E124FCFE3}" name="Column5555"/>
    <tableColumn id="5567" xr3:uid="{ACEE5741-E938-49CF-8C48-B3445D9FCB87}" name="Column5556"/>
    <tableColumn id="5568" xr3:uid="{01A2B9BC-423E-4736-8DC3-2F1C6C315DC7}" name="Column5557"/>
    <tableColumn id="5569" xr3:uid="{10F37E5D-C453-43F0-BA65-5D10FAA39AEE}" name="Column5558"/>
    <tableColumn id="5570" xr3:uid="{1DF7F0B7-0167-4102-9FFE-39696876CE70}" name="Column5559"/>
    <tableColumn id="5571" xr3:uid="{D2AE7E3A-68AB-442A-9000-B13F073C615A}" name="Column5560"/>
    <tableColumn id="5572" xr3:uid="{B9034E99-A6D6-4201-A557-8CA15B98B358}" name="Column5561"/>
    <tableColumn id="5573" xr3:uid="{6D6CB064-4643-44C7-9FEB-8131D15EEE23}" name="Column5562"/>
    <tableColumn id="5574" xr3:uid="{F3003CB5-4BC3-4D83-8692-87EA5402F4CA}" name="Column5563"/>
    <tableColumn id="5575" xr3:uid="{D8B9D28C-8A04-4C1B-827F-D05674F371F3}" name="Column5564"/>
    <tableColumn id="5576" xr3:uid="{7FE8840F-1C42-48F5-821E-6C68B38698C2}" name="Column5565"/>
    <tableColumn id="5577" xr3:uid="{53683893-1887-4D00-A097-969E3044114E}" name="Column5566"/>
    <tableColumn id="5578" xr3:uid="{308E18D0-A2FA-43A7-A292-CA26D269C0F5}" name="Column5567"/>
    <tableColumn id="5579" xr3:uid="{15C310C8-F268-4FF6-A86B-5DFA96D40DD6}" name="Column5568"/>
    <tableColumn id="5580" xr3:uid="{E8E82C25-7E7C-4184-9D02-E1C4B252506C}" name="Column5569"/>
    <tableColumn id="5581" xr3:uid="{E7E13EF2-DBBE-4602-B551-E24BD84886B7}" name="Column5570"/>
    <tableColumn id="5582" xr3:uid="{84E8B068-427A-429A-B769-69B8D76BD69B}" name="Column5571"/>
    <tableColumn id="5583" xr3:uid="{1AC3AF33-1058-487C-B16D-7F6247AFB9C2}" name="Column5572"/>
    <tableColumn id="5584" xr3:uid="{997529F9-EFE8-4468-8AD3-C2DC6796D4D3}" name="Column5573"/>
    <tableColumn id="5585" xr3:uid="{A6A75FC5-9990-43B7-9CDB-E208CC53A2FD}" name="Column5574"/>
    <tableColumn id="5586" xr3:uid="{7394F1A2-9E0E-4A5A-9994-48B047EBD6F7}" name="Column5575"/>
    <tableColumn id="5587" xr3:uid="{559FB587-C622-44C2-B6D8-3C2F31D93C39}" name="Column5576"/>
    <tableColumn id="5588" xr3:uid="{2DE643D5-8448-42B5-BD0A-28C2001E9A54}" name="Column5577"/>
    <tableColumn id="5589" xr3:uid="{A079011A-5078-4FFC-A5F8-FAB474EB4524}" name="Column5578"/>
    <tableColumn id="5590" xr3:uid="{9E777600-DD04-4320-966F-239D789157AA}" name="Column5579"/>
    <tableColumn id="5591" xr3:uid="{C3FE95DE-70D8-4001-8F4B-99CF0F1DC410}" name="Column5580"/>
    <tableColumn id="5592" xr3:uid="{2DE2224E-6693-4075-B512-62BCD97A7595}" name="Column5581"/>
    <tableColumn id="5593" xr3:uid="{3E3C2845-944F-417B-AD1A-F3D8A6897D36}" name="Column5582"/>
    <tableColumn id="5594" xr3:uid="{B7D65B8C-A2BF-4B79-9589-9D917EDAA254}" name="Column5583"/>
    <tableColumn id="5595" xr3:uid="{24373A80-524F-4B0A-A04B-2A4A343EEE4A}" name="Column5584"/>
    <tableColumn id="5596" xr3:uid="{CB096873-F258-4CC0-9C22-9A86C8251050}" name="Column5585"/>
    <tableColumn id="5597" xr3:uid="{55552E67-4D10-4DBA-9A30-95A27E0C2771}" name="Column5586"/>
    <tableColumn id="5598" xr3:uid="{CF04FC9C-F0AE-4959-ADBE-807AB0009178}" name="Column5587"/>
    <tableColumn id="5599" xr3:uid="{167D0F07-3D4D-44F7-98AD-4A840D6789DF}" name="Column5588"/>
    <tableColumn id="5600" xr3:uid="{C75101D1-545A-46F5-95A2-E53B6CADAF13}" name="Column5589"/>
    <tableColumn id="5601" xr3:uid="{A87341BC-117F-463B-A477-BD432516086C}" name="Column5590"/>
    <tableColumn id="5602" xr3:uid="{335C7B48-DDF2-4866-915E-CDB32F8FCE08}" name="Column5591"/>
    <tableColumn id="5603" xr3:uid="{CC192A61-DE67-46E1-9DA1-A52378CB5DE2}" name="Column5592"/>
    <tableColumn id="5604" xr3:uid="{FD8BBFD2-DB9D-4660-96D3-44F2223BDB3D}" name="Column5593"/>
    <tableColumn id="5605" xr3:uid="{0E97D997-7AD3-4A2B-ABC3-A5AE264EF9F5}" name="Column5594"/>
    <tableColumn id="5606" xr3:uid="{B53899E1-389B-421A-A934-833385E92304}" name="Column5595"/>
    <tableColumn id="5607" xr3:uid="{DDE31F6F-EEC1-4B96-AC90-893338E8977C}" name="Column5596"/>
    <tableColumn id="5608" xr3:uid="{4C55F527-6AD2-4D82-9484-4863F7DFFCF4}" name="Column5597"/>
    <tableColumn id="5609" xr3:uid="{F5ADC31B-0FC9-4748-A8A1-F5385ECC46E7}" name="Column5598"/>
    <tableColumn id="5610" xr3:uid="{DC290CF5-3575-4643-8693-BA26D29CF5CD}" name="Column5599"/>
    <tableColumn id="5611" xr3:uid="{57DFFA40-F289-493C-B851-B12F756C27A2}" name="Column5600"/>
    <tableColumn id="5612" xr3:uid="{AB59E02D-3396-44CA-9290-7E3D8A891ED3}" name="Column5601"/>
    <tableColumn id="5613" xr3:uid="{650C06D7-0F06-4DF3-87BD-3E73886AF417}" name="Column5602"/>
    <tableColumn id="5614" xr3:uid="{E6B6861F-107E-436E-A96D-E97771F889EF}" name="Column5603"/>
    <tableColumn id="5615" xr3:uid="{0411A5DF-D67F-41E5-A629-3129BAA65536}" name="Column5604"/>
    <tableColumn id="5616" xr3:uid="{8539EF2E-7A05-4B05-9FE4-15A510BC9C71}" name="Column5605"/>
    <tableColumn id="5617" xr3:uid="{57BA061F-50A5-4EC5-9B60-23310B0E6177}" name="Column5606"/>
    <tableColumn id="5618" xr3:uid="{EAC2976D-1261-42EA-AC58-1EBE9A8972FB}" name="Column5607"/>
    <tableColumn id="5619" xr3:uid="{7D6AC503-6B14-481B-8C1B-8A965C9A85FE}" name="Column5608"/>
    <tableColumn id="5620" xr3:uid="{A257A142-9769-44E3-8CF6-4028C74D327F}" name="Column5609"/>
    <tableColumn id="5621" xr3:uid="{AE419B83-9099-437B-A016-7894F468F23C}" name="Column5610"/>
    <tableColumn id="5622" xr3:uid="{12DB1D09-9D42-41C1-8709-F97AB4C36456}" name="Column5611"/>
    <tableColumn id="5623" xr3:uid="{469F2789-F2FD-49C3-8B54-128D26CFA820}" name="Column5612"/>
    <tableColumn id="5624" xr3:uid="{E5E77996-D361-47C3-9480-0CEBB74E2C16}" name="Column5613"/>
    <tableColumn id="5625" xr3:uid="{47C35A33-2867-408F-A3E6-88189E53BF06}" name="Column5614"/>
    <tableColumn id="5626" xr3:uid="{F4699518-36E1-4915-8E90-4EDF6D81C60D}" name="Column5615"/>
    <tableColumn id="5627" xr3:uid="{66E6D25B-2428-4C56-B492-6995537EE6C3}" name="Column5616"/>
    <tableColumn id="5628" xr3:uid="{AD8E17A5-2E2B-4CA1-B6E2-E07AEBA1A3DB}" name="Column5617"/>
    <tableColumn id="5629" xr3:uid="{CC7064D6-B5CD-4149-BCB2-F147B005A3A6}" name="Column5618"/>
    <tableColumn id="5630" xr3:uid="{A11F8864-603F-4CFC-B573-C210F950E64C}" name="Column5619"/>
    <tableColumn id="5631" xr3:uid="{E7A2CAEB-15A4-4FDD-BEB6-1A8074E725A2}" name="Column5620"/>
    <tableColumn id="5632" xr3:uid="{E501A867-98B9-4A58-9713-1AD4516BD632}" name="Column5621"/>
    <tableColumn id="5633" xr3:uid="{BD27EF36-9625-4D2F-B1EB-92598D68F8E0}" name="Column5622"/>
    <tableColumn id="5634" xr3:uid="{4B6BA8A3-7723-479D-A146-6BA9438C34E2}" name="Column5623"/>
    <tableColumn id="5635" xr3:uid="{E0C9D719-AD90-4F46-9543-3922ABA9120A}" name="Column5624"/>
    <tableColumn id="5636" xr3:uid="{88D6C74E-649D-49DB-AF77-C6FF557F970E}" name="Column5625"/>
    <tableColumn id="5637" xr3:uid="{EC953B63-B184-4645-8247-E817CE3CBC45}" name="Column5626"/>
    <tableColumn id="5638" xr3:uid="{84CC406C-E0F2-4F27-90A4-15FD7F32EC34}" name="Column5627"/>
    <tableColumn id="5639" xr3:uid="{A482AE3E-07AB-49B9-97F5-18DC758CA091}" name="Column5628"/>
    <tableColumn id="5640" xr3:uid="{0EB01394-A046-4087-8E28-C0E5AC3D6C39}" name="Column5629"/>
    <tableColumn id="5641" xr3:uid="{9DCC3A5D-D72A-4957-9C12-EA2A6C5FFC10}" name="Column5630"/>
    <tableColumn id="5642" xr3:uid="{64CCFCEE-DA64-4880-B5E8-E729C54FCCBF}" name="Column5631"/>
    <tableColumn id="5643" xr3:uid="{C5089A4F-2053-4F54-BE92-E7D477BDBD79}" name="Column5632"/>
    <tableColumn id="5644" xr3:uid="{4B13B5C3-A99C-4348-A814-67FE44902763}" name="Column5633"/>
    <tableColumn id="5645" xr3:uid="{DAFF6EF2-A5A4-4BF3-8DA9-6C063804EF46}" name="Column5634"/>
    <tableColumn id="5646" xr3:uid="{DDFB59A7-4086-4E91-BA7B-8BC834349A38}" name="Column5635"/>
    <tableColumn id="5647" xr3:uid="{3EA6E6BB-8F0A-4272-9AFA-F640B4857832}" name="Column5636"/>
    <tableColumn id="5648" xr3:uid="{EE03C705-7BC4-4CAE-94C7-1970C79C46AD}" name="Column5637"/>
    <tableColumn id="5649" xr3:uid="{F822D82C-6720-4225-93A9-9C639B323B3C}" name="Column5638"/>
    <tableColumn id="5650" xr3:uid="{C8A0B5B8-FBDA-48CF-816E-B1A349FEA4A3}" name="Column5639"/>
    <tableColumn id="5651" xr3:uid="{F9F6F295-C87A-4511-BA51-AAD18C50520B}" name="Column5640"/>
    <tableColumn id="5652" xr3:uid="{7401418F-64FF-4773-AE86-3F53DA24A402}" name="Column5641"/>
    <tableColumn id="5653" xr3:uid="{6AA60A5B-83C0-4B92-B3FD-9F2E63E8E537}" name="Column5642"/>
    <tableColumn id="5654" xr3:uid="{49B2C4E9-58CE-4AEB-8A03-7B04CAFDBAE4}" name="Column5643"/>
    <tableColumn id="5655" xr3:uid="{061D3508-AAA0-4A4F-8FD4-4919820AC80F}" name="Column5644"/>
    <tableColumn id="5656" xr3:uid="{3B965E4A-81BA-4F26-AE1C-E7EE0171E345}" name="Column5645"/>
    <tableColumn id="5657" xr3:uid="{75042008-5B84-41E1-8D96-001533660230}" name="Column5646"/>
    <tableColumn id="5658" xr3:uid="{56927451-2253-43E0-BBDB-4A1A00988259}" name="Column5647"/>
    <tableColumn id="5659" xr3:uid="{FF1883F0-958B-4054-9CCB-EB4F95527773}" name="Column5648"/>
    <tableColumn id="5660" xr3:uid="{88CCC8B1-A6EE-4BBA-91AD-58C3965399F2}" name="Column5649"/>
    <tableColumn id="5661" xr3:uid="{1F947713-F327-4A29-AC89-D25869543975}" name="Column5650"/>
    <tableColumn id="5662" xr3:uid="{0A24C678-C0B7-4531-82D7-8417EB2A4FEF}" name="Column5651"/>
    <tableColumn id="5663" xr3:uid="{9BCC45A3-9F81-4349-9737-6EA06D39B9DA}" name="Column5652"/>
    <tableColumn id="5664" xr3:uid="{A8718D74-9458-478C-9016-F62D4A6B8D15}" name="Column5653"/>
    <tableColumn id="5665" xr3:uid="{852B85A8-61D7-48D7-BF91-09C986D9353D}" name="Column5654"/>
    <tableColumn id="5666" xr3:uid="{49E27F04-D487-429C-BF4E-46706F0F99C3}" name="Column5655"/>
    <tableColumn id="5667" xr3:uid="{681D79D2-3FA3-44DD-9A57-79FBDB89214B}" name="Column5656"/>
    <tableColumn id="5668" xr3:uid="{EDA412AB-1C68-48AA-B49E-CBA78D48A31C}" name="Column5657"/>
    <tableColumn id="5669" xr3:uid="{80D6F64D-EFF6-4428-B40B-9DD5974BC49D}" name="Column5658"/>
    <tableColumn id="5670" xr3:uid="{6256CD53-DD3C-4024-B3D3-A438F0D04105}" name="Column5659"/>
    <tableColumn id="5671" xr3:uid="{1C974922-DD1A-4D5B-95CD-DBD71EBD4154}" name="Column5660"/>
    <tableColumn id="5672" xr3:uid="{4D6FB7B9-8ED0-4494-AB1E-00AD4BAAB1F1}" name="Column5661"/>
    <tableColumn id="5673" xr3:uid="{38D733F8-BD57-4FA5-8CAE-F128FA4B198F}" name="Column5662"/>
    <tableColumn id="5674" xr3:uid="{62E9408A-DEC5-4FF7-BC09-3E4F5AEAC996}" name="Column5663"/>
    <tableColumn id="5675" xr3:uid="{0C0502F9-E50D-43FB-8379-EFF3679A6045}" name="Column5664"/>
    <tableColumn id="5676" xr3:uid="{AC52F534-E2EF-4742-992B-661EFBD4087E}" name="Column5665"/>
    <tableColumn id="5677" xr3:uid="{6DDE1A1B-BC8E-47D7-B626-B3BD14529943}" name="Column5666"/>
    <tableColumn id="5678" xr3:uid="{DDEA9972-9CA6-4BFD-882E-86CF2A0ECE22}" name="Column5667"/>
    <tableColumn id="5679" xr3:uid="{C9471335-83B8-42A0-89BB-2137565C4A5A}" name="Column5668"/>
    <tableColumn id="5680" xr3:uid="{5C76381B-9F9A-4EB8-8C96-5418494A3507}" name="Column5669"/>
    <tableColumn id="5681" xr3:uid="{3093951A-0470-4D80-8EE0-21E2ACAB6B00}" name="Column5670"/>
    <tableColumn id="5682" xr3:uid="{EF438FFC-2C8E-485E-95C7-83EA53257D94}" name="Column5671"/>
    <tableColumn id="5683" xr3:uid="{F185F101-0949-4A09-A7FE-E0462F2C57AA}" name="Column5672"/>
    <tableColumn id="5684" xr3:uid="{836559B0-0E3E-4387-A499-FD91AD7E0276}" name="Column5673"/>
    <tableColumn id="5685" xr3:uid="{00D26A35-6BB0-4236-9AFA-2A57E7C71AF4}" name="Column5674"/>
    <tableColumn id="5686" xr3:uid="{999EC9AC-8ECE-4680-9B8F-A92FB6134CA7}" name="Column5675"/>
    <tableColumn id="5687" xr3:uid="{B6FE24E0-42E8-4258-A6C7-64CD95754DF3}" name="Column5676"/>
    <tableColumn id="5688" xr3:uid="{B6082793-2795-4971-9A56-19C661F008F4}" name="Column5677"/>
    <tableColumn id="5689" xr3:uid="{930D9E63-A226-4FCA-9FA4-730E3FBE50C0}" name="Column5678"/>
    <tableColumn id="5690" xr3:uid="{7866BD39-B494-45B6-953F-05D07DB29CEA}" name="Column5679"/>
    <tableColumn id="5691" xr3:uid="{E817FE1C-E186-4EF2-BE31-63859516C016}" name="Column5680"/>
    <tableColumn id="5692" xr3:uid="{D25F1B50-E909-4954-8DCD-19946C534D48}" name="Column5681"/>
    <tableColumn id="5693" xr3:uid="{BE8E29F5-6D8C-4044-AD3A-F2F605B9CB88}" name="Column5682"/>
    <tableColumn id="5694" xr3:uid="{C34E3497-9202-4469-A649-2D94BF49FB55}" name="Column5683"/>
    <tableColumn id="5695" xr3:uid="{9FAE892A-5ACB-40DE-B70D-B071CB664D66}" name="Column5684"/>
    <tableColumn id="5696" xr3:uid="{B71F91F9-CDA0-429A-829F-71D269ECDAD8}" name="Column5685"/>
    <tableColumn id="5697" xr3:uid="{4AD3F0AF-5023-4F92-8766-FCA8C1A78434}" name="Column5686"/>
    <tableColumn id="5698" xr3:uid="{48719CA9-2E19-432A-9772-814FCC011C03}" name="Column5687"/>
    <tableColumn id="5699" xr3:uid="{89ABA613-5974-4647-A553-BBEB4B242D40}" name="Column5688"/>
    <tableColumn id="5700" xr3:uid="{07DC7D0D-B628-468F-B3EC-175EFC1E4415}" name="Column5689"/>
    <tableColumn id="5701" xr3:uid="{771A3511-9946-4EEC-85E2-762D098AACE0}" name="Column5690"/>
    <tableColumn id="5702" xr3:uid="{E8171442-050E-4210-BFB2-06ED3E13A2AA}" name="Column5691"/>
    <tableColumn id="5703" xr3:uid="{8D061947-E576-4425-B7A2-BC99CB4D0757}" name="Column5692"/>
    <tableColumn id="5704" xr3:uid="{4BF2B79B-1C95-4638-9559-FAA78481AD1F}" name="Column5693"/>
    <tableColumn id="5705" xr3:uid="{5B9FAFFA-5B71-4FB7-8E44-1E9831A7E068}" name="Column5694"/>
    <tableColumn id="5706" xr3:uid="{A829099A-1F1C-47B7-AD2D-FFB8E237CA42}" name="Column5695"/>
    <tableColumn id="5707" xr3:uid="{09E389F3-832C-4D9B-992D-D0E3B6EFCA67}" name="Column5696"/>
    <tableColumn id="5708" xr3:uid="{EB67B3D0-01D3-4EB4-B471-0B3C9C391A5C}" name="Column5697"/>
    <tableColumn id="5709" xr3:uid="{CFDCFDC8-EC49-42E8-82B4-D1F8EEE105D8}" name="Column5698"/>
    <tableColumn id="5710" xr3:uid="{F226FD97-0D1B-4EE8-AC1D-D2A6EE252B33}" name="Column5699"/>
    <tableColumn id="5711" xr3:uid="{AD3585F7-12FA-4241-89DC-141B7F29CA88}" name="Column5700"/>
    <tableColumn id="5712" xr3:uid="{7125BCEC-1FA5-4AAE-BD02-AF0832336B2B}" name="Column5701"/>
    <tableColumn id="5713" xr3:uid="{F8494C87-6132-42A0-AD91-43C726C844C8}" name="Column5702"/>
    <tableColumn id="5714" xr3:uid="{04FABF92-8C0D-415E-AE2C-DEEF05804F38}" name="Column5703"/>
    <tableColumn id="5715" xr3:uid="{425684AB-BD3E-4B12-95B4-427E2FFE919D}" name="Column5704"/>
    <tableColumn id="5716" xr3:uid="{C55CA09A-1174-4E25-9FF3-AF2B6DBBDEAC}" name="Column5705"/>
    <tableColumn id="5717" xr3:uid="{61B723D5-4432-4DC8-9D8E-6E2F3B9BC2A4}" name="Column5706"/>
    <tableColumn id="5718" xr3:uid="{97CA1B16-53A7-4D1A-A3D7-558624D54192}" name="Column5707"/>
    <tableColumn id="5719" xr3:uid="{8DF12F6F-A7FA-48F1-B880-379ACD6ED124}" name="Column5708"/>
    <tableColumn id="5720" xr3:uid="{EC4FF5AF-8170-4292-9525-D1A39A1261AF}" name="Column5709"/>
    <tableColumn id="5721" xr3:uid="{3DD4DDC2-3B3B-43AB-AAD1-8F1C7368E78E}" name="Column5710"/>
    <tableColumn id="5722" xr3:uid="{93B68D6B-56E0-4EEA-944F-415B1E33B19A}" name="Column5711"/>
    <tableColumn id="5723" xr3:uid="{5328BB54-FB14-42D5-871B-5FD3478E9A90}" name="Column5712"/>
    <tableColumn id="5724" xr3:uid="{130F9E7D-6C65-4989-99A0-71A9FC9E9EF8}" name="Column5713"/>
    <tableColumn id="5725" xr3:uid="{B8E6CB61-67C2-4403-BFFE-8FEBBEE11EB4}" name="Column5714"/>
    <tableColumn id="5726" xr3:uid="{FAC3ED37-E7C1-471A-839C-CBB5632C06AF}" name="Column5715"/>
    <tableColumn id="5727" xr3:uid="{D61A4430-80BA-4467-83E1-1C0DD5FED15A}" name="Column5716"/>
    <tableColumn id="5728" xr3:uid="{83BC140C-428D-48D0-81D2-56FB7E4B466D}" name="Column5717"/>
    <tableColumn id="5729" xr3:uid="{34A41772-6E11-4F7D-91B8-751F6F0B1730}" name="Column5718"/>
    <tableColumn id="5730" xr3:uid="{3347380C-FB35-4927-9641-3900F1B904D3}" name="Column5719"/>
    <tableColumn id="5731" xr3:uid="{91295BAA-EDA6-4331-8429-C9893FD9A1DD}" name="Column5720"/>
    <tableColumn id="5732" xr3:uid="{FB89818B-5BF1-4305-B0E4-94F089510979}" name="Column5721"/>
    <tableColumn id="5733" xr3:uid="{18CED323-FF7F-45C3-BFF1-88246D6B0091}" name="Column5722"/>
    <tableColumn id="5734" xr3:uid="{570CBBC5-1C9C-4A92-BF87-7D35399E1B14}" name="Column5723"/>
    <tableColumn id="5735" xr3:uid="{C557CB8B-F8FD-47A2-A2FB-4890ADE43598}" name="Column5724"/>
    <tableColumn id="5736" xr3:uid="{E721BA1F-6F18-40BD-A202-F935474A5016}" name="Column5725"/>
    <tableColumn id="5737" xr3:uid="{EAD91436-9645-48F1-8079-84C9C1A29177}" name="Column5726"/>
    <tableColumn id="5738" xr3:uid="{6DFBBF26-9814-4751-A2E3-21B49B0FC9E3}" name="Column5727"/>
    <tableColumn id="5739" xr3:uid="{7ADFCC6E-FD79-4FC6-9B48-FCCEDFBA684A}" name="Column5728"/>
    <tableColumn id="5740" xr3:uid="{E2F1D489-001A-4F7F-836B-A260EC98DC19}" name="Column5729"/>
    <tableColumn id="5741" xr3:uid="{AD7D846C-A261-47F9-8E8A-CE174D43F089}" name="Column5730"/>
    <tableColumn id="5742" xr3:uid="{C52173E2-4B4B-4CE2-A0EA-D53DBB42F052}" name="Column5731"/>
    <tableColumn id="5743" xr3:uid="{544CD1BE-A30D-4E17-A302-4DD8EA12D706}" name="Column5732"/>
    <tableColumn id="5744" xr3:uid="{54B46F2B-F4FD-4198-AFC5-9726447A727A}" name="Column5733"/>
    <tableColumn id="5745" xr3:uid="{74F1AD00-35C9-4366-A8FB-32FCCC69AD6B}" name="Column5734"/>
    <tableColumn id="5746" xr3:uid="{0ED23DF7-594D-4E34-B936-6DDFB2B14ACC}" name="Column5735"/>
    <tableColumn id="5747" xr3:uid="{98F72CAE-54A2-4B55-B2AF-6F0AA4216941}" name="Column5736"/>
    <tableColumn id="5748" xr3:uid="{6D0DEB5B-30CD-456A-9FC4-FE0B736391BE}" name="Column5737"/>
    <tableColumn id="5749" xr3:uid="{F24F4545-8FFB-4BC1-A27B-0ACB03B4E4ED}" name="Column5738"/>
    <tableColumn id="5750" xr3:uid="{8F8ACE53-B935-463F-9B7F-697E8CAE89BD}" name="Column5739"/>
    <tableColumn id="5751" xr3:uid="{CEFB2B3E-5DE3-4C9A-A01D-3699F9257A81}" name="Column5740"/>
    <tableColumn id="5752" xr3:uid="{AEE69F6C-C124-449C-804A-60E936BD2C88}" name="Column5741"/>
    <tableColumn id="5753" xr3:uid="{750587D3-F251-4BD4-8556-2C4D815DC816}" name="Column5742"/>
    <tableColumn id="5754" xr3:uid="{F2D53D6E-20C6-4D08-841C-121D12685016}" name="Column5743"/>
    <tableColumn id="5755" xr3:uid="{B9D7834D-4842-4097-8830-348B4473A9D7}" name="Column5744"/>
    <tableColumn id="5756" xr3:uid="{781BFAF0-9F8C-483C-AE96-9DFBE33B8A95}" name="Column5745"/>
    <tableColumn id="5757" xr3:uid="{79EA9BA3-4AF1-4BE3-B5B6-51EFFFC2FFCD}" name="Column5746"/>
    <tableColumn id="5758" xr3:uid="{2E24874A-34BB-4D34-8E6A-91336DE30C69}" name="Column5747"/>
    <tableColumn id="5759" xr3:uid="{A37DF7E5-193A-4885-BF60-AA112C75D4C1}" name="Column5748"/>
    <tableColumn id="5760" xr3:uid="{2A33905E-0B04-4196-ACEB-DFB4992D6C66}" name="Column5749"/>
    <tableColumn id="5761" xr3:uid="{9291D15C-549D-4CD7-A792-36A55946BD2F}" name="Column5750"/>
    <tableColumn id="5762" xr3:uid="{602438B7-809A-4430-9C5F-AF3F2E54BA69}" name="Column5751"/>
    <tableColumn id="5763" xr3:uid="{DDAF885C-5421-4EF0-B40D-4D3BAC2C562A}" name="Column5752"/>
    <tableColumn id="5764" xr3:uid="{BE9B9211-8CF8-4E14-B492-50949EB29FEC}" name="Column5753"/>
    <tableColumn id="5765" xr3:uid="{BC0CF3A3-2748-4527-AD1A-1E1FE0490BC0}" name="Column5754"/>
    <tableColumn id="5766" xr3:uid="{65EB2757-F7DC-45E6-9810-5EF0CE3D3F48}" name="Column5755"/>
    <tableColumn id="5767" xr3:uid="{959FDDAF-63A0-4BCE-83BC-823384495E41}" name="Column5756"/>
    <tableColumn id="5768" xr3:uid="{F4FF47EB-C029-4B9D-A76F-829E8B96CB9A}" name="Column5757"/>
    <tableColumn id="5769" xr3:uid="{21125A0D-410D-4438-B168-7CC58D0F344D}" name="Column5758"/>
    <tableColumn id="5770" xr3:uid="{9AF1B279-EB92-4C88-ADD8-6C2CB63908CC}" name="Column5759"/>
    <tableColumn id="5771" xr3:uid="{35923683-6021-4FAF-A5C8-1A6AB0233837}" name="Column5760"/>
    <tableColumn id="5772" xr3:uid="{5A4B644E-550C-455B-8497-5CC8BE7F1997}" name="Column5761"/>
    <tableColumn id="5773" xr3:uid="{758EC6EC-1B33-49C1-B6E1-C5DE0D979F85}" name="Column5762"/>
    <tableColumn id="5774" xr3:uid="{0B365982-3EA6-4CF7-8236-58C6E88A8EB3}" name="Column5763"/>
    <tableColumn id="5775" xr3:uid="{C84A27AC-3667-4740-9E5E-5E82EEC4AAE6}" name="Column5764"/>
    <tableColumn id="5776" xr3:uid="{FB078532-3ABB-455B-9D36-95AF18E17F26}" name="Column5765"/>
    <tableColumn id="5777" xr3:uid="{1E39285B-EAE4-4EC5-B099-A22A41EF6E1F}" name="Column5766"/>
    <tableColumn id="5778" xr3:uid="{148FBB41-292F-4FD8-B1D1-903BBB8B84ED}" name="Column5767"/>
    <tableColumn id="5779" xr3:uid="{B7096AD2-40A8-45CA-ACAD-F17F393E4319}" name="Column5768"/>
    <tableColumn id="5780" xr3:uid="{386506CD-7D9C-4F3F-93DB-8AAAAFD7A52E}" name="Column5769"/>
    <tableColumn id="5781" xr3:uid="{3577680E-1958-488E-8B56-C7873B425900}" name="Column5770"/>
    <tableColumn id="5782" xr3:uid="{BB921326-F23B-45C8-A7DC-B33F1CD0943E}" name="Column5771"/>
    <tableColumn id="5783" xr3:uid="{C36D6D29-9229-4684-83CA-C9D7BC856E54}" name="Column5772"/>
    <tableColumn id="5784" xr3:uid="{41029411-8DEC-4F97-A363-25CDBF6B734D}" name="Column5773"/>
    <tableColumn id="5785" xr3:uid="{504FD14D-F1A2-4D4F-81A4-0389631CEEEE}" name="Column5774"/>
    <tableColumn id="5786" xr3:uid="{059B033C-05A4-4678-A77F-B3FF94AC9575}" name="Column5775"/>
    <tableColumn id="5787" xr3:uid="{8C31F584-BABD-4038-A9E5-5A5875FEBB73}" name="Column5776"/>
    <tableColumn id="5788" xr3:uid="{8F847DBE-5BC4-42E8-BDF8-442FCF6C3476}" name="Column5777"/>
    <tableColumn id="5789" xr3:uid="{1E3D7B35-6F32-45E7-A804-0F0265DB757D}" name="Column5778"/>
    <tableColumn id="5790" xr3:uid="{FFBDAD35-E871-4E87-9599-8C17D214A1D1}" name="Column5779"/>
    <tableColumn id="5791" xr3:uid="{E96DF539-8F8E-48DB-9139-6B4A754268D2}" name="Column5780"/>
    <tableColumn id="5792" xr3:uid="{B30A6911-BF37-4D6F-9D75-0CBD5BD8B2D1}" name="Column5781"/>
    <tableColumn id="5793" xr3:uid="{5CD0BD71-2189-44B0-921A-7FE50DF6AE83}" name="Column5782"/>
    <tableColumn id="5794" xr3:uid="{B6764F1A-B93D-4B96-AEBB-975B71E2DBFC}" name="Column5783"/>
    <tableColumn id="5795" xr3:uid="{15880CBC-580E-42DB-B2C8-C07A90FE7F60}" name="Column5784"/>
    <tableColumn id="5796" xr3:uid="{BD9490ED-8CD5-405C-A46F-BF5FAA895332}" name="Column5785"/>
    <tableColumn id="5797" xr3:uid="{8B4B95E8-AD0F-4BCB-B3EE-4DD73967F8E3}" name="Column5786"/>
    <tableColumn id="5798" xr3:uid="{CC978B3D-4692-4294-A118-AFA0279408EA}" name="Column5787"/>
    <tableColumn id="5799" xr3:uid="{AC773D3A-790B-4B0E-BE2E-8200ECAF4C0E}" name="Column5788"/>
    <tableColumn id="5800" xr3:uid="{3E583EAF-3741-494C-B3FA-9F9812725E06}" name="Column5789"/>
    <tableColumn id="5801" xr3:uid="{4F9E1D12-E356-4A46-B48D-ECB9B1FEF798}" name="Column5790"/>
    <tableColumn id="5802" xr3:uid="{8100B99D-7E2B-4CA6-95F2-4D3AE56AC8AF}" name="Column5791"/>
    <tableColumn id="5803" xr3:uid="{21C29EE3-0FCD-44C4-8286-9ACA0348B27F}" name="Column5792"/>
    <tableColumn id="5804" xr3:uid="{780BF80C-9522-4114-9C74-934C456A44E7}" name="Column5793"/>
    <tableColumn id="5805" xr3:uid="{6B36881D-E1DD-4F08-B25A-ACC9BC995DC4}" name="Column5794"/>
    <tableColumn id="5806" xr3:uid="{6FD9F204-3AC8-4DB6-9F74-25CD4C9A6546}" name="Column5795"/>
    <tableColumn id="5807" xr3:uid="{507C9E78-3FF1-4D4E-B5CF-10EC6A94D79A}" name="Column5796"/>
    <tableColumn id="5808" xr3:uid="{704D40DB-E50D-4B54-B3B7-419025750617}" name="Column5797"/>
    <tableColumn id="5809" xr3:uid="{A70D178B-F6A3-4033-B7C9-94CD00D299F9}" name="Column5798"/>
    <tableColumn id="5810" xr3:uid="{A02D348B-111E-4A27-A7E0-F04E1BB8F6D3}" name="Column5799"/>
    <tableColumn id="5811" xr3:uid="{3AADBE28-F128-4799-BA70-6DF9A96187C5}" name="Column5800"/>
    <tableColumn id="5812" xr3:uid="{19244D9B-0D7C-488C-95B2-BBB83FE7F71F}" name="Column5801"/>
    <tableColumn id="5813" xr3:uid="{B1239309-E91B-483C-B6C1-060166606B7C}" name="Column5802"/>
    <tableColumn id="5814" xr3:uid="{B51B899E-6834-4C1D-BBE7-BE617058489E}" name="Column5803"/>
    <tableColumn id="5815" xr3:uid="{D2E4506B-BC32-447B-9B7A-A8FED2762FA4}" name="Column5804"/>
    <tableColumn id="5816" xr3:uid="{0191BCB8-497E-403B-B62D-986AE8A30180}" name="Column5805"/>
    <tableColumn id="5817" xr3:uid="{BBBB7F0D-BC14-4C6D-85B7-EFA54FE6A57F}" name="Column5806"/>
    <tableColumn id="5818" xr3:uid="{880FB937-2411-4067-A9DA-4E37638600A3}" name="Column5807"/>
    <tableColumn id="5819" xr3:uid="{29CC9E2B-1531-48AB-8358-6107625F8DF8}" name="Column5808"/>
    <tableColumn id="5820" xr3:uid="{25A5BCBF-6171-4339-A032-C5E133A7C272}" name="Column5809"/>
    <tableColumn id="5821" xr3:uid="{EEAE16CA-3CFA-4712-9725-EAE95485138B}" name="Column5810"/>
    <tableColumn id="5822" xr3:uid="{3DBCF72F-1BA5-4D3B-9934-699187376CCC}" name="Column5811"/>
    <tableColumn id="5823" xr3:uid="{713F3726-0399-477F-B63E-9F79E06457CA}" name="Column5812"/>
    <tableColumn id="5824" xr3:uid="{88912E66-320E-4E18-BF2F-D3E0AE5AF52A}" name="Column5813"/>
    <tableColumn id="5825" xr3:uid="{8AE5FDC7-BED6-42F9-8F8C-6E73EA23A231}" name="Column5814"/>
    <tableColumn id="5826" xr3:uid="{44BBB8AE-413C-4BF3-B5E3-E79848CEAE8B}" name="Column5815"/>
    <tableColumn id="5827" xr3:uid="{BFEF890C-1304-405E-B6EE-3EC101F879E5}" name="Column5816"/>
    <tableColumn id="5828" xr3:uid="{E3FCB4FE-0C4B-4988-AABA-BB74C371ED27}" name="Column5817"/>
    <tableColumn id="5829" xr3:uid="{EB414D02-3406-4BD7-89FD-15F2B7152E14}" name="Column5818"/>
    <tableColumn id="5830" xr3:uid="{C79814BD-89BB-4B27-A2B6-2435D71809BE}" name="Column5819"/>
    <tableColumn id="5831" xr3:uid="{9A4F9832-2935-48C6-9B7E-5A6DFC6BADF8}" name="Column5820"/>
    <tableColumn id="5832" xr3:uid="{719A8E0B-63B2-423C-9731-BF3D5F1D7254}" name="Column5821"/>
    <tableColumn id="5833" xr3:uid="{FBD556FB-B80D-4F2C-814B-9BA9F2062556}" name="Column5822"/>
    <tableColumn id="5834" xr3:uid="{E7A63E21-C5C5-4C57-84F4-E8730C6E9CA9}" name="Column5823"/>
    <tableColumn id="5835" xr3:uid="{6FBFA278-BDA9-40B2-92BF-3EFB47CD24EE}" name="Column5824"/>
    <tableColumn id="5836" xr3:uid="{8E9EC18D-A323-48DE-A168-8CBB8394AC4C}" name="Column5825"/>
    <tableColumn id="5837" xr3:uid="{7E64D7C4-EC72-4EFE-BC33-F88111CE3D58}" name="Column5826"/>
    <tableColumn id="5838" xr3:uid="{D65E20B6-BEDD-462B-AC12-78A8DEC85E2C}" name="Column5827"/>
    <tableColumn id="5839" xr3:uid="{C3BE78FB-9199-451B-9C06-6F57734206A6}" name="Column5828"/>
    <tableColumn id="5840" xr3:uid="{1EA9ACCB-9046-40C6-87B7-AE9C6A70C35E}" name="Column5829"/>
    <tableColumn id="5841" xr3:uid="{6B211D89-CD4C-45CD-9DF5-BBA87F9B9C06}" name="Column5830"/>
    <tableColumn id="5842" xr3:uid="{4A42BBF0-636C-490B-B7CF-4C937FB80B82}" name="Column5831"/>
    <tableColumn id="5843" xr3:uid="{F553F284-4F02-4D1E-B131-07396B142CBC}" name="Column5832"/>
    <tableColumn id="5844" xr3:uid="{5A2AAB9B-2443-4BCD-A69F-E20F99358362}" name="Column5833"/>
    <tableColumn id="5845" xr3:uid="{6A9046E8-039F-4FAB-895F-978CD44E5A66}" name="Column5834"/>
    <tableColumn id="5846" xr3:uid="{714B6A7F-D321-4D1F-975F-6995F32AEBA9}" name="Column5835"/>
    <tableColumn id="5847" xr3:uid="{20E03C39-21FB-4C4D-B8BA-09D77F9FC497}" name="Column5836"/>
    <tableColumn id="5848" xr3:uid="{757E3E4C-01E0-4756-8095-564B5B1FEE9D}" name="Column5837"/>
    <tableColumn id="5849" xr3:uid="{C7B25B30-488F-40D8-9F76-46D9291B118D}" name="Column5838"/>
    <tableColumn id="5850" xr3:uid="{60A07D32-FF43-4925-869B-FB611624A1B6}" name="Column5839"/>
    <tableColumn id="5851" xr3:uid="{0654B041-DFCE-4E67-9B83-7A20F985CF85}" name="Column5840"/>
    <tableColumn id="5852" xr3:uid="{C38A05F8-AA45-48E7-8DC2-8A603EE30746}" name="Column5841"/>
    <tableColumn id="5853" xr3:uid="{1F173F5D-EEB6-4388-88D9-243BB7D9C7E7}" name="Column5842"/>
    <tableColumn id="5854" xr3:uid="{D7D45112-CC3D-4209-8886-8840C0EEAA0B}" name="Column5843"/>
    <tableColumn id="5855" xr3:uid="{8AB3BEC5-087F-4283-81E7-84B4B70C4CDF}" name="Column5844"/>
    <tableColumn id="5856" xr3:uid="{3C9A44B8-B95B-4DAF-887D-D50A73A6ED10}" name="Column5845"/>
    <tableColumn id="5857" xr3:uid="{6FBF8471-8BB8-4CF4-AE98-6E2789844C60}" name="Column5846"/>
    <tableColumn id="5858" xr3:uid="{63EE038B-E09F-465A-9D5A-9ADBDC3C16AB}" name="Column5847"/>
    <tableColumn id="5859" xr3:uid="{B2696AF3-47A3-4281-8C43-D5A15427BE18}" name="Column5848"/>
    <tableColumn id="5860" xr3:uid="{58B0DC8C-543D-44F2-B5AE-18DCEED832D4}" name="Column5849"/>
    <tableColumn id="5861" xr3:uid="{43E5A27F-8D6C-4ACA-8309-D9ACE56ED44A}" name="Column5850"/>
    <tableColumn id="5862" xr3:uid="{1EDB1F7D-D796-4E18-A238-6BC733099497}" name="Column5851"/>
    <tableColumn id="5863" xr3:uid="{EC5B9A0F-5169-436C-B9D8-31552E23AF5B}" name="Column5852"/>
    <tableColumn id="5864" xr3:uid="{4EFC38F5-E2B7-4204-B6D9-8B00335D16B9}" name="Column5853"/>
    <tableColumn id="5865" xr3:uid="{73BE8AE4-BF42-4C2A-AEAA-A3C5FE686BA7}" name="Column5854"/>
    <tableColumn id="5866" xr3:uid="{1844EC30-613E-4063-ACC9-5318CAE9E769}" name="Column5855"/>
    <tableColumn id="5867" xr3:uid="{8A219878-DDE1-42C9-BBCD-E0EC61571C26}" name="Column5856"/>
    <tableColumn id="5868" xr3:uid="{FB30D7C3-44A8-4FAB-950C-FD1B2F888491}" name="Column5857"/>
    <tableColumn id="5869" xr3:uid="{42BDE4F5-EDDF-44EF-8DA4-3868F5B10E0D}" name="Column5858"/>
    <tableColumn id="5870" xr3:uid="{8A89B644-D944-4673-8AAF-06161002881B}" name="Column5859"/>
    <tableColumn id="5871" xr3:uid="{27F19BAD-2963-468E-9EAA-F4D6E92667CF}" name="Column5860"/>
    <tableColumn id="5872" xr3:uid="{892DF86E-1C83-4744-A939-29AB1647514C}" name="Column5861"/>
    <tableColumn id="5873" xr3:uid="{183D77BA-C42A-43C7-88D9-BFF0AA289754}" name="Column5862"/>
    <tableColumn id="5874" xr3:uid="{76D4C034-FD09-49AB-A921-2BE6F38467C6}" name="Column5863"/>
    <tableColumn id="5875" xr3:uid="{CAAE901A-8C71-4C66-B1BE-D81A0B724979}" name="Column5864"/>
    <tableColumn id="5876" xr3:uid="{0EE9FB4F-AEE3-4F6D-9C8A-81121235B769}" name="Column5865"/>
    <tableColumn id="5877" xr3:uid="{1C2B5FE2-890C-42C7-A8BF-5761C9B79535}" name="Column5866"/>
    <tableColumn id="5878" xr3:uid="{D2BCB2AB-84DB-4D69-B70E-83566F7ECAA9}" name="Column5867"/>
    <tableColumn id="5879" xr3:uid="{1FA35532-2BB9-4DC8-A711-C81142902BE2}" name="Column5868"/>
    <tableColumn id="5880" xr3:uid="{92473EC4-7D52-4F93-8845-60CC95D35976}" name="Column5869"/>
    <tableColumn id="5881" xr3:uid="{620E905F-A6CC-447A-96A9-8927D8791B51}" name="Column5870"/>
    <tableColumn id="5882" xr3:uid="{944C9000-24C9-426F-9C58-0CD961C41C44}" name="Column5871"/>
    <tableColumn id="5883" xr3:uid="{846B282D-EB8F-430B-8D18-9650DA529CE7}" name="Column5872"/>
    <tableColumn id="5884" xr3:uid="{21909A78-CE69-4162-AFAC-24EC8B44B997}" name="Column5873"/>
    <tableColumn id="5885" xr3:uid="{431927B8-7AE1-4379-9654-40376F9C0721}" name="Column5874"/>
    <tableColumn id="5886" xr3:uid="{71C72BA1-2491-4EA3-BF3A-D105FF59DFCC}" name="Column5875"/>
    <tableColumn id="5887" xr3:uid="{E46A3795-850C-4090-860B-6B0638950BB9}" name="Column5876"/>
    <tableColumn id="5888" xr3:uid="{02B5638F-4D8B-4F0F-BBE9-617AD106C88A}" name="Column5877"/>
    <tableColumn id="5889" xr3:uid="{B6C45501-F639-45C1-9033-BA0D4498A345}" name="Column5878"/>
    <tableColumn id="5890" xr3:uid="{2EB2F99D-0706-4DD6-A812-5380B71A0FC6}" name="Column5879"/>
    <tableColumn id="5891" xr3:uid="{F5794284-312E-4768-86CD-9D3E5B197876}" name="Column5880"/>
    <tableColumn id="5892" xr3:uid="{ABFF4A36-C86D-4B3A-BC4B-1111BF8B4A56}" name="Column5881"/>
    <tableColumn id="5893" xr3:uid="{45AC15A8-CA66-41E2-8A9F-FE09F2C9DCD6}" name="Column5882"/>
    <tableColumn id="5894" xr3:uid="{D57EDE39-84B5-45D3-8268-3258C07AD3CC}" name="Column5883"/>
    <tableColumn id="5895" xr3:uid="{CD73C082-8402-4B18-BD3B-06C7C60D79F3}" name="Column5884"/>
    <tableColumn id="5896" xr3:uid="{36E59987-340B-49A8-A4F4-62A647EEB073}" name="Column5885"/>
    <tableColumn id="5897" xr3:uid="{7F02927D-F392-4365-8D5B-93D92ECB98E3}" name="Column5886"/>
    <tableColumn id="5898" xr3:uid="{DE45542E-5D57-4A0B-B6D0-7763EFE9E4E7}" name="Column5887"/>
    <tableColumn id="5899" xr3:uid="{E4AADE3A-500F-4130-9255-89CA6644C956}" name="Column5888"/>
    <tableColumn id="5900" xr3:uid="{6475B323-DED9-4F9C-9D0F-7C333CE951BB}" name="Column5889"/>
    <tableColumn id="5901" xr3:uid="{3F7286D7-8676-4BA2-B528-DDA086C68119}" name="Column5890"/>
    <tableColumn id="5902" xr3:uid="{67008B1B-501D-42CD-9B5C-E7372A78EEB1}" name="Column5891"/>
    <tableColumn id="5903" xr3:uid="{210ADF24-B388-4860-A113-B3AE64324790}" name="Column5892"/>
    <tableColumn id="5904" xr3:uid="{3B1F6E89-F832-4211-A8C5-535E1DB13B44}" name="Column5893"/>
    <tableColumn id="5905" xr3:uid="{EC766AAD-9614-4EE8-95D3-54364F28AB2D}" name="Column5894"/>
    <tableColumn id="5906" xr3:uid="{7364DE76-AD11-4D52-8E74-B2E4E54BCD8A}" name="Column5895"/>
    <tableColumn id="5907" xr3:uid="{FE20D5DB-7C26-4AE7-B809-FD15E4DBDB8D}" name="Column5896"/>
    <tableColumn id="5908" xr3:uid="{0AB14D3A-E4F8-4613-8A6D-9AC0040513A3}" name="Column5897"/>
    <tableColumn id="5909" xr3:uid="{6129AFCE-EFDA-4339-9AC8-317D6B46486E}" name="Column5898"/>
    <tableColumn id="5910" xr3:uid="{39A14349-B71E-480B-A94E-B6B8268178E4}" name="Column5899"/>
    <tableColumn id="5911" xr3:uid="{A0CBECC5-45DC-476F-A444-24A9BBA7B2C3}" name="Column5900"/>
    <tableColumn id="5912" xr3:uid="{77C7A1B1-9253-48A7-9E79-F459B287DFAF}" name="Column5901"/>
    <tableColumn id="5913" xr3:uid="{8E2B534A-A8B8-4749-A833-0786974CB1B0}" name="Column5902"/>
    <tableColumn id="5914" xr3:uid="{35A06D08-AF62-47B5-8C14-AD3A2FCBA003}" name="Column5903"/>
    <tableColumn id="5915" xr3:uid="{031BE940-7B14-4671-8421-7D024D35FA7C}" name="Column5904"/>
    <tableColumn id="5916" xr3:uid="{BE5CE269-5DE4-4041-8E75-F0EDF2455CC6}" name="Column5905"/>
    <tableColumn id="5917" xr3:uid="{85A9144E-D476-4EE9-8B02-5ADB812F56F8}" name="Column5906"/>
    <tableColumn id="5918" xr3:uid="{6A3DF3BC-A634-4986-A22A-5F414D68E318}" name="Column5907"/>
    <tableColumn id="5919" xr3:uid="{1BCD54AD-8BC8-49F3-B956-27F967C54FDF}" name="Column5908"/>
    <tableColumn id="5920" xr3:uid="{A4891258-03C7-4B91-9465-C74361BEC3E3}" name="Column5909"/>
    <tableColumn id="5921" xr3:uid="{7C54B331-9424-44FB-8159-85FDFD2D6183}" name="Column5910"/>
    <tableColumn id="5922" xr3:uid="{8B16490A-8D02-4F15-8568-722FA9C47D80}" name="Column5911"/>
    <tableColumn id="5923" xr3:uid="{6F6C19F1-9906-421F-B68D-DD7C85E762C6}" name="Column5912"/>
    <tableColumn id="5924" xr3:uid="{B4D24F8C-64E3-4B54-8835-A33B059A8EB4}" name="Column5913"/>
    <tableColumn id="5925" xr3:uid="{B852CF9D-1841-48EE-B0CD-B0C371609B85}" name="Column5914"/>
    <tableColumn id="5926" xr3:uid="{1548AA11-CC52-40BB-A62F-A82C13F3FDAB}" name="Column5915"/>
    <tableColumn id="5927" xr3:uid="{FD0063C2-855B-4B71-84CD-A865ABF50462}" name="Column5916"/>
    <tableColumn id="5928" xr3:uid="{9EF577E4-5382-4D62-89DD-94DCDC047340}" name="Column5917"/>
    <tableColumn id="5929" xr3:uid="{00F31A4F-8EA4-44EE-98B9-56D27AE66ADA}" name="Column5918"/>
    <tableColumn id="5930" xr3:uid="{2793D49F-2A87-46AF-8021-59D04F6031CA}" name="Column5919"/>
    <tableColumn id="5931" xr3:uid="{A945F4D4-2731-4137-87EA-B76DF70B1E0E}" name="Column5920"/>
    <tableColumn id="5932" xr3:uid="{594E48C8-AA17-42F3-9D25-0D3B8119D53A}" name="Column5921"/>
    <tableColumn id="5933" xr3:uid="{CA7E44AE-A38A-4FB0-B815-5D9B830A98CC}" name="Column5922"/>
    <tableColumn id="5934" xr3:uid="{066FAEE0-179D-42A2-9E53-1B9D19FEF73A}" name="Column5923"/>
    <tableColumn id="5935" xr3:uid="{6B41B0D8-541A-4F2E-9336-71FDEF742934}" name="Column5924"/>
    <tableColumn id="5936" xr3:uid="{ABEFF998-6318-491B-B56B-75C79F33BA18}" name="Column5925"/>
    <tableColumn id="5937" xr3:uid="{5021C463-5461-4FA1-89B8-71D5B6089128}" name="Column5926"/>
    <tableColumn id="5938" xr3:uid="{E7A1DA65-38A3-4FDA-9FE8-8EB0AE33B00E}" name="Column5927"/>
    <tableColumn id="5939" xr3:uid="{1CBEAE51-4A73-4B26-A5ED-79BAC879D22E}" name="Column5928"/>
    <tableColumn id="5940" xr3:uid="{FF3A5003-7F83-4561-B309-19240D9E8C18}" name="Column5929"/>
    <tableColumn id="5941" xr3:uid="{F95B06C2-76CD-4D9A-8E9E-5EF6DCEDB32A}" name="Column5930"/>
    <tableColumn id="5942" xr3:uid="{49283AC2-F7A2-4670-B487-B6E7A5D3B597}" name="Column5931"/>
    <tableColumn id="5943" xr3:uid="{45AE87CA-C2A1-4BFA-B387-1B64C35FEBD4}" name="Column5932"/>
    <tableColumn id="5944" xr3:uid="{16CEE019-8821-4613-85E1-425F540543E3}" name="Column5933"/>
    <tableColumn id="5945" xr3:uid="{FE5AC974-5EC3-4FDB-99D4-FAF00065B99B}" name="Column5934"/>
    <tableColumn id="5946" xr3:uid="{BCFF8D97-CE77-4BEC-8755-B77B21A364EA}" name="Column5935"/>
    <tableColumn id="5947" xr3:uid="{733B8B24-3FCF-414A-A53E-8AC5C960E918}" name="Column5936"/>
    <tableColumn id="5948" xr3:uid="{0CB6D0C2-DA57-4169-B249-5A261CE93686}" name="Column5937"/>
    <tableColumn id="5949" xr3:uid="{1E57B581-4705-49FE-8143-83D6C5DB1077}" name="Column5938"/>
    <tableColumn id="5950" xr3:uid="{04835894-160F-4AEF-B05D-11ED9015501D}" name="Column5939"/>
    <tableColumn id="5951" xr3:uid="{57D553FA-07D5-457D-8C2D-EEA2E102AEC2}" name="Column5940"/>
    <tableColumn id="5952" xr3:uid="{4B89EE4A-8B76-46E5-8EC6-D2E070FFF28E}" name="Column5941"/>
    <tableColumn id="5953" xr3:uid="{768E05D5-A958-4583-A019-764091370127}" name="Column5942"/>
    <tableColumn id="5954" xr3:uid="{4D82E099-88EF-4E06-B63C-ACEC575BCFFD}" name="Column5943"/>
    <tableColumn id="5955" xr3:uid="{F01D59F9-C71B-4578-BE98-67D260EFF7A1}" name="Column5944"/>
    <tableColumn id="5956" xr3:uid="{DD3BED11-B726-4267-99CC-D9ED99E97398}" name="Column5945"/>
    <tableColumn id="5957" xr3:uid="{BF110737-EA34-4078-ACBA-630EC75AE28D}" name="Column5946"/>
    <tableColumn id="5958" xr3:uid="{C6EAA095-F039-46EE-8965-8EA8FD8A4A6A}" name="Column5947"/>
    <tableColumn id="5959" xr3:uid="{5C3FEFB3-636F-4690-9AB5-0B9AD0308F4D}" name="Column5948"/>
    <tableColumn id="5960" xr3:uid="{02670CDB-1787-4DED-9693-2732A179CCFC}" name="Column5949"/>
    <tableColumn id="5961" xr3:uid="{2C411A12-EE69-417A-AB25-816FDEB26ED1}" name="Column5950"/>
    <tableColumn id="5962" xr3:uid="{EADC1156-2BBE-4E34-98D2-63D568259F92}" name="Column5951"/>
    <tableColumn id="5963" xr3:uid="{58BFBB98-0522-461D-8D45-1795B046D1BC}" name="Column5952"/>
    <tableColumn id="5964" xr3:uid="{3B382DF8-7968-4B46-94FE-B15132B464B9}" name="Column5953"/>
    <tableColumn id="5965" xr3:uid="{093E355A-023B-4206-AA72-61E0B57E018A}" name="Column5954"/>
    <tableColumn id="5966" xr3:uid="{7E1BDDE6-BC9C-45CA-AF81-641895FF603E}" name="Column5955"/>
    <tableColumn id="5967" xr3:uid="{F2311D1A-94FC-47AA-86D2-409A53AF247D}" name="Column5956"/>
    <tableColumn id="5968" xr3:uid="{11116D1E-F480-40FB-96ED-2E385459C3A9}" name="Column5957"/>
    <tableColumn id="5969" xr3:uid="{6E116F9B-1C56-4E57-8856-BFBBA0D95FBF}" name="Column5958"/>
    <tableColumn id="5970" xr3:uid="{2E4C4592-19FC-4EE3-A004-726831BDD11C}" name="Column5959"/>
    <tableColumn id="5971" xr3:uid="{C036F028-C6A0-4BF0-A4E1-BF3ED080CCE9}" name="Column5960"/>
    <tableColumn id="5972" xr3:uid="{F5EF26F4-1061-483E-B242-6B46DA0BB5FE}" name="Column5961"/>
    <tableColumn id="5973" xr3:uid="{9BB9AB56-45DC-4AFC-84D6-F2AF5004FD12}" name="Column5962"/>
    <tableColumn id="5974" xr3:uid="{175E58EE-CF94-4D2F-9B53-82715A348513}" name="Column5963"/>
    <tableColumn id="5975" xr3:uid="{BD773DE8-1FE2-4DE0-A1E3-E90FE56D9E55}" name="Column5964"/>
    <tableColumn id="5976" xr3:uid="{397ADE2F-CDAC-4183-8306-2BB5E1CCBDCD}" name="Column5965"/>
    <tableColumn id="5977" xr3:uid="{AD93F037-26FF-44E2-A2CE-59BFDA89F239}" name="Column5966"/>
    <tableColumn id="5978" xr3:uid="{2C17AB4E-DB02-4D37-AFE7-895A2DB1ABB7}" name="Column5967"/>
    <tableColumn id="5979" xr3:uid="{12A6C7A9-93E6-4B7F-BBEA-1317841B5711}" name="Column5968"/>
    <tableColumn id="5980" xr3:uid="{7642EFCB-9DA3-4C69-9F8A-07A46112BD72}" name="Column5969"/>
    <tableColumn id="5981" xr3:uid="{0EF2E81C-60EB-43ED-9ACA-9D37371C7320}" name="Column5970"/>
    <tableColumn id="5982" xr3:uid="{47DA5974-AE21-40F9-859B-03D85CD7CBE0}" name="Column5971"/>
    <tableColumn id="5983" xr3:uid="{9C49665D-EAF9-4D0C-9FAA-071CBD04A83D}" name="Column5972"/>
    <tableColumn id="5984" xr3:uid="{E8769316-98C7-460B-81B9-7F848CDDE5A1}" name="Column5973"/>
    <tableColumn id="5985" xr3:uid="{9FEA3EE8-8347-4BE2-941C-06CE1FF18CCB}" name="Column5974"/>
    <tableColumn id="5986" xr3:uid="{E1BFB65B-7051-4B97-85A8-26B225822942}" name="Column5975"/>
    <tableColumn id="5987" xr3:uid="{54BF2E90-8A3E-40CE-B250-8957030FBC5A}" name="Column5976"/>
    <tableColumn id="5988" xr3:uid="{09A7141A-C3E2-4410-84AD-845BFC13FCF5}" name="Column5977"/>
    <tableColumn id="5989" xr3:uid="{E57A36FB-038D-4F13-9AB2-DE3EA9B36284}" name="Column5978"/>
    <tableColumn id="5990" xr3:uid="{69379989-97A2-4C32-917A-238A1663CF6F}" name="Column5979"/>
    <tableColumn id="5991" xr3:uid="{63D971AE-3CFF-4D27-AEEE-EA04FEF0FEDD}" name="Column5980"/>
    <tableColumn id="5992" xr3:uid="{7966E5B3-B9B4-48DC-AFDD-8129AD6A0ADD}" name="Column5981"/>
    <tableColumn id="5993" xr3:uid="{668F96B0-1C3E-4D7A-A0A2-0E41B517A04B}" name="Column5982"/>
    <tableColumn id="5994" xr3:uid="{1AFE5DEA-1969-4829-B2EC-4005E45D8514}" name="Column5983"/>
    <tableColumn id="5995" xr3:uid="{824DAFE5-F64B-43F6-A737-1179FD75FD4B}" name="Column5984"/>
    <tableColumn id="5996" xr3:uid="{16C75C69-0522-479E-9F60-AD1178FED15D}" name="Column5985"/>
    <tableColumn id="5997" xr3:uid="{CBBDBB8D-D863-4E08-8955-76494D75C2A9}" name="Column5986"/>
    <tableColumn id="5998" xr3:uid="{7E9B7444-28ED-4348-A631-C549B10FD641}" name="Column5987"/>
    <tableColumn id="5999" xr3:uid="{E856FD8F-3328-41C1-9073-86C6BBC1E5AC}" name="Column5988"/>
    <tableColumn id="6000" xr3:uid="{78FEE18E-AB26-48D2-B253-68CB7FBFC654}" name="Column5989"/>
    <tableColumn id="6001" xr3:uid="{2E925B1D-D4D4-485B-8203-9D723EBA60A6}" name="Column5990"/>
    <tableColumn id="6002" xr3:uid="{03510331-9FBB-45A6-B1A2-7BE9BEA8C172}" name="Column5991"/>
    <tableColumn id="6003" xr3:uid="{8EDA6106-F2C8-46B3-AE57-734D973373EA}" name="Column5992"/>
    <tableColumn id="6004" xr3:uid="{B0B45A88-3CFE-4679-9DD2-2728B016E5FE}" name="Column5993"/>
    <tableColumn id="6005" xr3:uid="{6CAF9B37-E3FE-4911-B56F-1831A2304453}" name="Column5994"/>
    <tableColumn id="6006" xr3:uid="{22B36161-C3BF-4D6C-AD71-0641889B2CBE}" name="Column5995"/>
    <tableColumn id="6007" xr3:uid="{CD98EBCC-C20E-4531-95BC-9E98A97A3CE6}" name="Column5996"/>
    <tableColumn id="6008" xr3:uid="{0B514853-8EBC-4E5D-9395-4FD7E8DA6957}" name="Column5997"/>
    <tableColumn id="6009" xr3:uid="{EC767F75-EEA2-4C71-B73B-D4E359603E17}" name="Column5998"/>
    <tableColumn id="6010" xr3:uid="{36195CFB-AF95-4FD0-AB50-0C2570D200CE}" name="Column5999"/>
    <tableColumn id="6011" xr3:uid="{30CFD575-5193-49E9-8202-D6EB420BA2BB}" name="Column6000"/>
    <tableColumn id="6012" xr3:uid="{730A8225-8DCD-48A2-8BD3-55BC31A43809}" name="Column6001"/>
    <tableColumn id="6013" xr3:uid="{E86EA024-8688-4783-8DA6-3C955DD54FA3}" name="Column6002"/>
    <tableColumn id="6014" xr3:uid="{E98D29BA-B915-4FA3-97D0-BF9D20DCE07E}" name="Column6003"/>
    <tableColumn id="6015" xr3:uid="{0F035442-F686-466B-AB45-95990A97F3B0}" name="Column6004"/>
    <tableColumn id="6016" xr3:uid="{BEFCF05A-DA92-41FB-8CD0-C9113A0722B7}" name="Column6005"/>
    <tableColumn id="6017" xr3:uid="{446A9636-6E5D-42F7-AE63-5E6967477A9E}" name="Column6006"/>
    <tableColumn id="6018" xr3:uid="{DFD22EE3-FB8D-4A46-AF69-2E5836C8019D}" name="Column6007"/>
    <tableColumn id="6019" xr3:uid="{A4EDD401-1B16-46A1-BB88-C4E4FE48BBCD}" name="Column6008"/>
    <tableColumn id="6020" xr3:uid="{C74758BC-21CE-433A-9D64-EF1CDDE5880C}" name="Column6009"/>
    <tableColumn id="6021" xr3:uid="{1D1BDB53-6FF1-476B-88E9-AD0F4C5ECD31}" name="Column6010"/>
    <tableColumn id="6022" xr3:uid="{F707DEAA-DDC3-44CC-9DD1-4F12EA530BA6}" name="Column6011"/>
    <tableColumn id="6023" xr3:uid="{74BCF5A1-D173-439E-A72F-BA4F52627CBC}" name="Column6012"/>
    <tableColumn id="6024" xr3:uid="{43D214AC-7BCF-4408-A293-3C67463FE596}" name="Column6013"/>
    <tableColumn id="6025" xr3:uid="{0A2E0681-93BC-4CA8-888E-FD2D0BB902A2}" name="Column6014"/>
    <tableColumn id="6026" xr3:uid="{6AADEBB8-FAE5-4BE7-A27D-840FC9630448}" name="Column6015"/>
    <tableColumn id="6027" xr3:uid="{F60CE813-DBF3-4182-B6D4-B632C4BF5FF2}" name="Column6016"/>
    <tableColumn id="6028" xr3:uid="{FC7344A7-E1D0-4EC6-8ECD-0FD0A8BAD4A2}" name="Column6017"/>
    <tableColumn id="6029" xr3:uid="{50F413A3-52C0-4F39-A53C-3497E8113384}" name="Column6018"/>
    <tableColumn id="6030" xr3:uid="{6F539839-1BB9-46A4-BF0B-C1CF885960C0}" name="Column6019"/>
    <tableColumn id="6031" xr3:uid="{B765DB8D-A017-4CF9-AF91-9777FB8A361E}" name="Column6020"/>
    <tableColumn id="6032" xr3:uid="{04F404E7-A237-456E-8F1D-7ED012E2638E}" name="Column6021"/>
    <tableColumn id="6033" xr3:uid="{5B3A3415-A3E7-407F-9AD7-6F8C622BB834}" name="Column6022"/>
    <tableColumn id="6034" xr3:uid="{831BFD7A-6E08-434C-AC68-EAB79CF122D0}" name="Column6023"/>
    <tableColumn id="6035" xr3:uid="{519BDEF3-45D3-4D66-8A93-2A517C3D8829}" name="Column6024"/>
    <tableColumn id="6036" xr3:uid="{8CADEF19-1FD3-44AC-B997-3729D74F7703}" name="Column6025"/>
    <tableColumn id="6037" xr3:uid="{F3C1198E-1A85-4459-B68C-FFB2A94AB738}" name="Column6026"/>
    <tableColumn id="6038" xr3:uid="{862673F0-2B3B-4246-A250-C21C9EEB99A9}" name="Column6027"/>
    <tableColumn id="6039" xr3:uid="{23CB64AE-472F-4112-B663-44F835D41E49}" name="Column6028"/>
    <tableColumn id="6040" xr3:uid="{A720774C-1525-4B11-89AD-5B7E681DB433}" name="Column6029"/>
    <tableColumn id="6041" xr3:uid="{73177557-7491-4DBF-AC72-CCA886B186AC}" name="Column6030"/>
    <tableColumn id="6042" xr3:uid="{EA33BB33-4B99-4B0E-ABE0-C72DC35A64E0}" name="Column6031"/>
    <tableColumn id="6043" xr3:uid="{611AB987-286C-469B-BD60-FE67A22FF0C5}" name="Column6032"/>
    <tableColumn id="6044" xr3:uid="{D8A11F1A-283D-4814-93B8-783D1550E5F9}" name="Column6033"/>
    <tableColumn id="6045" xr3:uid="{4F71C756-3DA4-4C7C-80CE-6D7ACC997503}" name="Column6034"/>
    <tableColumn id="6046" xr3:uid="{41648AC4-B960-4445-BFC0-DBD00DD5346C}" name="Column6035"/>
    <tableColumn id="6047" xr3:uid="{52F81400-CF83-477C-84B5-A319F5644E77}" name="Column6036"/>
    <tableColumn id="6048" xr3:uid="{2462A78F-DECB-442E-9D33-EB68EAAA24F2}" name="Column6037"/>
    <tableColumn id="6049" xr3:uid="{87E1ACA4-2032-42C9-8A23-4F500C2BDA55}" name="Column6038"/>
    <tableColumn id="6050" xr3:uid="{05244BF2-011F-4B11-A196-35D0C71FC9F7}" name="Column6039"/>
    <tableColumn id="6051" xr3:uid="{4D946ED0-91DE-4E78-9DA9-8670E3F376BC}" name="Column6040"/>
    <tableColumn id="6052" xr3:uid="{DCAB9149-3542-4384-8418-D5C6BE4A7861}" name="Column6041"/>
    <tableColumn id="6053" xr3:uid="{1A9E46A3-C91E-4B8B-BD80-C3594EA5A33A}" name="Column6042"/>
    <tableColumn id="6054" xr3:uid="{5272795D-632E-4D0B-92F9-1432BDEB3224}" name="Column6043"/>
    <tableColumn id="6055" xr3:uid="{91FEB0E7-5FC9-4F52-A161-DFDFC5FCB5F9}" name="Column6044"/>
    <tableColumn id="6056" xr3:uid="{3938EBF6-AA9E-4E5F-B6AC-2ED5BBEE98AB}" name="Column6045"/>
    <tableColumn id="6057" xr3:uid="{804D578F-B6E3-4BEC-9B2C-6791EE3D9F1E}" name="Column6046"/>
    <tableColumn id="6058" xr3:uid="{D284EFD8-9A86-4876-B6F7-B41C6386C5D4}" name="Column6047"/>
    <tableColumn id="6059" xr3:uid="{45457CB4-D0B2-4640-977A-DBF72632121F}" name="Column6048"/>
    <tableColumn id="6060" xr3:uid="{79F8E5B6-0BFF-409E-AAF7-348C110C273E}" name="Column6049"/>
    <tableColumn id="6061" xr3:uid="{7D4CDDAF-2CBE-43EE-B7EB-5FD02D286B5C}" name="Column6050"/>
    <tableColumn id="6062" xr3:uid="{85A1C29A-1721-403F-9B27-3BFD381CF19B}" name="Column6051"/>
    <tableColumn id="6063" xr3:uid="{D15D3AF0-A48E-4BD9-AF62-A36689D9C868}" name="Column6052"/>
    <tableColumn id="6064" xr3:uid="{326DC01F-2FC3-4D10-91A0-8A3E709ED550}" name="Column6053"/>
    <tableColumn id="6065" xr3:uid="{B8C90422-9D98-4AAB-A165-B22018B720D3}" name="Column6054"/>
    <tableColumn id="6066" xr3:uid="{8BBFC9A7-DF93-4515-BB1B-7B7AF4595290}" name="Column6055"/>
    <tableColumn id="6067" xr3:uid="{4A49F8B8-2F12-4E30-9180-666C02CAE2B7}" name="Column6056"/>
    <tableColumn id="6068" xr3:uid="{46B5885D-7511-488F-9639-C9E884FD8B38}" name="Column6057"/>
    <tableColumn id="6069" xr3:uid="{254B7588-7C98-4EEC-854F-472BF46BFCF4}" name="Column6058"/>
    <tableColumn id="6070" xr3:uid="{53960872-7E40-417E-AB0B-520C25A7493D}" name="Column6059"/>
    <tableColumn id="6071" xr3:uid="{0E81444B-45E8-47C0-BAE5-3CCFED9D0426}" name="Column6060"/>
    <tableColumn id="6072" xr3:uid="{81B2848A-78F1-46AF-A17F-9AA56959888C}" name="Column6061"/>
    <tableColumn id="6073" xr3:uid="{C9B8DCD8-DAAD-4C28-9784-CE55CD4EE605}" name="Column6062"/>
    <tableColumn id="6074" xr3:uid="{78EF272F-BC93-46CA-9E06-6EF9A7025802}" name="Column6063"/>
    <tableColumn id="6075" xr3:uid="{4C7E51F4-5FF6-4640-B6A3-F9BA275555E0}" name="Column6064"/>
    <tableColumn id="6076" xr3:uid="{6F162E8E-B912-4BD4-9B95-B9C9CFEB3B03}" name="Column6065"/>
    <tableColumn id="6077" xr3:uid="{62B3E573-E8AE-4E2E-9D1E-C6AAA707AB75}" name="Column6066"/>
    <tableColumn id="6078" xr3:uid="{28A375AF-8BA5-45B7-B64F-43463480F53F}" name="Column6067"/>
    <tableColumn id="6079" xr3:uid="{477B7277-89C4-4134-A774-11D7EAC12DD8}" name="Column6068"/>
    <tableColumn id="6080" xr3:uid="{043894FB-9608-4242-AE55-2AED7FA13416}" name="Column6069"/>
    <tableColumn id="6081" xr3:uid="{92A2AE42-7C0A-43DC-9ED9-8EE5F76D993D}" name="Column6070"/>
    <tableColumn id="6082" xr3:uid="{CD7DAFEB-FEC4-4904-9C84-4E8B53E3AD5F}" name="Column6071"/>
    <tableColumn id="6083" xr3:uid="{69640D1F-B6C5-4180-8915-E3F8E4E16E7D}" name="Column6072"/>
    <tableColumn id="6084" xr3:uid="{D839003E-B34E-4E4E-BB12-44C7BBA5262D}" name="Column6073"/>
    <tableColumn id="6085" xr3:uid="{63BB80FC-B554-43D1-A727-BAA6907B3A27}" name="Column6074"/>
    <tableColumn id="6086" xr3:uid="{4E8AFB7B-51B7-4A66-95A9-A0F4D537286F}" name="Column6075"/>
    <tableColumn id="6087" xr3:uid="{C74D96A4-256B-46E2-9E06-3275A9333CC3}" name="Column6076"/>
    <tableColumn id="6088" xr3:uid="{293BFB22-02FC-4DDB-905A-F499469A1ACF}" name="Column6077"/>
    <tableColumn id="6089" xr3:uid="{07A97662-FDC5-4647-92B0-AF89BD328592}" name="Column6078"/>
    <tableColumn id="6090" xr3:uid="{17DA35F6-B46B-4BF7-BEE8-5D44D2EE8ED3}" name="Column6079"/>
    <tableColumn id="6091" xr3:uid="{E4D1E8E0-E0C0-41DD-A605-917E66A1070F}" name="Column6080"/>
    <tableColumn id="6092" xr3:uid="{0DDAC730-8948-4695-A864-3192516EF65C}" name="Column6081"/>
    <tableColumn id="6093" xr3:uid="{3C9CD4A3-8D33-475D-864F-4B2322C250EC}" name="Column6082"/>
    <tableColumn id="6094" xr3:uid="{62C497D2-40A3-4445-8C82-F9062315C8DD}" name="Column6083"/>
    <tableColumn id="6095" xr3:uid="{1CCBCA35-B3F3-4B98-B903-CB02E55984B6}" name="Column6084"/>
    <tableColumn id="6096" xr3:uid="{4303563F-145B-4948-AF0E-AAF156A15D1E}" name="Column6085"/>
    <tableColumn id="6097" xr3:uid="{317DA59F-B74B-48E9-986D-6A93786F1B27}" name="Column6086"/>
    <tableColumn id="6098" xr3:uid="{21536C74-168E-44F1-8941-7B993901E366}" name="Column6087"/>
    <tableColumn id="6099" xr3:uid="{A662D24F-D03B-42D1-AAAF-743C5A8CFAEF}" name="Column6088"/>
    <tableColumn id="6100" xr3:uid="{CBD96469-2490-458D-890E-A7C114FA38E9}" name="Column6089"/>
    <tableColumn id="6101" xr3:uid="{BC001988-7A32-4B00-B0C3-BECDEC697375}" name="Column6090"/>
    <tableColumn id="6102" xr3:uid="{561969F6-7B1C-4D21-851B-EA6657967F1D}" name="Column6091"/>
    <tableColumn id="6103" xr3:uid="{E05787DB-2A2D-4450-B443-77902FA8A2BC}" name="Column6092"/>
    <tableColumn id="6104" xr3:uid="{0A3C75E3-4B2C-42D2-8B7A-CB6D518C2BB8}" name="Column6093"/>
    <tableColumn id="6105" xr3:uid="{6DCF5155-3CAC-4F3C-9D32-C47F877F5EAD}" name="Column6094"/>
    <tableColumn id="6106" xr3:uid="{EA359382-D67A-4BAF-B7CD-D4F015058E61}" name="Column6095"/>
    <tableColumn id="6107" xr3:uid="{89847241-8F8B-4E51-A051-5B35E008FE65}" name="Column6096"/>
    <tableColumn id="6108" xr3:uid="{2A776108-4EC8-439C-8CC4-901E9D80EF38}" name="Column6097"/>
    <tableColumn id="6109" xr3:uid="{6F152BFF-47D5-42EA-A948-24821DC09647}" name="Column6098"/>
    <tableColumn id="6110" xr3:uid="{2C0C6A8E-FB4E-4241-B4B4-983A60EE47E2}" name="Column6099"/>
    <tableColumn id="6111" xr3:uid="{3687DED6-9235-4FB4-8EB2-8EFEC4FC00E6}" name="Column6100"/>
    <tableColumn id="6112" xr3:uid="{390E8A0A-1A44-4CAC-8134-84FC2DFFD6CE}" name="Column6101"/>
    <tableColumn id="6113" xr3:uid="{0396E2D4-38BA-44A3-AB14-8A8248C8129D}" name="Column6102"/>
    <tableColumn id="6114" xr3:uid="{14FDEE3D-B82C-41B3-9E33-9CAD1E3DF2AD}" name="Column6103"/>
    <tableColumn id="6115" xr3:uid="{3844DF1D-8031-49AC-9290-A8F4F1B07C15}" name="Column6104"/>
    <tableColumn id="6116" xr3:uid="{6654F6CA-6AEA-41F7-97CD-EE44060935EB}" name="Column6105"/>
    <tableColumn id="6117" xr3:uid="{FFAAF58C-158C-4C36-8773-60D395B3DB0D}" name="Column6106"/>
    <tableColumn id="6118" xr3:uid="{2F7C9574-15E0-4E95-9ABA-90C428DB9AC6}" name="Column6107"/>
    <tableColumn id="6119" xr3:uid="{963D9B59-A36C-4BCA-8CA7-92340B91AA8A}" name="Column6108"/>
    <tableColumn id="6120" xr3:uid="{98D4F7E1-1696-4F8A-8C7B-16E1A6099932}" name="Column6109"/>
    <tableColumn id="6121" xr3:uid="{7A6CCF40-9071-4859-8A81-809723288435}" name="Column6110"/>
    <tableColumn id="6122" xr3:uid="{0F85BED8-0D25-4A4E-ABB2-E2C75912B675}" name="Column6111"/>
    <tableColumn id="6123" xr3:uid="{77CDB59F-BDFC-4CF7-BDE8-4CB6688278FF}" name="Column6112"/>
    <tableColumn id="6124" xr3:uid="{E0A13F16-C33C-44AE-9FE5-CE8FAB985DCB}" name="Column6113"/>
    <tableColumn id="6125" xr3:uid="{C640348D-B3FF-4509-9BC2-E8136F11AB60}" name="Column6114"/>
    <tableColumn id="6126" xr3:uid="{0D5CFD05-2082-4EE1-90A7-2A3394A8438F}" name="Column6115"/>
    <tableColumn id="6127" xr3:uid="{10CCFA43-59C7-4C07-B5EF-FD45C001450E}" name="Column6116"/>
    <tableColumn id="6128" xr3:uid="{646586B3-C5FA-4255-9AF5-88A1DD80C238}" name="Column6117"/>
    <tableColumn id="6129" xr3:uid="{4F171690-20C8-4C91-AACD-6ED96EA2AA27}" name="Column6118"/>
    <tableColumn id="6130" xr3:uid="{1BC43284-5A2D-4577-8E28-5B77A2E9C1FC}" name="Column6119"/>
    <tableColumn id="6131" xr3:uid="{D8DA1494-8A96-48E5-93EA-CC4A73A94CBD}" name="Column6120"/>
    <tableColumn id="6132" xr3:uid="{5CEFD111-BA6F-4F11-9CC9-6F8416F6DF40}" name="Column6121"/>
    <tableColumn id="6133" xr3:uid="{B76E5A40-A6F4-4F3B-8425-449AF0674E72}" name="Column6122"/>
    <tableColumn id="6134" xr3:uid="{828B9464-BC9D-45CD-B260-09D19DA9D44A}" name="Column6123"/>
    <tableColumn id="6135" xr3:uid="{CFD5F5E2-1EE1-46AC-B265-3EC73D0573B4}" name="Column6124"/>
    <tableColumn id="6136" xr3:uid="{E6CB5C39-A49C-4912-AF02-E9054477E794}" name="Column6125"/>
    <tableColumn id="6137" xr3:uid="{557A137E-25A2-45D6-A95F-7E1423263683}" name="Column6126"/>
    <tableColumn id="6138" xr3:uid="{25B7307B-8430-40C7-BB09-B480F95DFD47}" name="Column6127"/>
    <tableColumn id="6139" xr3:uid="{11A43E4A-EB6A-43F9-A026-E741F414EE6E}" name="Column6128"/>
    <tableColumn id="6140" xr3:uid="{6B935A07-56D5-4666-91C6-6874D093CDFE}" name="Column6129"/>
    <tableColumn id="6141" xr3:uid="{055564A7-6B11-445F-8ECF-1379567CA7DF}" name="Column6130"/>
    <tableColumn id="6142" xr3:uid="{A31DE8B7-EA74-42BD-8F91-9E68B8F12362}" name="Column6131"/>
    <tableColumn id="6143" xr3:uid="{826ACFF1-A666-4523-8D31-AE4DC3CE83B7}" name="Column6132"/>
    <tableColumn id="6144" xr3:uid="{06445E1C-93F2-44A4-8496-700A50984F8C}" name="Column6133"/>
    <tableColumn id="6145" xr3:uid="{EE442E1B-1E89-46B1-81E9-80C764ACF8B4}" name="Column6134"/>
    <tableColumn id="6146" xr3:uid="{B54710B8-50C6-4A7A-B793-30D43DBE9F6D}" name="Column6135"/>
    <tableColumn id="6147" xr3:uid="{58AEC691-C33D-43E1-AB21-E967BA2A4860}" name="Column6136"/>
    <tableColumn id="6148" xr3:uid="{B6A5E220-74BE-4AD2-BAB9-D3C76641364F}" name="Column6137"/>
    <tableColumn id="6149" xr3:uid="{77AA9892-5DA6-4F18-A024-893B0A34253D}" name="Column6138"/>
    <tableColumn id="6150" xr3:uid="{DA80716F-BA0F-4E2B-B990-6D165C4741A0}" name="Column6139"/>
    <tableColumn id="6151" xr3:uid="{1170D8E7-E927-4613-9020-097C0331E347}" name="Column6140"/>
    <tableColumn id="6152" xr3:uid="{252CA308-FFE2-4C64-AAD1-F3310F0D0576}" name="Column6141"/>
    <tableColumn id="6153" xr3:uid="{162D8D5B-138C-4B5A-B056-C9CA859794B1}" name="Column6142"/>
    <tableColumn id="6154" xr3:uid="{3156F529-C2AD-402C-9370-4D216A950977}" name="Column6143"/>
    <tableColumn id="6155" xr3:uid="{559B5A11-E130-4DC6-8FCD-867EBF8DD44B}" name="Column6144"/>
    <tableColumn id="6156" xr3:uid="{03433379-9D90-4190-B3A7-0273C3EEBEC9}" name="Column6145"/>
    <tableColumn id="6157" xr3:uid="{0B110035-27B3-4B78-B839-98A6BE570428}" name="Column6146"/>
    <tableColumn id="6158" xr3:uid="{6531430D-9AD6-4A9A-B95F-D8FED6611E7E}" name="Column6147"/>
    <tableColumn id="6159" xr3:uid="{25015962-F803-4E27-B2D2-A9537BD864D8}" name="Column6148"/>
    <tableColumn id="6160" xr3:uid="{05A5D1FA-713A-48EE-90EF-24954C9A1C3B}" name="Column6149"/>
    <tableColumn id="6161" xr3:uid="{0F6E12A8-6195-4A79-B98A-7D3698908DA1}" name="Column6150"/>
    <tableColumn id="6162" xr3:uid="{C9DF7A19-8E18-4E2E-BCB2-A254B87D80C9}" name="Column6151"/>
    <tableColumn id="6163" xr3:uid="{FD598872-D736-47FA-9668-2D2CE0F67004}" name="Column6152"/>
    <tableColumn id="6164" xr3:uid="{42584F57-3079-4AB2-B2F8-30A8D54580E7}" name="Column6153"/>
    <tableColumn id="6165" xr3:uid="{785E7D3F-0AB8-4784-81C1-77ABB9C1C6C7}" name="Column6154"/>
    <tableColumn id="6166" xr3:uid="{075A7E19-AA6A-4FE6-A6B1-393D2C51EE1D}" name="Column6155"/>
    <tableColumn id="6167" xr3:uid="{3BFC9076-51F8-4374-9F54-79C66E482EE1}" name="Column6156"/>
    <tableColumn id="6168" xr3:uid="{1007D267-86F4-4B2C-9717-1B9EC7714F1D}" name="Column6157"/>
    <tableColumn id="6169" xr3:uid="{81ED55B9-6754-4828-ABE4-884B7D776272}" name="Column6158"/>
    <tableColumn id="6170" xr3:uid="{C7D3D04F-1620-4B1A-B0C2-FC2A765AC33D}" name="Column6159"/>
    <tableColumn id="6171" xr3:uid="{D6A9A220-E0C6-4356-AE65-9DC0BDDCF950}" name="Column6160"/>
    <tableColumn id="6172" xr3:uid="{57AE3327-71D6-4C51-9D05-82AF17288D92}" name="Column6161"/>
    <tableColumn id="6173" xr3:uid="{6E120A3F-A69F-4AAA-B59E-8443C2D268C8}" name="Column6162"/>
    <tableColumn id="6174" xr3:uid="{08450C3E-F2DD-4E83-80A4-F71B5281A5ED}" name="Column6163"/>
    <tableColumn id="6175" xr3:uid="{1C3FFF43-2BE6-460C-96C7-41FB96CF22A7}" name="Column6164"/>
    <tableColumn id="6176" xr3:uid="{B2683D0D-F22C-47D4-8C88-2412A2C501F6}" name="Column6165"/>
    <tableColumn id="6177" xr3:uid="{FF15E6E6-A01D-4117-99D7-F6EAAF8DB39E}" name="Column6166"/>
    <tableColumn id="6178" xr3:uid="{118F6C51-9D84-4391-A7B9-E2E99DF42A69}" name="Column6167"/>
    <tableColumn id="6179" xr3:uid="{41542433-84EF-4A7D-AA19-076499D4E5E8}" name="Column6168"/>
    <tableColumn id="6180" xr3:uid="{D3ACD8FC-D601-4953-AA89-DDAE59DD0B78}" name="Column6169"/>
    <tableColumn id="6181" xr3:uid="{3CB905D0-6DE5-49C7-BC73-D2AC7EE56FFC}" name="Column6170"/>
    <tableColumn id="6182" xr3:uid="{21CC9DAC-11B1-4B50-B53E-E75606E7FC6F}" name="Column6171"/>
    <tableColumn id="6183" xr3:uid="{EDA73074-A122-481C-92DE-953417449796}" name="Column6172"/>
    <tableColumn id="6184" xr3:uid="{FB06C84A-8552-47F7-9970-9FE9B59E2CC6}" name="Column6173"/>
    <tableColumn id="6185" xr3:uid="{A48E6642-A31E-4072-A364-D7BEFA2CBE64}" name="Column6174"/>
    <tableColumn id="6186" xr3:uid="{A7E5C781-7BD3-4058-9D38-B5599CC30DF5}" name="Column6175"/>
    <tableColumn id="6187" xr3:uid="{05E2B559-7FCF-44DB-8CDE-78588C6221FD}" name="Column6176"/>
    <tableColumn id="6188" xr3:uid="{F49C26F0-69FE-4BFC-A520-88E9D37B5B9D}" name="Column6177"/>
    <tableColumn id="6189" xr3:uid="{13601FAD-D146-4F59-BDC2-97CAE8D10861}" name="Column6178"/>
    <tableColumn id="6190" xr3:uid="{87CE0289-F7EE-4DBD-865E-BD60EDA7A84A}" name="Column6179"/>
    <tableColumn id="6191" xr3:uid="{34609372-DD90-441D-BF45-016D966E10E2}" name="Column6180"/>
    <tableColumn id="6192" xr3:uid="{AE310AF2-B912-4CBC-A944-E825DB69E4C1}" name="Column6181"/>
    <tableColumn id="6193" xr3:uid="{32D5A6BD-1FA2-421D-987B-EADC3DAE685E}" name="Column6182"/>
    <tableColumn id="6194" xr3:uid="{62A53466-422A-4909-937E-1512D6E1CFEC}" name="Column6183"/>
    <tableColumn id="6195" xr3:uid="{809EA849-4832-48EF-A3B0-7CE442B1072D}" name="Column6184"/>
    <tableColumn id="6196" xr3:uid="{52ECE208-E541-4DBE-B17F-A0C82A95488F}" name="Column6185"/>
    <tableColumn id="6197" xr3:uid="{ADAA9A86-9B01-4975-BAED-B5C9A98250EB}" name="Column6186"/>
    <tableColumn id="6198" xr3:uid="{36D2D1AB-E17E-4FCE-A898-315A203EC3CA}" name="Column6187"/>
    <tableColumn id="6199" xr3:uid="{12F3F70D-36FE-4CCD-8F4B-CC2533D0444B}" name="Column6188"/>
    <tableColumn id="6200" xr3:uid="{D0064EFA-ECF8-427F-A269-F4B1EDA7E4D4}" name="Column6189"/>
    <tableColumn id="6201" xr3:uid="{1FF49BD3-A8A7-4B6C-9EB5-00128AA90433}" name="Column6190"/>
    <tableColumn id="6202" xr3:uid="{B7139B54-C3CC-4F37-B036-19547241822D}" name="Column6191"/>
    <tableColumn id="6203" xr3:uid="{CA5BECEC-C6E9-490A-B57D-44AEEB3BD315}" name="Column6192"/>
    <tableColumn id="6204" xr3:uid="{3EFE69DA-EDD9-48D1-943E-CD23DD72A05A}" name="Column6193"/>
    <tableColumn id="6205" xr3:uid="{F6501960-7D30-4634-9B6E-3540497375FE}" name="Column6194"/>
    <tableColumn id="6206" xr3:uid="{C9DD9AE4-97F2-4FE1-BD4B-F607846A2301}" name="Column6195"/>
    <tableColumn id="6207" xr3:uid="{6343D94C-46A6-438A-BE5A-28E38569D665}" name="Column6196"/>
    <tableColumn id="6208" xr3:uid="{F87FBB97-73AD-48A8-91E1-91B24CFF993D}" name="Column6197"/>
    <tableColumn id="6209" xr3:uid="{0914BFAA-7389-40EC-B82A-48EB2905FD5D}" name="Column6198"/>
    <tableColumn id="6210" xr3:uid="{B8F49972-CDA7-4A37-AA81-1A2067E3CE22}" name="Column6199"/>
    <tableColumn id="6211" xr3:uid="{3DE9B763-C18F-4C61-8AF2-8C7E3959284A}" name="Column6200"/>
    <tableColumn id="6212" xr3:uid="{1E1CF949-3A5C-4ACC-9EDC-1F4BCDEDB4FC}" name="Column6201"/>
    <tableColumn id="6213" xr3:uid="{D1815187-DE08-4404-823B-B17172D4499B}" name="Column6202"/>
    <tableColumn id="6214" xr3:uid="{AFC9732C-0009-4D2C-9A4A-499DD4400411}" name="Column6203"/>
    <tableColumn id="6215" xr3:uid="{BEC51AEB-9930-4ECC-8FE7-C902FFE552A5}" name="Column6204"/>
    <tableColumn id="6216" xr3:uid="{98A1E830-E1EC-41B5-A398-568B464B4C4E}" name="Column6205"/>
    <tableColumn id="6217" xr3:uid="{632C505D-FFCE-44DF-9F36-0E03D119E063}" name="Column6206"/>
    <tableColumn id="6218" xr3:uid="{76B89617-B995-40BD-8683-D61C151B1CDF}" name="Column6207"/>
    <tableColumn id="6219" xr3:uid="{B14C2DEA-3D77-4AA3-B66A-DBB240F896A2}" name="Column6208"/>
    <tableColumn id="6220" xr3:uid="{A068C78A-E08F-48E4-9E3C-3B7AF0AB4E3F}" name="Column6209"/>
    <tableColumn id="6221" xr3:uid="{A08BC7E8-265F-41C7-BD5E-AF22ECC0D813}" name="Column6210"/>
    <tableColumn id="6222" xr3:uid="{EADB9E45-60EF-41A1-BED8-23437C077A82}" name="Column6211"/>
    <tableColumn id="6223" xr3:uid="{5D915951-934F-4531-AEAC-7D03A725F84A}" name="Column6212"/>
    <tableColumn id="6224" xr3:uid="{0B8C32DB-8CB0-4C34-8AD8-C946E9D9D536}" name="Column6213"/>
    <tableColumn id="6225" xr3:uid="{EFABD2C3-4705-43B9-8D1E-05938455D905}" name="Column6214"/>
    <tableColumn id="6226" xr3:uid="{759161E7-3D57-47FE-A3F9-0DABDD1181AC}" name="Column6215"/>
    <tableColumn id="6227" xr3:uid="{175FE50F-6E7A-4CD4-ABF0-F7B504C43BA4}" name="Column6216"/>
    <tableColumn id="6228" xr3:uid="{E1E8476E-3BC9-4B25-AABF-B4CE684D8A80}" name="Column6217"/>
    <tableColumn id="6229" xr3:uid="{15FE4D78-6A68-4105-A346-DA00D73B9E87}" name="Column6218"/>
    <tableColumn id="6230" xr3:uid="{5F57F3AA-3B86-4DEF-9C1D-6507B95075B0}" name="Column6219"/>
    <tableColumn id="6231" xr3:uid="{D0EDD0D2-B8C1-4DFE-A809-8B4DDEF5BF62}" name="Column6220"/>
    <tableColumn id="6232" xr3:uid="{0348D11B-ABB5-414E-94B2-315207FF7C04}" name="Column6221"/>
    <tableColumn id="6233" xr3:uid="{2AFE9C88-B7B0-4BE9-9B55-58EE5C151EE9}" name="Column6222"/>
    <tableColumn id="6234" xr3:uid="{836C3E29-D7BB-4D3D-BD75-E017191AD7A4}" name="Column6223"/>
    <tableColumn id="6235" xr3:uid="{B521AAEF-B292-4D06-B500-A3695B6BBEB1}" name="Column6224"/>
    <tableColumn id="6236" xr3:uid="{9F78DFB1-01C3-4C08-B34D-6C691D617D0F}" name="Column6225"/>
    <tableColumn id="6237" xr3:uid="{2B1FAE62-C807-4B9D-9C89-1D777D18E599}" name="Column6226"/>
    <tableColumn id="6238" xr3:uid="{68F9F94D-D93D-44C5-8F58-7CE1248402D1}" name="Column6227"/>
    <tableColumn id="6239" xr3:uid="{1B222944-D89E-4AA1-965F-BD3E9000EDBD}" name="Column6228"/>
    <tableColumn id="6240" xr3:uid="{C6B93CBC-0304-4992-A1FF-43390427EB55}" name="Column6229"/>
    <tableColumn id="6241" xr3:uid="{D2C89B85-ED52-49D3-B737-100D04105719}" name="Column6230"/>
    <tableColumn id="6242" xr3:uid="{9CC9EA9A-11C8-4258-9CD4-1BDCC27EBF88}" name="Column6231"/>
    <tableColumn id="6243" xr3:uid="{5D5711AE-F13E-49E2-BF58-B7BB609525D7}" name="Column6232"/>
    <tableColumn id="6244" xr3:uid="{66B810BD-88EB-4587-804C-7761F84C2A07}" name="Column6233"/>
    <tableColumn id="6245" xr3:uid="{E48774B8-5EBD-4154-A564-01ADB605BDD8}" name="Column6234"/>
    <tableColumn id="6246" xr3:uid="{A834C5E7-4ADA-4D4C-8661-25C5F20106C1}" name="Column6235"/>
    <tableColumn id="6247" xr3:uid="{3877332C-A723-4DC4-89CD-610D5061F841}" name="Column6236"/>
    <tableColumn id="6248" xr3:uid="{B841C4E5-5B74-42BB-B4AD-2C18EA827B21}" name="Column6237"/>
    <tableColumn id="6249" xr3:uid="{E218F46F-150F-47F4-9075-05A42A3E34DA}" name="Column6238"/>
    <tableColumn id="6250" xr3:uid="{E6AC6EC3-3D63-4A33-884D-A0F0BACD2CED}" name="Column6239"/>
    <tableColumn id="6251" xr3:uid="{1D4FF7E1-2E63-4D4F-8774-986AEA5DFA3C}" name="Column6240"/>
    <tableColumn id="6252" xr3:uid="{9D4C3E83-3016-48FD-AB76-A2ED8F4B79A0}" name="Column6241"/>
    <tableColumn id="6253" xr3:uid="{16D56C33-95A0-4C6D-9041-BACAD4538A78}" name="Column6242"/>
    <tableColumn id="6254" xr3:uid="{6D8C400E-B174-4850-9A70-C68284268625}" name="Column6243"/>
    <tableColumn id="6255" xr3:uid="{AF9C6162-BA77-474F-A59A-9C7801B3BF15}" name="Column6244"/>
    <tableColumn id="6256" xr3:uid="{07AE0524-E07F-472B-80C9-2A54DC3978C3}" name="Column6245"/>
    <tableColumn id="6257" xr3:uid="{8299CA15-4BE2-442D-8277-ABBA5E339B25}" name="Column6246"/>
    <tableColumn id="6258" xr3:uid="{AE027907-1CA5-4B00-B47A-103340A05882}" name="Column6247"/>
    <tableColumn id="6259" xr3:uid="{692AC1FC-34F1-40C6-A139-3D3EBF8C24C1}" name="Column6248"/>
    <tableColumn id="6260" xr3:uid="{49826370-8F52-40CA-9DDA-2BDC61A5D766}" name="Column6249"/>
    <tableColumn id="6261" xr3:uid="{0330C83A-85D2-4E49-9E59-C60C25FC0B8B}" name="Column6250"/>
    <tableColumn id="6262" xr3:uid="{EBD539D2-5E17-43B9-BA5B-D775509DD25B}" name="Column6251"/>
    <tableColumn id="6263" xr3:uid="{8BE9786D-B121-4EFE-A301-BF6BA9B00F2C}" name="Column6252"/>
    <tableColumn id="6264" xr3:uid="{6003B27E-9DBE-41F9-B761-9CBC01435E7C}" name="Column6253"/>
    <tableColumn id="6265" xr3:uid="{0775D9C6-F1DB-40DD-9C9D-35AC361C294E}" name="Column6254"/>
    <tableColumn id="6266" xr3:uid="{13AE1B19-4BC2-4922-9CD4-44D2922F194A}" name="Column6255"/>
    <tableColumn id="6267" xr3:uid="{96EE2947-678F-4334-B37F-6E7BC7C708CD}" name="Column6256"/>
    <tableColumn id="6268" xr3:uid="{9643A504-CE33-4FEA-A413-5C816FC573A6}" name="Column6257"/>
    <tableColumn id="6269" xr3:uid="{170F33ED-AF0D-4153-A721-62527F02761F}" name="Column6258"/>
    <tableColumn id="6270" xr3:uid="{D7D007D1-C1FB-43DF-B79C-E0AB1D3891B4}" name="Column6259"/>
    <tableColumn id="6271" xr3:uid="{8F693A13-B814-4F89-B3A0-DFA8674D7954}" name="Column6260"/>
    <tableColumn id="6272" xr3:uid="{F12312BD-1DFC-496F-B3C7-C0596D7E7F73}" name="Column6261"/>
    <tableColumn id="6273" xr3:uid="{E15820F9-09EB-4D50-BB0A-D54DC4504B12}" name="Column6262"/>
    <tableColumn id="6274" xr3:uid="{4E2E3C7F-488E-462B-9815-830DAF36AC4B}" name="Column6263"/>
    <tableColumn id="6275" xr3:uid="{944B2F6E-47E9-4871-88D2-680AC5E862DB}" name="Column6264"/>
    <tableColumn id="6276" xr3:uid="{140E5C9B-A518-4A76-961D-BE2661CC6FE8}" name="Column6265"/>
    <tableColumn id="6277" xr3:uid="{727B5F35-76A9-429C-A767-61FF091F0BEB}" name="Column6266"/>
    <tableColumn id="6278" xr3:uid="{065EF167-1825-43FC-9A12-17D29209BAD1}" name="Column6267"/>
    <tableColumn id="6279" xr3:uid="{74E314B6-EAEF-4285-AD80-3F8DC25A889B}" name="Column6268"/>
    <tableColumn id="6280" xr3:uid="{C671F082-BEBB-4532-8DAE-39B95BFD0901}" name="Column6269"/>
    <tableColumn id="6281" xr3:uid="{06E569B9-599E-48DB-92FE-A74E5E526BC8}" name="Column6270"/>
    <tableColumn id="6282" xr3:uid="{37DD8C72-095D-474D-B192-C1E265E51149}" name="Column6271"/>
    <tableColumn id="6283" xr3:uid="{C9472DB3-FE7F-4EF0-A857-EDAC6954486F}" name="Column6272"/>
    <tableColumn id="6284" xr3:uid="{4CE8CDA9-68A3-474A-A273-B7EE723B38C6}" name="Column6273"/>
    <tableColumn id="6285" xr3:uid="{2F8940A1-6A02-4303-84FE-D6C3A3B14ECA}" name="Column6274"/>
    <tableColumn id="6286" xr3:uid="{5375FEAA-4616-4E3D-86B8-83B7695A635D}" name="Column6275"/>
    <tableColumn id="6287" xr3:uid="{06EA5740-7610-4A08-ABA1-931276C2143B}" name="Column6276"/>
    <tableColumn id="6288" xr3:uid="{BA38C603-35AA-4C87-BE60-1C9A1533ACD6}" name="Column6277"/>
    <tableColumn id="6289" xr3:uid="{516C7D5E-41F7-4294-AF24-2B89B772E1F8}" name="Column6278"/>
    <tableColumn id="6290" xr3:uid="{1FF09B18-F5D4-41E5-8C5D-5696088DB02A}" name="Column6279"/>
    <tableColumn id="6291" xr3:uid="{ED541BD1-3FAB-4F7A-B790-BF5BA372B608}" name="Column6280"/>
    <tableColumn id="6292" xr3:uid="{958BBA3C-0755-4325-971A-C1F8C09B3046}" name="Column6281"/>
    <tableColumn id="6293" xr3:uid="{37B06E37-2749-402D-9E69-31B3D3CFA67C}" name="Column6282"/>
    <tableColumn id="6294" xr3:uid="{4FBD901E-8A15-48E9-8022-7F7B38C9B795}" name="Column6283"/>
    <tableColumn id="6295" xr3:uid="{79CB203F-1929-485D-BDBF-F2E20976305A}" name="Column6284"/>
    <tableColumn id="6296" xr3:uid="{415E993C-4287-4275-8E15-1BA169434B11}" name="Column6285"/>
    <tableColumn id="6297" xr3:uid="{AA4EDFF2-5B32-4E99-BA1F-762927457225}" name="Column6286"/>
    <tableColumn id="6298" xr3:uid="{E0BC9A68-FDEE-4EC5-85DB-BF39B3BCBE39}" name="Column6287"/>
    <tableColumn id="6299" xr3:uid="{B9347164-222B-41B9-8E5A-BF64598EED22}" name="Column6288"/>
    <tableColumn id="6300" xr3:uid="{944DCEF7-E65A-4AF6-BA72-55B0C8DF84FC}" name="Column6289"/>
    <tableColumn id="6301" xr3:uid="{1B106510-CCF1-40AF-A1D4-962DF2DAF2DA}" name="Column6290"/>
    <tableColumn id="6302" xr3:uid="{FDC74158-431B-4E6B-B3AA-425D0A64EC01}" name="Column6291"/>
    <tableColumn id="6303" xr3:uid="{DDB98131-479E-4126-9E88-F25A7ED18944}" name="Column6292"/>
    <tableColumn id="6304" xr3:uid="{D3BB75BC-42C2-4DA5-ADED-704001579F0A}" name="Column6293"/>
    <tableColumn id="6305" xr3:uid="{FA29D6C8-1271-457D-86FD-730CF70C23F8}" name="Column6294"/>
    <tableColumn id="6306" xr3:uid="{E2BF4B6A-CF61-45AB-92C6-F52BE8383D62}" name="Column6295"/>
    <tableColumn id="6307" xr3:uid="{D3EE8308-1C7A-49BA-86F3-0A72204601F3}" name="Column6296"/>
    <tableColumn id="6308" xr3:uid="{ECB8223F-2E73-49F0-8B3E-6091C1C8EC6C}" name="Column6297"/>
    <tableColumn id="6309" xr3:uid="{00179561-2B88-4F6D-B362-C2E01E056ABE}" name="Column6298"/>
    <tableColumn id="6310" xr3:uid="{D0F8D848-A401-4FE1-BAB2-3A5B6B18C251}" name="Column6299"/>
    <tableColumn id="6311" xr3:uid="{CE1AAC98-C2E7-479C-9615-FD2B54B40BBE}" name="Column6300"/>
    <tableColumn id="6312" xr3:uid="{1A68144E-9CDA-49F1-8F3A-4EB75D6212D1}" name="Column6301"/>
    <tableColumn id="6313" xr3:uid="{46434AC4-5BB4-43E0-BD49-302FBBB0B37F}" name="Column6302"/>
    <tableColumn id="6314" xr3:uid="{3F1671B7-06CE-475B-81FE-0DDA57F0D016}" name="Column6303"/>
    <tableColumn id="6315" xr3:uid="{9815E8CF-45F9-4974-A73E-04B04E813A07}" name="Column6304"/>
    <tableColumn id="6316" xr3:uid="{E275BA2C-F46E-48E8-9D8F-B5F9572E4D4D}" name="Column6305"/>
    <tableColumn id="6317" xr3:uid="{7E3B12E1-C623-4386-9A19-FA9D51EC494B}" name="Column6306"/>
    <tableColumn id="6318" xr3:uid="{9F64E7AB-E2DC-4E64-B2BD-B439924E5EF6}" name="Column6307"/>
    <tableColumn id="6319" xr3:uid="{81E4160E-1E51-4721-8506-556F39911463}" name="Column6308"/>
    <tableColumn id="6320" xr3:uid="{719505F1-823C-4CED-8626-24082F779430}" name="Column6309"/>
    <tableColumn id="6321" xr3:uid="{0F98686C-4325-4606-8152-D3D6FD1F189E}" name="Column6310"/>
    <tableColumn id="6322" xr3:uid="{0E4A25CE-FCAB-44C4-AB6F-1DBC8ABB514B}" name="Column6311"/>
    <tableColumn id="6323" xr3:uid="{4F000A73-BB6C-41A8-A059-FF780A3B242D}" name="Column6312"/>
    <tableColumn id="6324" xr3:uid="{7AB753CA-9830-4987-A5DD-2FCC93DBD69E}" name="Column6313"/>
    <tableColumn id="6325" xr3:uid="{B6A9610F-BD07-4162-8027-93112A5D4FAC}" name="Column6314"/>
    <tableColumn id="6326" xr3:uid="{54F2D949-F208-4710-A4EE-9A136DF44EAE}" name="Column6315"/>
    <tableColumn id="6327" xr3:uid="{A5527EFC-78D6-42B5-99F9-4E01575B914E}" name="Column6316"/>
    <tableColumn id="6328" xr3:uid="{FD8F3662-8C62-4846-A874-E08108C239B4}" name="Column6317"/>
    <tableColumn id="6329" xr3:uid="{07E20715-C3EA-4847-996A-DF6E5B207F96}" name="Column6318"/>
    <tableColumn id="6330" xr3:uid="{9986A52F-01D9-4971-A771-24245EAFAAA1}" name="Column6319"/>
    <tableColumn id="6331" xr3:uid="{661F0F28-B289-4888-94AC-0976003297D2}" name="Column6320"/>
    <tableColumn id="6332" xr3:uid="{24DCC430-DEC1-4EBF-BDF0-C17E78AFDDFB}" name="Column6321"/>
    <tableColumn id="6333" xr3:uid="{86F99BB5-31FD-4ED0-9F02-5F9D45AE3EEA}" name="Column6322"/>
    <tableColumn id="6334" xr3:uid="{538D9FE3-461A-4FB2-819D-18DA600FA42F}" name="Column6323"/>
    <tableColumn id="6335" xr3:uid="{1171A055-48E1-4DF1-836F-1DBC863429B2}" name="Column6324"/>
    <tableColumn id="6336" xr3:uid="{1C17E045-A906-44BD-85C9-4D16FAEE046C}" name="Column6325"/>
    <tableColumn id="6337" xr3:uid="{33136AD7-A91E-4CC4-BBFE-B71048C5684E}" name="Column6326"/>
    <tableColumn id="6338" xr3:uid="{A4BBAA4F-F1A1-45BC-8D11-F62918F94BAA}" name="Column6327"/>
    <tableColumn id="6339" xr3:uid="{24FF964A-4998-42B1-9A30-46BC4CE370E6}" name="Column6328"/>
    <tableColumn id="6340" xr3:uid="{7C07F8E2-F05C-4191-B061-333243D8F602}" name="Column6329"/>
    <tableColumn id="6341" xr3:uid="{A20DC102-4584-451A-AD3E-EB0375849308}" name="Column6330"/>
    <tableColumn id="6342" xr3:uid="{4DC00BA8-E40B-468C-86AE-BF2AB588292F}" name="Column6331"/>
    <tableColumn id="6343" xr3:uid="{E80A7A6F-00FB-48F8-A4A9-EEB86805E6CE}" name="Column6332"/>
    <tableColumn id="6344" xr3:uid="{D591BE4D-06F7-4C1F-AAED-CB44AC78A190}" name="Column6333"/>
    <tableColumn id="6345" xr3:uid="{091409A6-4690-4AFF-AF2D-768DB4716471}" name="Column6334"/>
    <tableColumn id="6346" xr3:uid="{58A92BDF-7ADC-407D-8469-8ECDA02382FD}" name="Column6335"/>
    <tableColumn id="6347" xr3:uid="{7AB7E7F4-09F0-473B-9724-85CBE70FA5A8}" name="Column6336"/>
    <tableColumn id="6348" xr3:uid="{E809F68E-7F31-498E-A842-BE66CF609A9D}" name="Column6337"/>
    <tableColumn id="6349" xr3:uid="{FEC39ECD-EF88-476E-B61D-ECC2452B2F7B}" name="Column6338"/>
    <tableColumn id="6350" xr3:uid="{232C7D75-34E6-44BB-A3FD-A6C5625674C0}" name="Column6339"/>
    <tableColumn id="6351" xr3:uid="{FD040D2B-E755-4360-95B1-EE9EAA935F17}" name="Column6340"/>
    <tableColumn id="6352" xr3:uid="{2D4E893F-C785-47BE-ABDE-DA04A6A83867}" name="Column6341"/>
    <tableColumn id="6353" xr3:uid="{6F1E2B8D-54D0-4BF3-99F0-23F579FD040D}" name="Column6342"/>
    <tableColumn id="6354" xr3:uid="{37CFD27F-0FC4-453F-94C7-CF57BB1863A1}" name="Column6343"/>
    <tableColumn id="6355" xr3:uid="{F1B6F1A9-BF67-4AE5-8EDF-50AAD347EAF6}" name="Column6344"/>
    <tableColumn id="6356" xr3:uid="{A4872AF8-C4C5-4538-A4D4-30FBE4680273}" name="Column6345"/>
    <tableColumn id="6357" xr3:uid="{64A5624B-7A23-49C9-8ADC-5CF5833642C6}" name="Column6346"/>
    <tableColumn id="6358" xr3:uid="{CA61DCB7-F069-43A9-ABFD-B668AC8ED0AF}" name="Column6347"/>
    <tableColumn id="6359" xr3:uid="{05E26BC7-6B8F-4F1E-9B66-C3AACFEB2BBF}" name="Column6348"/>
    <tableColumn id="6360" xr3:uid="{E9D3D11F-45D9-4067-87EA-372B33B136DC}" name="Column6349"/>
    <tableColumn id="6361" xr3:uid="{623943DF-6E06-440C-82E5-F4FD23D494DB}" name="Column6350"/>
    <tableColumn id="6362" xr3:uid="{E2CDE5A1-83BD-44BD-AA93-5AB0ADE02594}" name="Column6351"/>
    <tableColumn id="6363" xr3:uid="{807AF6DE-7E48-41B6-912D-EA800B7023CE}" name="Column6352"/>
    <tableColumn id="6364" xr3:uid="{EC369D48-4596-447E-8A98-2F5E16C39493}" name="Column6353"/>
    <tableColumn id="6365" xr3:uid="{FC4DE900-19CD-43C7-8C0E-8C75CB901E3A}" name="Column6354"/>
    <tableColumn id="6366" xr3:uid="{5C58FB64-37D8-4D00-88DE-DC0663F199D4}" name="Column6355"/>
    <tableColumn id="6367" xr3:uid="{58575496-ED7D-427A-A3B8-9D1717E92E90}" name="Column6356"/>
    <tableColumn id="6368" xr3:uid="{5B51339D-0448-4B85-B07C-BCA0F880D74B}" name="Column6357"/>
    <tableColumn id="6369" xr3:uid="{96F43A65-3323-40F3-96E4-10A4C7994C0B}" name="Column6358"/>
    <tableColumn id="6370" xr3:uid="{9F4867BA-95CE-43F0-B736-8FB3C9305D97}" name="Column6359"/>
    <tableColumn id="6371" xr3:uid="{D14A0899-72F8-4A33-9A4D-289D89E3CA7B}" name="Column6360"/>
    <tableColumn id="6372" xr3:uid="{4711F2C1-794C-43CA-BA96-D4664C9EA6BE}" name="Column6361"/>
    <tableColumn id="6373" xr3:uid="{620B31DD-CBF1-4D10-917A-2FAE597FD434}" name="Column6362"/>
    <tableColumn id="6374" xr3:uid="{136EE7CE-8626-4BB0-B705-F02F93E10FD0}" name="Column6363"/>
    <tableColumn id="6375" xr3:uid="{7C309CE4-525B-4122-8235-F3F518B32579}" name="Column6364"/>
    <tableColumn id="6376" xr3:uid="{F6587BD1-33D9-4AA6-BB10-5DB6DC63F5A5}" name="Column6365"/>
    <tableColumn id="6377" xr3:uid="{81C452F5-68ED-4D89-8B9D-692EC068A9D9}" name="Column6366"/>
    <tableColumn id="6378" xr3:uid="{4EC8EEF3-4203-4ABC-BFFD-ACA34C04D892}" name="Column6367"/>
    <tableColumn id="6379" xr3:uid="{5CED03F3-2312-451F-B03F-EAE46630DED6}" name="Column6368"/>
    <tableColumn id="6380" xr3:uid="{3DADB54B-908A-4417-8ECD-CA0746C82B80}" name="Column6369"/>
    <tableColumn id="6381" xr3:uid="{DD417ABF-653F-4F1A-8BE1-5A40052FBFC2}" name="Column6370"/>
    <tableColumn id="6382" xr3:uid="{1ED648A8-012F-4C79-8DCE-A6DB022FEF04}" name="Column6371"/>
    <tableColumn id="6383" xr3:uid="{5F742B59-C751-4B6C-8B67-D439DB54574B}" name="Column6372"/>
    <tableColumn id="6384" xr3:uid="{CCB11F04-49BD-40A6-A286-9B9B151595C0}" name="Column6373"/>
    <tableColumn id="6385" xr3:uid="{590C5883-523C-4144-9911-E43F9289A33A}" name="Column6374"/>
    <tableColumn id="6386" xr3:uid="{6821F997-302E-4F7B-9DC3-61D47FFF95BE}" name="Column6375"/>
    <tableColumn id="6387" xr3:uid="{C6FCDD01-673B-423C-8EBA-1AB007CF7D57}" name="Column6376"/>
    <tableColumn id="6388" xr3:uid="{F5E0AC56-FD9F-4A9C-A843-6994DB4D5051}" name="Column6377"/>
    <tableColumn id="6389" xr3:uid="{D4652EF3-7A72-41D0-838F-C7A55D974961}" name="Column6378"/>
    <tableColumn id="6390" xr3:uid="{155547E7-A3F9-4330-9B17-1AE4FF8AE535}" name="Column6379"/>
    <tableColumn id="6391" xr3:uid="{C5B912B0-D9AB-4902-8F54-C9B4447079BB}" name="Column6380"/>
    <tableColumn id="6392" xr3:uid="{6CB375B8-3AF1-45EE-8E00-9E278FBD3CA5}" name="Column6381"/>
    <tableColumn id="6393" xr3:uid="{96DED20E-F18F-4F1B-9FA5-11E424404CCF}" name="Column6382"/>
    <tableColumn id="6394" xr3:uid="{0597E0BD-95A8-4799-A058-63418D082520}" name="Column6383"/>
    <tableColumn id="6395" xr3:uid="{9898DC73-A670-468B-B06E-E2765C4EAF42}" name="Column6384"/>
    <tableColumn id="6396" xr3:uid="{044529BD-D83F-40B1-BCB1-B20BEBD1F760}" name="Column6385"/>
    <tableColumn id="6397" xr3:uid="{B9E6BF34-41BB-4C90-9F5C-7B618E22ED1F}" name="Column6386"/>
    <tableColumn id="6398" xr3:uid="{975AB667-DC12-42C1-BC91-331ACD172AA6}" name="Column6387"/>
    <tableColumn id="6399" xr3:uid="{FC2BAA3E-CE0B-4845-A967-3A9B122B1411}" name="Column6388"/>
    <tableColumn id="6400" xr3:uid="{242BDAD0-6E53-429C-9C64-ABFE3A9B8CAA}" name="Column6389"/>
    <tableColumn id="6401" xr3:uid="{BF0F6EEE-60B4-496A-9D6C-4477368719DD}" name="Column6390"/>
    <tableColumn id="6402" xr3:uid="{1C706856-FB17-4390-95EA-54F6EC685AE8}" name="Column6391"/>
    <tableColumn id="6403" xr3:uid="{EDBB3808-AF4D-463C-A6AC-23C5FFB20477}" name="Column6392"/>
    <tableColumn id="6404" xr3:uid="{AC2A9071-3385-4139-904C-3ECD31497245}" name="Column6393"/>
    <tableColumn id="6405" xr3:uid="{EF6BBBAD-F9DE-424D-90E8-D259395BE051}" name="Column6394"/>
    <tableColumn id="6406" xr3:uid="{5CB05BB6-4C3C-4A4A-A554-E28FDC1121B5}" name="Column6395"/>
    <tableColumn id="6407" xr3:uid="{3D6F190C-2903-4667-B958-0EBEB26D6FAD}" name="Column6396"/>
    <tableColumn id="6408" xr3:uid="{D48092A5-56C1-423E-93F0-1FDAF9095C8C}" name="Column6397"/>
    <tableColumn id="6409" xr3:uid="{A7668A36-4DC7-448B-B6D9-7FE4A5EFDE6F}" name="Column6398"/>
    <tableColumn id="6410" xr3:uid="{A1249D48-7A48-448E-9FDC-E20E9DFAE70B}" name="Column6399"/>
    <tableColumn id="6411" xr3:uid="{39219EA8-BF7F-47B1-800F-A4DA7448B579}" name="Column6400"/>
    <tableColumn id="6412" xr3:uid="{F963419F-16E9-4CB6-B809-96747E48E53D}" name="Column6401"/>
    <tableColumn id="6413" xr3:uid="{28E15FD2-309B-4692-A7AA-11554C6C99C2}" name="Column6402"/>
    <tableColumn id="6414" xr3:uid="{5B04C265-5340-43CF-AC11-8BF7C6364D1B}" name="Column6403"/>
    <tableColumn id="6415" xr3:uid="{2EFB2168-7547-45B5-A71B-ED9195402818}" name="Column6404"/>
    <tableColumn id="6416" xr3:uid="{08C6C066-6EC9-4672-905B-B00E97648A31}" name="Column6405"/>
    <tableColumn id="6417" xr3:uid="{9BD5EA5B-477E-461C-ACE7-AD3CF6096718}" name="Column6406"/>
    <tableColumn id="6418" xr3:uid="{4DFD56D3-963B-4E09-A8B1-E4D7DBA98108}" name="Column6407"/>
    <tableColumn id="6419" xr3:uid="{5A76E6BB-6A2E-48A0-A24C-820673F0BDA3}" name="Column6408"/>
    <tableColumn id="6420" xr3:uid="{53ACC85C-528A-4F00-B568-FA0B652FD595}" name="Column6409"/>
    <tableColumn id="6421" xr3:uid="{0B137A42-40EE-40E4-B03D-56DAB27F7F28}" name="Column6410"/>
    <tableColumn id="6422" xr3:uid="{25D4C736-DCDC-4B80-8002-EA9DF68D8782}" name="Column6411"/>
    <tableColumn id="6423" xr3:uid="{07B3E944-F989-4170-B579-50D8031A380F}" name="Column6412"/>
    <tableColumn id="6424" xr3:uid="{D85E55DF-7BBD-49E1-84B4-F11EB8B08060}" name="Column6413"/>
    <tableColumn id="6425" xr3:uid="{BD153332-EE6E-4F2C-B75A-6F0387E5EB00}" name="Column6414"/>
    <tableColumn id="6426" xr3:uid="{A04D34F6-C60B-4593-B758-FF9978F27CAF}" name="Column6415"/>
    <tableColumn id="6427" xr3:uid="{0EACEE05-EB38-469D-9CC4-2BA937B37B01}" name="Column6416"/>
    <tableColumn id="6428" xr3:uid="{64339BAE-7717-4016-8CA0-CF37D8A36C50}" name="Column6417"/>
    <tableColumn id="6429" xr3:uid="{9C3DD483-8FE1-4703-9796-416B2F877470}" name="Column6418"/>
    <tableColumn id="6430" xr3:uid="{27890AAE-14BE-4A80-B031-B0FD86DA7A2F}" name="Column6419"/>
    <tableColumn id="6431" xr3:uid="{2D87EA99-A806-4EFC-A4E1-03BB36C7E2B4}" name="Column6420"/>
    <tableColumn id="6432" xr3:uid="{7D32D5FB-DE9C-4681-A5D9-4E074694D82F}" name="Column6421"/>
    <tableColumn id="6433" xr3:uid="{17AA2D9D-1BAC-4185-9EED-56DF70B2FAF9}" name="Column6422"/>
    <tableColumn id="6434" xr3:uid="{55F740B8-1AAE-4920-9462-FA3087F39B0C}" name="Column6423"/>
    <tableColumn id="6435" xr3:uid="{13EFE412-C703-4AAD-9854-E7DCAD303CFA}" name="Column6424"/>
    <tableColumn id="6436" xr3:uid="{31C7EBC7-07F4-44B6-B715-CD2B14AE9D12}" name="Column6425"/>
    <tableColumn id="6437" xr3:uid="{1C55E038-7D50-4640-9B21-E010DBC350F8}" name="Column6426"/>
    <tableColumn id="6438" xr3:uid="{8E3E4984-4A60-4A8C-AE1B-004B0DD22387}" name="Column6427"/>
    <tableColumn id="6439" xr3:uid="{F8145D4C-872E-444C-89CF-50DAED2067A1}" name="Column6428"/>
    <tableColumn id="6440" xr3:uid="{E9E145D8-C5A2-4738-BB3F-649668F7BD3E}" name="Column6429"/>
    <tableColumn id="6441" xr3:uid="{07D187E5-A924-4BD8-8A6A-25D1F912C158}" name="Column6430"/>
    <tableColumn id="6442" xr3:uid="{78A2D294-DEC5-4AA4-8B20-97CB5E8868AA}" name="Column6431"/>
    <tableColumn id="6443" xr3:uid="{69560611-47D0-4F01-88E8-8BF79284254C}" name="Column6432"/>
    <tableColumn id="6444" xr3:uid="{F1C91D11-7A87-4B1B-B310-93BB1850AFAD}" name="Column6433"/>
    <tableColumn id="6445" xr3:uid="{384BED1B-D958-471C-9C15-EC92640FAECE}" name="Column6434"/>
    <tableColumn id="6446" xr3:uid="{FDA152B9-00B5-4EED-BC63-0CD558DC26F6}" name="Column6435"/>
    <tableColumn id="6447" xr3:uid="{03D2319C-3D8C-4C6B-9F84-4119D6B9A174}" name="Column6436"/>
    <tableColumn id="6448" xr3:uid="{72C3E709-CF4A-4D88-93AD-3ED28AD05D01}" name="Column6437"/>
    <tableColumn id="6449" xr3:uid="{7C25731C-9DA1-4B76-A82B-69F94A9ED52B}" name="Column6438"/>
    <tableColumn id="6450" xr3:uid="{A553E063-5BC7-4320-8744-CDB52EFA85E0}" name="Column6439"/>
    <tableColumn id="6451" xr3:uid="{37707280-1F98-4BD2-8448-8F01042C88E3}" name="Column6440"/>
    <tableColumn id="6452" xr3:uid="{82B766CF-98DB-4C48-9A33-8FD637FC118C}" name="Column6441"/>
    <tableColumn id="6453" xr3:uid="{78305452-F307-481F-AE7F-C0CC02BD5F26}" name="Column6442"/>
    <tableColumn id="6454" xr3:uid="{29FD2EB5-8A70-4DAC-8E4B-DC6444501780}" name="Column6443"/>
    <tableColumn id="6455" xr3:uid="{F1BD8E99-A38E-4B89-A2B7-998D48DE9FDD}" name="Column6444"/>
    <tableColumn id="6456" xr3:uid="{887C2B3A-9007-41D4-A9F4-BD13BDBF3597}" name="Column6445"/>
    <tableColumn id="6457" xr3:uid="{A8062517-1C6B-48B5-B078-540AA3D467FF}" name="Column6446"/>
    <tableColumn id="6458" xr3:uid="{9661EA65-C0C1-4DB9-85C8-4E8AA2275CCA}" name="Column6447"/>
    <tableColumn id="6459" xr3:uid="{0FD03D67-3D48-4A9C-BB41-DFA2393B839C}" name="Column6448"/>
    <tableColumn id="6460" xr3:uid="{C3736457-BCF8-4EE6-B79C-A898D2C02CA0}" name="Column6449"/>
    <tableColumn id="6461" xr3:uid="{AE443660-8281-4B47-9085-3A3F4BACA1C1}" name="Column6450"/>
    <tableColumn id="6462" xr3:uid="{A1910D34-5E62-4972-A887-010F8B1BF813}" name="Column6451"/>
    <tableColumn id="6463" xr3:uid="{576AE7BC-FA41-4CDD-845F-424F52DABED5}" name="Column6452"/>
    <tableColumn id="6464" xr3:uid="{3546FC82-44DC-4BCD-A300-8CF6FFB38BDC}" name="Column6453"/>
    <tableColumn id="6465" xr3:uid="{3F155677-670E-44D3-9F4F-37DB9CB0BCBD}" name="Column6454"/>
    <tableColumn id="6466" xr3:uid="{C9B49BD8-DA48-4133-ABE6-186423887EA6}" name="Column6455"/>
    <tableColumn id="6467" xr3:uid="{4D46CF58-0480-4003-9DF0-BBB654C89C9A}" name="Column6456"/>
    <tableColumn id="6468" xr3:uid="{A5E2F952-9D85-4CD4-8EF6-5C36967B8B88}" name="Column6457"/>
    <tableColumn id="6469" xr3:uid="{7ACAB14F-1761-472D-B5E0-E978EACA0466}" name="Column6458"/>
    <tableColumn id="6470" xr3:uid="{1D05C07F-1AC4-49FC-AE17-04F2D8F99112}" name="Column6459"/>
    <tableColumn id="6471" xr3:uid="{6E0CD757-44BC-47F1-8FD9-A0D01DD6EA1A}" name="Column6460"/>
    <tableColumn id="6472" xr3:uid="{C6641942-C820-4099-ABAB-651B643700DF}" name="Column6461"/>
    <tableColumn id="6473" xr3:uid="{1A246845-1607-460C-9902-AE575415AAD9}" name="Column6462"/>
    <tableColumn id="6474" xr3:uid="{3B2E4362-7887-4A4E-9A18-8E14765B4C12}" name="Column6463"/>
    <tableColumn id="6475" xr3:uid="{0C56758F-CFF0-4D34-86DD-1FA375AD81CF}" name="Column6464"/>
    <tableColumn id="6476" xr3:uid="{5E7442E9-62B9-4742-94BA-CEF21879EF08}" name="Column6465"/>
    <tableColumn id="6477" xr3:uid="{0E67ABFF-0985-4203-B517-A62DA888C072}" name="Column6466"/>
    <tableColumn id="6478" xr3:uid="{9FFB35D2-109B-4A4D-B542-6251EFAFB265}" name="Column6467"/>
    <tableColumn id="6479" xr3:uid="{2061CFE6-A405-405A-AAD1-021E555A7064}" name="Column6468"/>
    <tableColumn id="6480" xr3:uid="{F5D31121-D3DB-4CD9-95A4-670EB34899BA}" name="Column6469"/>
    <tableColumn id="6481" xr3:uid="{BFB71E33-1C27-4994-9170-59B9D80A646D}" name="Column6470"/>
    <tableColumn id="6482" xr3:uid="{383482C3-E9E2-4812-A149-A81EF8E14B8A}" name="Column6471"/>
    <tableColumn id="6483" xr3:uid="{7FD53FB5-F48A-49CE-9BFE-4FF3BDA149B6}" name="Column6472"/>
    <tableColumn id="6484" xr3:uid="{3E685FA9-99E9-40FB-AA9E-D4D311D82B1F}" name="Column6473"/>
    <tableColumn id="6485" xr3:uid="{C4404D83-3148-48AD-AFDC-E58F88E66EB6}" name="Column6474"/>
    <tableColumn id="6486" xr3:uid="{C79B4F96-B5BC-4EA1-9FCA-FAB536333FEA}" name="Column6475"/>
    <tableColumn id="6487" xr3:uid="{1B3C9186-9A4C-42F0-9CB3-597A63705BA1}" name="Column6476"/>
    <tableColumn id="6488" xr3:uid="{429E2A07-8B3D-43CF-814B-A1836A8C303B}" name="Column6477"/>
    <tableColumn id="6489" xr3:uid="{CD7688DC-C2DA-45E9-9660-BC8084913186}" name="Column6478"/>
    <tableColumn id="6490" xr3:uid="{6CD8168C-28F7-46EC-8039-3C9464D0711A}" name="Column6479"/>
    <tableColumn id="6491" xr3:uid="{5070FB4D-2C62-4974-B1B8-8D1A41E9EE15}" name="Column6480"/>
    <tableColumn id="6492" xr3:uid="{8582D597-5B2A-4326-BF67-A63954CC0EB2}" name="Column6481"/>
    <tableColumn id="6493" xr3:uid="{52C4480A-AAFE-492A-AB5A-124554C23547}" name="Column6482"/>
    <tableColumn id="6494" xr3:uid="{22A5CE8B-0999-4B41-A5F6-60B78FCB5393}" name="Column6483"/>
    <tableColumn id="6495" xr3:uid="{6F62C4EB-120B-405B-8298-1AF5AD06F91C}" name="Column6484"/>
    <tableColumn id="6496" xr3:uid="{58A8937D-BB21-4945-92E7-B1C0C74CF904}" name="Column6485"/>
    <tableColumn id="6497" xr3:uid="{3B30F4BD-14AE-4AEC-88EE-81CA0E2A0EC0}" name="Column6486"/>
    <tableColumn id="6498" xr3:uid="{5E9ACEBD-7B28-47C2-BC69-076F4BE8A799}" name="Column6487"/>
    <tableColumn id="6499" xr3:uid="{20885F4C-BBC1-4989-8C6A-2042A751A9A4}" name="Column6488"/>
    <tableColumn id="6500" xr3:uid="{539B45C3-EC33-4FF2-BB9E-C7D332ADD348}" name="Column6489"/>
    <tableColumn id="6501" xr3:uid="{EB5A356C-9E83-4ECF-BFE7-46EF120209F7}" name="Column6490"/>
    <tableColumn id="6502" xr3:uid="{E8F89EF1-DE43-4D4B-A708-4673AFFFAC62}" name="Column6491"/>
    <tableColumn id="6503" xr3:uid="{984FDE73-80BB-4663-829D-7CA359E3C2BC}" name="Column6492"/>
    <tableColumn id="6504" xr3:uid="{BFB2ECD4-59A2-40D0-BB08-68278A1F368A}" name="Column6493"/>
    <tableColumn id="6505" xr3:uid="{34A3D300-25BB-422D-A62E-CE64640197AA}" name="Column6494"/>
    <tableColumn id="6506" xr3:uid="{626997D3-DA0B-4442-8B87-9A8C7A4E5D4C}" name="Column6495"/>
    <tableColumn id="6507" xr3:uid="{92515A22-68DF-4324-A6A7-DF584B994DBA}" name="Column6496"/>
    <tableColumn id="6508" xr3:uid="{060C8224-66DE-4920-A325-7C308BF87A75}" name="Column6497"/>
    <tableColumn id="6509" xr3:uid="{19A0FBDB-9172-446B-86B6-43F32353D6CA}" name="Column6498"/>
    <tableColumn id="6510" xr3:uid="{00B8A883-FD7F-4382-A7EC-5D2E7E93EC31}" name="Column6499"/>
    <tableColumn id="6511" xr3:uid="{30056672-3CBF-4133-8757-C1948A8FBB20}" name="Column6500"/>
    <tableColumn id="6512" xr3:uid="{E62049D0-C675-45D6-A9BA-88D0B9D2CFB4}" name="Column6501"/>
    <tableColumn id="6513" xr3:uid="{628E20AF-B171-4078-BC55-D22AD9AA05C6}" name="Column6502"/>
    <tableColumn id="6514" xr3:uid="{533FE255-E4BE-4066-BC70-BEE068E1834C}" name="Column6503"/>
    <tableColumn id="6515" xr3:uid="{3AA58FCA-33AA-4777-BFE5-78360ED35AA7}" name="Column6504"/>
    <tableColumn id="6516" xr3:uid="{DBDFE1D0-C50D-4B3D-B460-39A601B901DB}" name="Column6505"/>
    <tableColumn id="6517" xr3:uid="{FCC8B66C-695D-4546-814A-B4E50C7A0351}" name="Column6506"/>
    <tableColumn id="6518" xr3:uid="{D6AF461D-0401-4C7C-BCE8-7C2C56CD6160}" name="Column6507"/>
    <tableColumn id="6519" xr3:uid="{2B6FD020-47B6-4B0F-8E6A-5A8540A727A4}" name="Column6508"/>
    <tableColumn id="6520" xr3:uid="{D1D546C2-8FAE-472E-B8A4-BB313E9EB855}" name="Column6509"/>
    <tableColumn id="6521" xr3:uid="{74708D6F-7CE8-4EEE-B31F-BF76948F5540}" name="Column6510"/>
    <tableColumn id="6522" xr3:uid="{18FD8293-56A5-43A3-A96F-AF700F602FE1}" name="Column6511"/>
    <tableColumn id="6523" xr3:uid="{AF4FC028-FF95-4A5F-95D2-18B6AE9F9D59}" name="Column6512"/>
    <tableColumn id="6524" xr3:uid="{57D9B3C0-20B2-4CD5-A2D1-80B58A872143}" name="Column6513"/>
    <tableColumn id="6525" xr3:uid="{E20C2541-CFAB-4C81-9C87-694D4F07EA13}" name="Column6514"/>
    <tableColumn id="6526" xr3:uid="{A0A7EF1B-2073-4A58-BB2B-CF06EA7B159A}" name="Column6515"/>
    <tableColumn id="6527" xr3:uid="{136E67F9-313C-42F3-9523-379F403653C0}" name="Column6516"/>
    <tableColumn id="6528" xr3:uid="{60A78B58-C538-4817-BF65-D6450C5D80B9}" name="Column6517"/>
    <tableColumn id="6529" xr3:uid="{09B28E5C-E353-48EE-A0E1-AFF1239DAA40}" name="Column6518"/>
    <tableColumn id="6530" xr3:uid="{564A8886-1638-49C3-AA92-823B048BCE07}" name="Column6519"/>
    <tableColumn id="6531" xr3:uid="{305CFB71-B903-4903-A318-115CAA966F38}" name="Column6520"/>
    <tableColumn id="6532" xr3:uid="{99DFDDD6-7066-4E35-AF57-1082D317781D}" name="Column6521"/>
    <tableColumn id="6533" xr3:uid="{CF7B28CF-97F0-444B-99FE-B3D54DBEA650}" name="Column6522"/>
    <tableColumn id="6534" xr3:uid="{99958CE6-6663-4146-86B1-7B5DA87CA167}" name="Column6523"/>
    <tableColumn id="6535" xr3:uid="{922D3200-A94E-4828-8D85-CE5D04727D81}" name="Column6524"/>
    <tableColumn id="6536" xr3:uid="{4B9F082A-CD83-4BB0-A428-78006269BC9D}" name="Column6525"/>
    <tableColumn id="6537" xr3:uid="{5E093F99-E5AA-47DB-8F90-C2C3333FEFF0}" name="Column6526"/>
    <tableColumn id="6538" xr3:uid="{7C839F8C-273F-4E9F-8082-09FBFF38BF27}" name="Column6527"/>
    <tableColumn id="6539" xr3:uid="{EBFFFC8B-7A62-4BA4-8A88-8904EC6AB6EE}" name="Column6528"/>
    <tableColumn id="6540" xr3:uid="{7B9DF067-BEF7-43B4-9850-35533C27BB92}" name="Column6529"/>
    <tableColumn id="6541" xr3:uid="{597A55E2-BFD1-4E3D-8C69-C8726C4AAAEC}" name="Column6530"/>
    <tableColumn id="6542" xr3:uid="{0CFD6369-F887-49C2-A17A-8ADF308F494E}" name="Column6531"/>
    <tableColumn id="6543" xr3:uid="{45EF1AD5-3D34-4A58-8CA7-8A02411710CF}" name="Column6532"/>
    <tableColumn id="6544" xr3:uid="{10AB0CB4-4B0A-4997-A089-9FD75B1D9281}" name="Column6533"/>
    <tableColumn id="6545" xr3:uid="{CC50BDAB-7906-41B9-A11D-7A7398819D90}" name="Column6534"/>
    <tableColumn id="6546" xr3:uid="{9318595C-5823-4C41-8B5F-D47686D4B9EA}" name="Column6535"/>
    <tableColumn id="6547" xr3:uid="{FB9BE90B-E5D7-4CC2-9265-DAD117DF9969}" name="Column6536"/>
    <tableColumn id="6548" xr3:uid="{7FE14545-2F9A-4B30-BB39-52E7D5867966}" name="Column6537"/>
    <tableColumn id="6549" xr3:uid="{BC408509-77D0-4B3D-9B7D-EF5599207956}" name="Column6538"/>
    <tableColumn id="6550" xr3:uid="{32E7BF27-CE86-42DB-A083-CED4FB8364E6}" name="Column6539"/>
    <tableColumn id="6551" xr3:uid="{C0D614EC-2924-483F-B732-5F0DF28C513E}" name="Column6540"/>
    <tableColumn id="6552" xr3:uid="{6F1522A8-FABE-4BA0-B637-8F1E6FDD638C}" name="Column6541"/>
    <tableColumn id="6553" xr3:uid="{99DC798A-1202-4093-8608-9F79C443FAA5}" name="Column6542"/>
    <tableColumn id="6554" xr3:uid="{420DDA27-0C8D-4F05-9624-1B358DDA1369}" name="Column6543"/>
    <tableColumn id="6555" xr3:uid="{3B217BB7-9E41-41D7-A78D-9083DB246B26}" name="Column6544"/>
    <tableColumn id="6556" xr3:uid="{11693588-435F-456E-8A4D-B069167D3386}" name="Column6545"/>
    <tableColumn id="6557" xr3:uid="{72CE3039-B28A-4E25-9DD4-F43C0433FC54}" name="Column6546"/>
    <tableColumn id="6558" xr3:uid="{21D105A1-2497-4EE3-A1D4-ED7C41B2CDEF}" name="Column6547"/>
    <tableColumn id="6559" xr3:uid="{C22FD2D1-B5F0-4BA0-ABF4-558FD7A3A9D2}" name="Column6548"/>
    <tableColumn id="6560" xr3:uid="{94671602-381D-4ECC-A3A7-82C2DC0E9C07}" name="Column6549"/>
    <tableColumn id="6561" xr3:uid="{DB98A087-8A33-48E9-947C-450A1C3309E8}" name="Column6550"/>
    <tableColumn id="6562" xr3:uid="{4D980C05-7D08-4AD0-A7F8-85ED18F62ECC}" name="Column6551"/>
    <tableColumn id="6563" xr3:uid="{FAFF8A5C-45B4-4E69-9AF8-080BE7FCA7F7}" name="Column6552"/>
    <tableColumn id="6564" xr3:uid="{D4A7D780-49D2-45C5-BA26-F0CF1CBAECED}" name="Column6553"/>
    <tableColumn id="6565" xr3:uid="{93AF75C7-3A60-437F-8A02-2EB0F090B84C}" name="Column6554"/>
    <tableColumn id="6566" xr3:uid="{72041F7F-FBFE-49CF-93CB-038DE0510FBB}" name="Column6555"/>
    <tableColumn id="6567" xr3:uid="{884F3880-3FB4-4CE7-A8E6-EAE8ADF637EB}" name="Column6556"/>
    <tableColumn id="6568" xr3:uid="{80877A7D-7430-4BEE-9504-D3C225600259}" name="Column6557"/>
    <tableColumn id="6569" xr3:uid="{4A501766-D326-40EC-8B99-7F4E4FFF4427}" name="Column6558"/>
    <tableColumn id="6570" xr3:uid="{E2941F85-E515-4B46-A072-3AE9E666054B}" name="Column6559"/>
    <tableColumn id="6571" xr3:uid="{CF270472-CB0B-49BB-8B23-F6F274ED2763}" name="Column6560"/>
    <tableColumn id="6572" xr3:uid="{F3163723-8710-43EB-B275-FFEC4122A83E}" name="Column6561"/>
    <tableColumn id="6573" xr3:uid="{56C92935-B4E1-4DA7-9614-29D11A4423ED}" name="Column6562"/>
    <tableColumn id="6574" xr3:uid="{F9BB2729-19F7-46C2-9DAE-BB33C81CC093}" name="Column6563"/>
    <tableColumn id="6575" xr3:uid="{9D5ADE60-D6C1-4C58-AA8E-BB85A4CB29C6}" name="Column6564"/>
    <tableColumn id="6576" xr3:uid="{47AE9FB6-58C5-4912-A4E5-8FA35BE107F2}" name="Column6565"/>
    <tableColumn id="6577" xr3:uid="{429743BC-2BA5-45DE-9D0A-B848E5DDAD23}" name="Column6566"/>
    <tableColumn id="6578" xr3:uid="{6962C5E3-FD43-4447-8EE1-9C81D9A2508B}" name="Column6567"/>
    <tableColumn id="6579" xr3:uid="{2493B3BC-889A-4FB0-B338-63DC0C5A1A6C}" name="Column6568"/>
    <tableColumn id="6580" xr3:uid="{0464010C-C064-4891-9633-67EEAEDEB8A9}" name="Column6569"/>
    <tableColumn id="6581" xr3:uid="{163796C5-7AA6-4342-999A-88E7AAC9DAB2}" name="Column6570"/>
    <tableColumn id="6582" xr3:uid="{313954E9-7517-4DEE-97E9-F033AC9ABBDA}" name="Column6571"/>
    <tableColumn id="6583" xr3:uid="{B7F2FEA8-BD93-43BB-84C1-86FB85FA2330}" name="Column6572"/>
    <tableColumn id="6584" xr3:uid="{84A37871-EF44-428C-ABDA-5754AF4646BB}" name="Column6573"/>
    <tableColumn id="6585" xr3:uid="{37034385-2C14-453E-A3EA-0705B468B8C1}" name="Column6574"/>
    <tableColumn id="6586" xr3:uid="{1D8F0E7F-308D-4CED-982B-BEB8F71B41D4}" name="Column6575"/>
    <tableColumn id="6587" xr3:uid="{B8264E19-3D59-47FF-A70F-6F21C7C5A0D5}" name="Column6576"/>
    <tableColumn id="6588" xr3:uid="{7E1319CB-78BE-4F6E-825E-B300E643A585}" name="Column6577"/>
    <tableColumn id="6589" xr3:uid="{E16F9933-1AFF-4891-805E-B2E532F06632}" name="Column6578"/>
    <tableColumn id="6590" xr3:uid="{F7DA27B3-30B8-4330-8285-F142B0570FDD}" name="Column6579"/>
    <tableColumn id="6591" xr3:uid="{9FD9F4B1-0885-4393-BBF9-434CBDC68714}" name="Column6580"/>
    <tableColumn id="6592" xr3:uid="{DBAE0EF9-E2C4-45FC-988D-605D4D1235CD}" name="Column6581"/>
    <tableColumn id="6593" xr3:uid="{984993EB-96C8-4A53-A439-001637CB9759}" name="Column6582"/>
    <tableColumn id="6594" xr3:uid="{2A6F9062-6012-4B42-B0D0-D8E45879576F}" name="Column6583"/>
    <tableColumn id="6595" xr3:uid="{7592984C-2FC9-4C1C-A8C8-49D0150D77DC}" name="Column6584"/>
    <tableColumn id="6596" xr3:uid="{AF514894-23EE-48EC-8072-BD74E3718CA1}" name="Column6585"/>
    <tableColumn id="6597" xr3:uid="{3CDA8472-33CF-4005-AE39-122CD42D2BC4}" name="Column6586"/>
    <tableColumn id="6598" xr3:uid="{B4FD1C78-3B65-4845-9320-2923343BE269}" name="Column6587"/>
    <tableColumn id="6599" xr3:uid="{06660083-70A2-4CF7-8E45-F2447D50E627}" name="Column6588"/>
    <tableColumn id="6600" xr3:uid="{2643F99E-4C4E-4BD5-8A2F-E36F731C12C2}" name="Column6589"/>
    <tableColumn id="6601" xr3:uid="{6857F60C-724C-4E4D-907B-C32D7F480E14}" name="Column6590"/>
    <tableColumn id="6602" xr3:uid="{3A73DD01-3799-4191-83E8-726F5D71AD40}" name="Column6591"/>
    <tableColumn id="6603" xr3:uid="{573C2BFD-3CD7-4439-9914-3FA93C5798C5}" name="Column6592"/>
    <tableColumn id="6604" xr3:uid="{19EACBF0-835B-4FC4-BE0F-9040580B2C79}" name="Column6593"/>
    <tableColumn id="6605" xr3:uid="{B289877D-72C1-404E-9FD8-B331393D4739}" name="Column6594"/>
    <tableColumn id="6606" xr3:uid="{5EF19ADB-83CF-4DCA-999D-19AA6913A65A}" name="Column6595"/>
    <tableColumn id="6607" xr3:uid="{F241319B-FA89-431F-9405-7856897F011B}" name="Column6596"/>
    <tableColumn id="6608" xr3:uid="{A45F9E4B-4097-4B31-A3C9-FE10ADD29D4E}" name="Column6597"/>
    <tableColumn id="6609" xr3:uid="{463C7081-619B-4271-B9A7-3A76933E48D6}" name="Column6598"/>
    <tableColumn id="6610" xr3:uid="{D4DFEC98-AA93-46CC-A353-B805EDD60532}" name="Column6599"/>
    <tableColumn id="6611" xr3:uid="{6C0A936A-4015-4834-9504-72A4D21EB4E2}" name="Column6600"/>
    <tableColumn id="6612" xr3:uid="{ECF1DE3D-F443-48B6-B7E4-1777B166B062}" name="Column6601"/>
    <tableColumn id="6613" xr3:uid="{ECE437A4-73FB-4B97-84E8-A09908E00781}" name="Column6602"/>
    <tableColumn id="6614" xr3:uid="{7CAD2AAD-D508-43E1-9800-7CABE0E26E8B}" name="Column6603"/>
    <tableColumn id="6615" xr3:uid="{8E78C4E1-66C5-4303-964D-D8C38B3E95A8}" name="Column6604"/>
    <tableColumn id="6616" xr3:uid="{797089A6-4F64-46A5-9246-C2652056A43B}" name="Column6605"/>
    <tableColumn id="6617" xr3:uid="{0544BA7E-7381-48CE-8A6B-5FD6F3E84DCE}" name="Column6606"/>
    <tableColumn id="6618" xr3:uid="{606ED6FE-F7BA-448A-BBB0-9B1F89D46979}" name="Column6607"/>
    <tableColumn id="6619" xr3:uid="{C1D4A7FD-35EB-4BAC-914F-301045C4BCC5}" name="Column6608"/>
    <tableColumn id="6620" xr3:uid="{3DAD88D1-0048-49BF-B927-61A692AACB7F}" name="Column6609"/>
    <tableColumn id="6621" xr3:uid="{8B2E71D1-750A-43FD-80FB-EA8C0EC70029}" name="Column6610"/>
    <tableColumn id="6622" xr3:uid="{641D616A-67FA-494F-9231-0B414BC3611A}" name="Column6611"/>
    <tableColumn id="6623" xr3:uid="{1593B3E3-BEBB-4284-9D5B-227C8FDA039B}" name="Column6612"/>
    <tableColumn id="6624" xr3:uid="{E744072F-9D46-45E7-A852-B638B94D859F}" name="Column6613"/>
    <tableColumn id="6625" xr3:uid="{13E9AF47-C130-4159-9852-4A6C38B3DAD1}" name="Column6614"/>
    <tableColumn id="6626" xr3:uid="{2078271D-C926-4594-9D2D-E7DC4BE0E778}" name="Column6615"/>
    <tableColumn id="6627" xr3:uid="{55C9BABA-175D-4174-ABD6-65A3E84A57ED}" name="Column6616"/>
    <tableColumn id="6628" xr3:uid="{105E7274-665C-48DD-9648-A9ADB4401EB6}" name="Column6617"/>
    <tableColumn id="6629" xr3:uid="{D7B9155A-C325-4C6C-BDF9-52EEC4011AB9}" name="Column6618"/>
    <tableColumn id="6630" xr3:uid="{7E8321E4-9C7B-4F8D-A43E-09BFAB449D44}" name="Column6619"/>
    <tableColumn id="6631" xr3:uid="{8895AE16-2D91-43F5-9AC6-5E257716B0A6}" name="Column6620"/>
    <tableColumn id="6632" xr3:uid="{360DFA9E-99A8-4793-8F5D-135CB65D4E83}" name="Column6621"/>
    <tableColumn id="6633" xr3:uid="{E0CEDA3E-FD26-4711-A543-8DCA7141B81A}" name="Column6622"/>
    <tableColumn id="6634" xr3:uid="{0A244A12-B229-48A9-80EC-8CA9BA93B593}" name="Column6623"/>
    <tableColumn id="6635" xr3:uid="{776FAF16-35F5-4184-A8E9-CAC1A5A7A04E}" name="Column6624"/>
    <tableColumn id="6636" xr3:uid="{F79552CF-9C43-4345-A760-F6776361BA21}" name="Column6625"/>
    <tableColumn id="6637" xr3:uid="{54CB434A-6197-4C37-88E0-4F2266F611B2}" name="Column6626"/>
    <tableColumn id="6638" xr3:uid="{D3D0241C-E6E0-43DD-BF00-AF83CC9843C3}" name="Column6627"/>
    <tableColumn id="6639" xr3:uid="{04D69B5B-4C80-41E5-9222-4EAFE46B139E}" name="Column6628"/>
    <tableColumn id="6640" xr3:uid="{195B934D-45EE-449B-945E-BC4A7FCEEABC}" name="Column6629"/>
    <tableColumn id="6641" xr3:uid="{0A28D2E5-1FFD-4EAE-B63A-F9221DAC69EA}" name="Column6630"/>
    <tableColumn id="6642" xr3:uid="{E2D9C6B9-1799-429D-80A6-3FF01F893E5D}" name="Column6631"/>
    <tableColumn id="6643" xr3:uid="{C16EE59B-FF06-435A-83E4-E9BA38102480}" name="Column6632"/>
    <tableColumn id="6644" xr3:uid="{BB6821BF-1795-4909-AEFB-4D3E3A9C04B7}" name="Column6633"/>
    <tableColumn id="6645" xr3:uid="{A7E376A7-2A79-477F-8756-F9894E5051C7}" name="Column6634"/>
    <tableColumn id="6646" xr3:uid="{483126F0-59A9-4699-B338-7C31DBDA85D2}" name="Column6635"/>
    <tableColumn id="6647" xr3:uid="{1984EA68-0F8E-42DB-9FDC-618115FCF998}" name="Column6636"/>
    <tableColumn id="6648" xr3:uid="{4148E280-4849-4EED-8328-65C696B2CE00}" name="Column6637"/>
    <tableColumn id="6649" xr3:uid="{118F2855-EB18-42E3-AFFA-7D7C960A1268}" name="Column6638"/>
    <tableColumn id="6650" xr3:uid="{779471BC-D850-4374-872F-C9E4821BBE91}" name="Column6639"/>
    <tableColumn id="6651" xr3:uid="{24AB8F25-A44E-4BC6-BC56-8613A631D1C0}" name="Column6640"/>
    <tableColumn id="6652" xr3:uid="{CAC0F450-02C0-4A70-8E4A-B1129A9A53B9}" name="Column6641"/>
    <tableColumn id="6653" xr3:uid="{F1E99008-6B7A-4D25-B5E7-803052BDFB25}" name="Column6642"/>
    <tableColumn id="6654" xr3:uid="{F420BF20-DA6B-48E3-98C2-3741B1BE802A}" name="Column6643"/>
    <tableColumn id="6655" xr3:uid="{AA088E8C-ACDA-45C4-8AE0-5830101219DC}" name="Column6644"/>
    <tableColumn id="6656" xr3:uid="{D31D2624-F05A-413F-8035-0FD8763FC9E5}" name="Column6645"/>
    <tableColumn id="6657" xr3:uid="{B36B9DE6-478C-443A-94C2-E828FD362405}" name="Column6646"/>
    <tableColumn id="6658" xr3:uid="{2ECD0A9D-FA24-4759-B047-8247CACB355D}" name="Column6647"/>
    <tableColumn id="6659" xr3:uid="{0AFA7A09-E7AC-4B26-B93B-EA533D5116AF}" name="Column6648"/>
    <tableColumn id="6660" xr3:uid="{A72D274B-BCCD-46BA-B9D4-29E146DBB73A}" name="Column6649"/>
    <tableColumn id="6661" xr3:uid="{30720BC2-67EA-40DB-85C7-82A1ECD16D27}" name="Column6650"/>
    <tableColumn id="6662" xr3:uid="{24B37A6D-2590-4BE7-AF80-0102B0BAEF56}" name="Column6651"/>
    <tableColumn id="6663" xr3:uid="{89B5A47B-C8F9-4B79-B494-EC3A8DD1EDB8}" name="Column6652"/>
    <tableColumn id="6664" xr3:uid="{CFD233D4-FB8F-49A6-8213-FBCCF593916E}" name="Column6653"/>
    <tableColumn id="6665" xr3:uid="{3BAEF10C-697B-4122-A033-90CE16E7974A}" name="Column6654"/>
    <tableColumn id="6666" xr3:uid="{48B75924-46C4-4B24-BAB4-1B5174259E45}" name="Column6655"/>
    <tableColumn id="6667" xr3:uid="{249E24EE-1F75-4AA5-96BA-D996C3E1CAD9}" name="Column6656"/>
    <tableColumn id="6668" xr3:uid="{24A93131-ACEF-4BBC-BABF-E52B3D74072A}" name="Column6657"/>
    <tableColumn id="6669" xr3:uid="{96E86A9C-24C3-4C81-A4C2-14C33F477460}" name="Column6658"/>
    <tableColumn id="6670" xr3:uid="{2AC42DE4-F100-4198-918E-681245436920}" name="Column6659"/>
    <tableColumn id="6671" xr3:uid="{4614660D-98EC-4A8D-8E26-0AF49B975728}" name="Column6660"/>
    <tableColumn id="6672" xr3:uid="{774B5C1C-025E-4D27-AF8B-E1BBA60B7CEB}" name="Column6661"/>
    <tableColumn id="6673" xr3:uid="{E582F386-31D8-4E35-8DD7-5AF4C70A4CC6}" name="Column6662"/>
    <tableColumn id="6674" xr3:uid="{CB11FC1D-71BD-4477-9965-012091517B09}" name="Column6663"/>
    <tableColumn id="6675" xr3:uid="{47416CF7-2345-45AF-995A-E416EF861A56}" name="Column6664"/>
    <tableColumn id="6676" xr3:uid="{A026EB5F-83A8-417F-975D-E7EAEEC203C7}" name="Column6665"/>
    <tableColumn id="6677" xr3:uid="{F5C2E881-78D5-40DA-BDDE-FD77A4491187}" name="Column6666"/>
    <tableColumn id="6678" xr3:uid="{83D78413-EFCE-452C-9D0D-D368FCF97587}" name="Column6667"/>
    <tableColumn id="6679" xr3:uid="{7FEBB106-537E-4FBD-88EA-E65EF73117A9}" name="Column6668"/>
    <tableColumn id="6680" xr3:uid="{7C1207F8-D333-49F3-A85C-C8B030E23262}" name="Column6669"/>
    <tableColumn id="6681" xr3:uid="{8624D615-9C4E-4878-BDED-72235438955F}" name="Column6670"/>
    <tableColumn id="6682" xr3:uid="{44486676-624E-43B0-91A7-F56044DE656B}" name="Column6671"/>
    <tableColumn id="6683" xr3:uid="{0CFA66B7-50D9-47CB-9FC2-0FD9402D3A85}" name="Column6672"/>
    <tableColumn id="6684" xr3:uid="{8DD3CC58-31D3-43D4-A270-A6F8A219501A}" name="Column6673"/>
    <tableColumn id="6685" xr3:uid="{70048A9B-49CE-435C-9D8C-BA892051FC2F}" name="Column6674"/>
    <tableColumn id="6686" xr3:uid="{E392861E-CB1A-4C70-8D23-A441F5FD4405}" name="Column6675"/>
    <tableColumn id="6687" xr3:uid="{2B8562E2-B9A4-45EA-B4F2-6AEFD68FC273}" name="Column6676"/>
    <tableColumn id="6688" xr3:uid="{488366AE-D7C1-4F1E-9650-95066670236B}" name="Column6677"/>
    <tableColumn id="6689" xr3:uid="{8FF6C583-AF56-4182-AFEB-2BB61401DCDE}" name="Column6678"/>
    <tableColumn id="6690" xr3:uid="{383BFE06-0F5A-4FB0-865F-77646C1FE663}" name="Column6679"/>
    <tableColumn id="6691" xr3:uid="{98EEACEC-9011-4988-8B04-D888D5BDCFAD}" name="Column6680"/>
    <tableColumn id="6692" xr3:uid="{6863EFEE-01BB-4201-80D0-9244947F1461}" name="Column6681"/>
    <tableColumn id="6693" xr3:uid="{9E738C73-687D-48BC-973F-BE016A9B0D44}" name="Column6682"/>
    <tableColumn id="6694" xr3:uid="{FCB1BB23-FBA2-4047-B23D-701FB7249E5C}" name="Column6683"/>
    <tableColumn id="6695" xr3:uid="{0D21D198-EA96-4B55-A408-CFB4CAC9BB11}" name="Column6684"/>
    <tableColumn id="6696" xr3:uid="{20E289F4-AB8E-494E-8916-0388A6802C2C}" name="Column6685"/>
    <tableColumn id="6697" xr3:uid="{501121B4-F89B-4CAC-AE95-FA17BC8F27F9}" name="Column6686"/>
    <tableColumn id="6698" xr3:uid="{62D83C01-0364-4732-8828-9DF1F840FA8C}" name="Column6687"/>
    <tableColumn id="6699" xr3:uid="{EA6EEF2F-4363-471E-A7CF-7720CBB74338}" name="Column6688"/>
    <tableColumn id="6700" xr3:uid="{549D05A3-EB57-4CA0-9622-15B66E03EA96}" name="Column6689"/>
    <tableColumn id="6701" xr3:uid="{051284C1-E1B5-48CC-80C2-0C17C4A7599A}" name="Column6690"/>
    <tableColumn id="6702" xr3:uid="{D5D581CB-BB64-4FC7-8F79-C43DCB3B89BC}" name="Column6691"/>
    <tableColumn id="6703" xr3:uid="{5DE81E2C-AD90-4770-9DE2-33EB98C42912}" name="Column6692"/>
    <tableColumn id="6704" xr3:uid="{DD66A7F4-A7A2-4625-A11F-5DAB9F1D5C61}" name="Column6693"/>
    <tableColumn id="6705" xr3:uid="{F3E81D93-6632-4B07-807F-2EC6FE53F747}" name="Column6694"/>
    <tableColumn id="6706" xr3:uid="{96C92A4D-7249-4753-A5EF-C1967BD884C5}" name="Column6695"/>
    <tableColumn id="6707" xr3:uid="{91E60702-0F6B-483B-90B6-5BE0358C7A3A}" name="Column6696"/>
    <tableColumn id="6708" xr3:uid="{CE6E4B61-C473-4B87-A395-52CE61D8D12F}" name="Column6697"/>
    <tableColumn id="6709" xr3:uid="{B910A9DC-DE0E-41BB-A485-BB51C2A11779}" name="Column6698"/>
    <tableColumn id="6710" xr3:uid="{B7FB76D6-36CD-44E9-80BB-D882A34D4836}" name="Column6699"/>
    <tableColumn id="6711" xr3:uid="{AFD90D30-7771-4361-94BC-0CA92BDB769B}" name="Column6700"/>
    <tableColumn id="6712" xr3:uid="{1902F5B0-D7DF-4C6D-A55A-C8F494C539D8}" name="Column6701"/>
    <tableColumn id="6713" xr3:uid="{8E6AB5FA-F4D0-4A79-BFA2-9DFF2EDE535C}" name="Column6702"/>
    <tableColumn id="6714" xr3:uid="{9533F258-D048-40BF-9ADC-7BEBAEEC0C7F}" name="Column6703"/>
    <tableColumn id="6715" xr3:uid="{D8A0D0AF-4860-48D4-A494-D49B15279F9A}" name="Column6704"/>
    <tableColumn id="6716" xr3:uid="{F047F9FF-7465-40C4-8EE6-1E1EA804FE71}" name="Column6705"/>
    <tableColumn id="6717" xr3:uid="{05E80811-086F-4BD1-90B3-AA0A00873A6C}" name="Column6706"/>
    <tableColumn id="6718" xr3:uid="{88C1A469-248B-47F6-A037-2BC9C90E0C95}" name="Column6707"/>
    <tableColumn id="6719" xr3:uid="{CC25C149-0BCC-42C5-83BC-47B1248BD5B6}" name="Column6708"/>
    <tableColumn id="6720" xr3:uid="{CD3CD5F4-980B-44C9-82D2-9F668602D3D1}" name="Column6709"/>
    <tableColumn id="6721" xr3:uid="{5F42013C-879B-4B65-A922-BBFB9AD2A575}" name="Column6710"/>
    <tableColumn id="6722" xr3:uid="{0662E522-DB32-4715-BB46-E41C4DC01B83}" name="Column6711"/>
    <tableColumn id="6723" xr3:uid="{C982018B-6E79-4DB3-A656-FE32B84798B6}" name="Column6712"/>
    <tableColumn id="6724" xr3:uid="{535D9B9B-37BD-4CB6-AE7D-8C370419E3CC}" name="Column6713"/>
    <tableColumn id="6725" xr3:uid="{9CABE368-C8F9-4060-B172-DE0A2BB19DE0}" name="Column6714"/>
    <tableColumn id="6726" xr3:uid="{BF2C3675-D46B-4142-968A-061DF0DC3B54}" name="Column6715"/>
    <tableColumn id="6727" xr3:uid="{45A3A09D-D555-4024-9DF0-C6000D72735D}" name="Column6716"/>
    <tableColumn id="6728" xr3:uid="{B5E23C64-65CA-415C-BA64-6BDA664FA367}" name="Column6717"/>
    <tableColumn id="6729" xr3:uid="{95EE90B2-FC98-44C0-AF02-E7307BB35E13}" name="Column6718"/>
    <tableColumn id="6730" xr3:uid="{2DC42BF9-68AA-41FB-9646-24C446F5C3D5}" name="Column6719"/>
    <tableColumn id="6731" xr3:uid="{1A8CB168-F6CF-4CC3-93DB-8F6FD965F24F}" name="Column6720"/>
    <tableColumn id="6732" xr3:uid="{604A2E86-C4F7-426C-B0C5-C9D007C8B084}" name="Column6721"/>
    <tableColumn id="6733" xr3:uid="{1436D39A-04BD-48FF-9A43-92D6F476370D}" name="Column6722"/>
    <tableColumn id="6734" xr3:uid="{45F2C2CE-401D-4609-BCCD-8BF2C878C3D6}" name="Column6723"/>
    <tableColumn id="6735" xr3:uid="{CE71FF46-15EA-4161-82AC-F0A8160C1613}" name="Column6724"/>
    <tableColumn id="6736" xr3:uid="{C6806084-3A16-4966-BA44-51BE5968A4EE}" name="Column6725"/>
    <tableColumn id="6737" xr3:uid="{4FEB7F30-2418-4FB6-9707-26217186C89E}" name="Column6726"/>
    <tableColumn id="6738" xr3:uid="{ED929E0F-B667-4788-9AFF-EF9131DBF865}" name="Column6727"/>
    <tableColumn id="6739" xr3:uid="{8369830F-EE08-4D20-9090-F27CAE4985DD}" name="Column6728"/>
    <tableColumn id="6740" xr3:uid="{2075DC65-8092-437D-A82B-BA4E7B824797}" name="Column6729"/>
    <tableColumn id="6741" xr3:uid="{8E9FADF2-4BA3-4463-BFD6-BDABD07C6319}" name="Column6730"/>
    <tableColumn id="6742" xr3:uid="{EBBC48BA-51CB-49F4-9906-91D4139D7377}" name="Column6731"/>
    <tableColumn id="6743" xr3:uid="{428ABC0D-DE9D-4089-881F-E43275D2B51B}" name="Column6732"/>
    <tableColumn id="6744" xr3:uid="{807EA3D8-79FF-4687-9CA5-55073EF9B2E6}" name="Column6733"/>
    <tableColumn id="6745" xr3:uid="{9C273601-A08C-4E8E-ACE1-DA4FA84C206C}" name="Column6734"/>
    <tableColumn id="6746" xr3:uid="{E901BC78-359F-4687-B6E4-283B7359081E}" name="Column6735"/>
    <tableColumn id="6747" xr3:uid="{38C0DD42-7367-4B7E-A32A-7A10734855D8}" name="Column6736"/>
    <tableColumn id="6748" xr3:uid="{6005BAC5-C0B6-4AAD-9819-E8AF31EBEE53}" name="Column6737"/>
    <tableColumn id="6749" xr3:uid="{D6776D8C-6B98-4F5C-A980-9CEB3C3CD8A5}" name="Column6738"/>
    <tableColumn id="6750" xr3:uid="{A1831F15-1590-4451-B9FF-74808F27E524}" name="Column6739"/>
    <tableColumn id="6751" xr3:uid="{2EB07031-F31A-4FBC-91F3-E553FB04E82B}" name="Column6740"/>
    <tableColumn id="6752" xr3:uid="{B83A9096-3A01-460E-BA18-93D2D6A9C320}" name="Column6741"/>
    <tableColumn id="6753" xr3:uid="{8AFD9A04-BF06-4CCA-992B-7D6348ADDF79}" name="Column6742"/>
    <tableColumn id="6754" xr3:uid="{6B6E73B4-A8BD-41F8-B816-C0EE8F46C68F}" name="Column6743"/>
    <tableColumn id="6755" xr3:uid="{5A0DB961-DB94-4CD0-9313-10A6F87358A0}" name="Column6744"/>
    <tableColumn id="6756" xr3:uid="{DCEA29F8-177D-419B-9EDF-43896DD92FB4}" name="Column6745"/>
    <tableColumn id="6757" xr3:uid="{90B7DEA1-B10E-4115-BC4A-9341337DE255}" name="Column6746"/>
    <tableColumn id="6758" xr3:uid="{A34CAF71-EC71-4B1A-AD43-EDB07C2878CE}" name="Column6747"/>
    <tableColumn id="6759" xr3:uid="{414E532E-56AA-4BBE-8060-ABEB2D7586C8}" name="Column6748"/>
    <tableColumn id="6760" xr3:uid="{5BF84E66-EDD7-4818-B1B1-6ED4EB37EE60}" name="Column6749"/>
    <tableColumn id="6761" xr3:uid="{E4CE9E74-EA21-4847-AA94-4D21EA10CB1D}" name="Column6750"/>
    <tableColumn id="6762" xr3:uid="{3CBC15A4-48DE-4325-9727-18B51D9B58B6}" name="Column6751"/>
    <tableColumn id="6763" xr3:uid="{EFDF39DD-F1EE-474C-BAA8-62BA3F9581CD}" name="Column6752"/>
    <tableColumn id="6764" xr3:uid="{C55CCD37-11ED-4A69-9E55-1A080A2F20DE}" name="Column6753"/>
    <tableColumn id="6765" xr3:uid="{631AB45B-C838-42CC-8E29-F37652544B3F}" name="Column6754"/>
    <tableColumn id="6766" xr3:uid="{AD3F09B6-705D-4DA0-8C3E-3A87876329E3}" name="Column6755"/>
    <tableColumn id="6767" xr3:uid="{B42F8AA5-21EA-45FA-B208-E4E193AEF19A}" name="Column6756"/>
    <tableColumn id="6768" xr3:uid="{16E7A96B-7270-4033-A2E7-DBA9A640E080}" name="Column6757"/>
    <tableColumn id="6769" xr3:uid="{AC5E758F-955F-4604-8763-F7F4844E9160}" name="Column6758"/>
    <tableColumn id="6770" xr3:uid="{2AE4E2AC-F398-43C2-9064-FDD163DF0381}" name="Column6759"/>
    <tableColumn id="6771" xr3:uid="{3EBDADA5-3BC4-4098-8359-F039321D8CDA}" name="Column6760"/>
    <tableColumn id="6772" xr3:uid="{0E3E7A3B-652F-4969-9152-E5001CAB4925}" name="Column6761"/>
    <tableColumn id="6773" xr3:uid="{45996AC0-2E02-4C75-A713-C0DC509914E6}" name="Column6762"/>
    <tableColumn id="6774" xr3:uid="{BDAC2757-1C22-423D-8D9C-47B431552D9A}" name="Column6763"/>
    <tableColumn id="6775" xr3:uid="{6718AEE5-6CDF-45FF-ABB3-E448DF052350}" name="Column6764"/>
    <tableColumn id="6776" xr3:uid="{EAD02E29-E0A8-4645-945E-4C30AB7714BC}" name="Column6765"/>
    <tableColumn id="6777" xr3:uid="{0B377FB7-6D42-4B5C-B273-E5354D385757}" name="Column6766"/>
    <tableColumn id="6778" xr3:uid="{325803C7-F28E-4D5B-B081-282DB6DFDAFD}" name="Column6767"/>
    <tableColumn id="6779" xr3:uid="{4E7501F6-242C-40EF-8062-34A59E33C209}" name="Column6768"/>
    <tableColumn id="6780" xr3:uid="{C4A610F2-7406-4BD1-A05F-E3665E5E1715}" name="Column6769"/>
    <tableColumn id="6781" xr3:uid="{69657095-B03A-41AB-8668-565630179B9C}" name="Column6770"/>
    <tableColumn id="6782" xr3:uid="{06A1B648-BFF0-4B41-AAA3-AEB0D77AF477}" name="Column6771"/>
    <tableColumn id="6783" xr3:uid="{B42E36D1-3276-4ECF-81E4-AB44E3CBFD6C}" name="Column6772"/>
    <tableColumn id="6784" xr3:uid="{D6030A58-A5F8-40D6-ACF8-6F2DBC0B8B95}" name="Column6773"/>
    <tableColumn id="6785" xr3:uid="{8C97ED35-F973-4B77-93BC-615CA18FD08F}" name="Column6774"/>
    <tableColumn id="6786" xr3:uid="{A2D090FB-D72F-4C60-A2EF-20F8368A2CF6}" name="Column6775"/>
    <tableColumn id="6787" xr3:uid="{23314AED-C502-4B8A-8034-C39F880D9304}" name="Column6776"/>
    <tableColumn id="6788" xr3:uid="{727A2041-2554-4194-B6F8-FA9C16CBE87A}" name="Column6777"/>
    <tableColumn id="6789" xr3:uid="{35565828-D02B-41F6-8276-66B7B7BE5959}" name="Column6778"/>
    <tableColumn id="6790" xr3:uid="{45BDEDC3-0959-4E66-8F2B-FC1B10F5ED2A}" name="Column6779"/>
    <tableColumn id="6791" xr3:uid="{E660DFA2-1871-49A7-910F-EA6170488112}" name="Column6780"/>
    <tableColumn id="6792" xr3:uid="{9C1021A9-1AFA-48AA-A173-A3F0C7B61290}" name="Column6781"/>
    <tableColumn id="6793" xr3:uid="{A006F411-4371-4197-A8D7-530C8A56B05A}" name="Column6782"/>
    <tableColumn id="6794" xr3:uid="{D4B383B9-7E61-45EE-81E5-36A7149A9BDE}" name="Column6783"/>
    <tableColumn id="6795" xr3:uid="{A7D95B8F-91B0-40D2-918B-97D8EAAE3BD9}" name="Column6784"/>
    <tableColumn id="6796" xr3:uid="{0D8F9C89-464F-4D0C-ADD9-4EC81F5B6039}" name="Column6785"/>
    <tableColumn id="6797" xr3:uid="{8C31D68D-AAA9-4AD1-A714-769BA8CB47C6}" name="Column6786"/>
    <tableColumn id="6798" xr3:uid="{87600C76-6972-4988-8502-4D6543D71C38}" name="Column6787"/>
    <tableColumn id="6799" xr3:uid="{05E35B92-7D6B-4624-B9A9-5B2243AE66DF}" name="Column6788"/>
    <tableColumn id="6800" xr3:uid="{5C258FC7-B102-4F03-8183-05B0E174BD2D}" name="Column6789"/>
    <tableColumn id="6801" xr3:uid="{FBDA8536-333F-43D2-A1E2-A185890D2191}" name="Column6790"/>
    <tableColumn id="6802" xr3:uid="{F52A7F09-14F6-4799-B002-832835F37BFF}" name="Column6791"/>
    <tableColumn id="6803" xr3:uid="{576AE9EF-2A32-4F87-8481-C89C3B699F25}" name="Column6792"/>
    <tableColumn id="6804" xr3:uid="{5CD71210-E901-4E58-B565-2E7DB614CE9E}" name="Column6793"/>
    <tableColumn id="6805" xr3:uid="{43CEDA17-5F83-49AA-99A7-80313F2E86FF}" name="Column6794"/>
    <tableColumn id="6806" xr3:uid="{5E044EAB-598D-4A25-99B6-EF536665770E}" name="Column6795"/>
    <tableColumn id="6807" xr3:uid="{BE4C82E5-D076-4ABE-AFAC-3BF08F5D7E80}" name="Column6796"/>
    <tableColumn id="6808" xr3:uid="{7D8FF8D0-1CF1-4957-A68B-C38789D85D8C}" name="Column6797"/>
    <tableColumn id="6809" xr3:uid="{59F654B7-EA40-4650-9609-17F271766886}" name="Column6798"/>
    <tableColumn id="6810" xr3:uid="{1BC8F7EB-8EAE-4163-9F84-8F0C61F7A8FC}" name="Column6799"/>
    <tableColumn id="6811" xr3:uid="{2970F0C2-F74F-4DDF-93F6-A713373E55E4}" name="Column6800"/>
    <tableColumn id="6812" xr3:uid="{823E2422-DEE3-40BE-8575-888856959616}" name="Column6801"/>
    <tableColumn id="6813" xr3:uid="{4EC0C6BB-97AF-47AE-909E-3964E046A5A5}" name="Column6802"/>
    <tableColumn id="6814" xr3:uid="{3567ACDC-3992-4263-A372-C54EA9536F08}" name="Column6803"/>
    <tableColumn id="6815" xr3:uid="{3B385C10-EE51-409C-9E92-CBC004284C1F}" name="Column6804"/>
    <tableColumn id="6816" xr3:uid="{B0F1A45F-B82A-4A9F-95B1-0ACAF0B1280D}" name="Column6805"/>
    <tableColumn id="6817" xr3:uid="{E9071184-13BE-4F79-A9D0-D5FED9DAE65C}" name="Column6806"/>
    <tableColumn id="6818" xr3:uid="{CE9F9D3B-6D07-405F-AEC9-42E28F6180C6}" name="Column6807"/>
    <tableColumn id="6819" xr3:uid="{2490DA7E-F043-49E3-B68F-33B4624B2841}" name="Column6808"/>
    <tableColumn id="6820" xr3:uid="{7A4AE182-AA8B-4E2C-BA1E-49C15038F649}" name="Column6809"/>
    <tableColumn id="6821" xr3:uid="{F2A41254-B16D-49B7-844C-DC65DA046E70}" name="Column6810"/>
    <tableColumn id="6822" xr3:uid="{85266646-7D9E-4E16-AB62-F929638E65DB}" name="Column6811"/>
    <tableColumn id="6823" xr3:uid="{2D6F80CF-3BE4-4C4E-93D4-25332E84975F}" name="Column6812"/>
    <tableColumn id="6824" xr3:uid="{C09E0836-F135-45E8-84E6-3028FBF99098}" name="Column6813"/>
    <tableColumn id="6825" xr3:uid="{D81E196E-29A0-490D-B2C5-7F462D9FE174}" name="Column6814"/>
    <tableColumn id="6826" xr3:uid="{D879C7C9-3CD9-412A-921F-7FC1061C1A3C}" name="Column6815"/>
    <tableColumn id="6827" xr3:uid="{38A95BD0-21CC-49CE-90C8-54F78C3974E0}" name="Column6816"/>
    <tableColumn id="6828" xr3:uid="{4A5E1266-9A2C-453C-BA2A-8D4EE2FCBB61}" name="Column6817"/>
    <tableColumn id="6829" xr3:uid="{D2E0BA24-92A3-452A-B968-83320D6AA2F9}" name="Column6818"/>
    <tableColumn id="6830" xr3:uid="{1F78ECB2-1196-4700-BE37-EAEA35AA21DC}" name="Column6819"/>
    <tableColumn id="6831" xr3:uid="{AC6E44F4-247E-4826-8CD7-0945B1B4C285}" name="Column6820"/>
    <tableColumn id="6832" xr3:uid="{349B64FC-9BDD-43B0-A353-D43127FF3907}" name="Column6821"/>
    <tableColumn id="6833" xr3:uid="{906BBCCC-39D5-4A96-93F5-FDD1DC96439E}" name="Column6822"/>
    <tableColumn id="6834" xr3:uid="{4A782B58-EAF7-49DD-8C3D-5DE6399E48A3}" name="Column6823"/>
    <tableColumn id="6835" xr3:uid="{E1CA3268-1451-4177-B9BE-335F56A84314}" name="Column6824"/>
    <tableColumn id="6836" xr3:uid="{79D0CCCB-EB29-446C-890A-46EBA77B59B3}" name="Column6825"/>
    <tableColumn id="6837" xr3:uid="{5B61AB73-1F1A-4DD9-9769-601D17BC9807}" name="Column6826"/>
    <tableColumn id="6838" xr3:uid="{101B3D38-5F29-40E1-84F5-FDCB4E74C20E}" name="Column6827"/>
    <tableColumn id="6839" xr3:uid="{B0F61DD0-9226-4B11-A9A0-AC5D902174B5}" name="Column6828"/>
    <tableColumn id="6840" xr3:uid="{6B87215E-786F-48A2-AE40-D2FC9D75648B}" name="Column6829"/>
    <tableColumn id="6841" xr3:uid="{3092B4FE-D823-400C-837D-3BD515F7BA45}" name="Column6830"/>
    <tableColumn id="6842" xr3:uid="{F3DB5391-8938-427C-BDB2-1612079BCEB5}" name="Column6831"/>
    <tableColumn id="6843" xr3:uid="{23011A3B-DE66-415A-9863-0C7C70263C40}" name="Column6832"/>
    <tableColumn id="6844" xr3:uid="{7E60FCFF-3899-48CA-801E-29FDC0F6ACE4}" name="Column6833"/>
    <tableColumn id="6845" xr3:uid="{BABDC925-BAD4-416F-941B-6E4415A37A58}" name="Column6834"/>
    <tableColumn id="6846" xr3:uid="{F25E6007-A06F-4F04-BCBF-647D6F700F40}" name="Column6835"/>
    <tableColumn id="6847" xr3:uid="{BCF3F56D-2B5D-4007-A28E-12E237447766}" name="Column6836"/>
    <tableColumn id="6848" xr3:uid="{E1E54B51-E9A9-4705-A914-39C35EDD1235}" name="Column6837"/>
    <tableColumn id="6849" xr3:uid="{6D1AC551-537C-4057-9663-017858953620}" name="Column6838"/>
    <tableColumn id="6850" xr3:uid="{53EE760D-BE18-484B-9F3D-C3FA6D5CAE15}" name="Column6839"/>
    <tableColumn id="6851" xr3:uid="{A29C3D10-C004-42CB-ABE8-4E1FB50FF2A0}" name="Column6840"/>
    <tableColumn id="6852" xr3:uid="{A82A3352-A409-4DA6-97CF-19F7D45BB994}" name="Column6841"/>
    <tableColumn id="6853" xr3:uid="{140D2A92-D086-4B95-8039-487C410FCDF2}" name="Column6842"/>
    <tableColumn id="6854" xr3:uid="{0C6877A6-E7EE-46CE-B847-8EEB67A5B353}" name="Column6843"/>
    <tableColumn id="6855" xr3:uid="{CC98089C-6F83-4AA9-9E1F-696531D82620}" name="Column6844"/>
    <tableColumn id="6856" xr3:uid="{A309A859-2EEE-4A3C-9F5D-0C966668FD45}" name="Column6845"/>
    <tableColumn id="6857" xr3:uid="{077DA1FE-0080-47DE-914A-259C040B3821}" name="Column6846"/>
    <tableColumn id="6858" xr3:uid="{5E493EF3-D14F-4E98-B7F1-CC78EBC29EAD}" name="Column6847"/>
    <tableColumn id="6859" xr3:uid="{C76F041E-159F-41FA-A9B1-D70BE2B35471}" name="Column6848"/>
    <tableColumn id="6860" xr3:uid="{4C263806-C897-4A32-BF36-16D34493717B}" name="Column6849"/>
    <tableColumn id="6861" xr3:uid="{F86C3D89-8E28-4999-944F-DB7A8D728E7E}" name="Column6850"/>
    <tableColumn id="6862" xr3:uid="{37E78D2C-1FCB-47A9-B4A4-63712E6B79C8}" name="Column6851"/>
    <tableColumn id="6863" xr3:uid="{38E74410-A6F0-4F12-AF72-0F7F51B4999D}" name="Column6852"/>
    <tableColumn id="6864" xr3:uid="{0FD2E772-8241-4788-AE82-5D655E8C9EB1}" name="Column6853"/>
    <tableColumn id="6865" xr3:uid="{528619BB-DB8F-485B-936D-D81B665ED3DD}" name="Column6854"/>
    <tableColumn id="6866" xr3:uid="{10064ACD-65FB-4D6D-BFCA-7FFF1F374A1A}" name="Column6855"/>
    <tableColumn id="6867" xr3:uid="{0E99C200-30F0-40EF-9C96-926D0AD91EC4}" name="Column6856"/>
    <tableColumn id="6868" xr3:uid="{B2C4A50A-AA29-408D-B2C9-3BB278535CD5}" name="Column6857"/>
    <tableColumn id="6869" xr3:uid="{EB828A8F-7132-4C9F-9203-E3CCB8756EB8}" name="Column6858"/>
    <tableColumn id="6870" xr3:uid="{3E5C1644-E75C-4A00-84DB-CCDEF6340A52}" name="Column6859"/>
    <tableColumn id="6871" xr3:uid="{9A906327-0C66-4F46-81A9-AB84C8CF1AB7}" name="Column6860"/>
    <tableColumn id="6872" xr3:uid="{060946E1-595F-4D24-84B5-919A3D7024DC}" name="Column6861"/>
    <tableColumn id="6873" xr3:uid="{A00EBCEB-1208-49A5-9FBB-65830B41EE9B}" name="Column6862"/>
    <tableColumn id="6874" xr3:uid="{3A6DAE09-B95B-4751-9730-7BE9F5463992}" name="Column6863"/>
    <tableColumn id="6875" xr3:uid="{869BDFEC-E5B7-4B6F-8586-667EDDC3DA14}" name="Column6864"/>
    <tableColumn id="6876" xr3:uid="{90194857-52CA-4CE6-BF19-F964067FC86B}" name="Column6865"/>
    <tableColumn id="6877" xr3:uid="{41A31AE9-055D-43E0-9D62-CB23804743C2}" name="Column6866"/>
    <tableColumn id="6878" xr3:uid="{B37C4EDE-842D-4FEA-8BCD-9567D3A36168}" name="Column6867"/>
    <tableColumn id="6879" xr3:uid="{76425D59-B74C-4F05-ADAF-5FABE759FB8F}" name="Column6868"/>
    <tableColumn id="6880" xr3:uid="{94EC6A2E-C02D-425B-B925-F4E724BFCB4E}" name="Column6869"/>
    <tableColumn id="6881" xr3:uid="{65365563-3032-46C2-819C-36EB68565D3C}" name="Column6870"/>
    <tableColumn id="6882" xr3:uid="{37322058-0A77-44B4-8CD3-C1482E5FA302}" name="Column6871"/>
    <tableColumn id="6883" xr3:uid="{5901ECF5-1339-444D-95AD-D57898BC3CAE}" name="Column6872"/>
    <tableColumn id="6884" xr3:uid="{368F202A-F708-46B1-B4BF-69AEE419615B}" name="Column6873"/>
    <tableColumn id="6885" xr3:uid="{B18E69CC-6055-422E-B6C5-36209F6E6485}" name="Column6874"/>
    <tableColumn id="6886" xr3:uid="{4F656741-38EA-4DF3-9B68-D2EB7CE54C15}" name="Column6875"/>
    <tableColumn id="6887" xr3:uid="{D279352A-1EA1-4952-A1A2-81ECD3DDEBF1}" name="Column6876"/>
    <tableColumn id="6888" xr3:uid="{26A054FD-3213-4808-AC0F-F0AF210423BA}" name="Column6877"/>
    <tableColumn id="6889" xr3:uid="{DD44BD56-A506-4854-B4D7-55421295A006}" name="Column6878"/>
    <tableColumn id="6890" xr3:uid="{E3F91066-8C93-4BC2-8FA5-B21EC3AF7B4C}" name="Column6879"/>
    <tableColumn id="6891" xr3:uid="{E01BD996-DEB6-4736-BE1F-C39A2ED67964}" name="Column6880"/>
    <tableColumn id="6892" xr3:uid="{7C507EA4-3AAC-4E45-A689-FDC685654171}" name="Column6881"/>
    <tableColumn id="6893" xr3:uid="{2FF8F2FC-E98B-4F86-AEB0-A9783BF01F42}" name="Column6882"/>
    <tableColumn id="6894" xr3:uid="{4FAF809A-2665-4FEF-80DC-436A62E7AAE0}" name="Column6883"/>
    <tableColumn id="6895" xr3:uid="{280262A7-CB9C-4C95-8FC4-4D4FAB884C3F}" name="Column6884"/>
    <tableColumn id="6896" xr3:uid="{8DBDF6CE-9F04-44EE-9B59-7617FA0D36A1}" name="Column6885"/>
    <tableColumn id="6897" xr3:uid="{022750F3-B6DF-4030-A93F-FAAE2682A618}" name="Column6886"/>
    <tableColumn id="6898" xr3:uid="{D41A3624-74EE-47A9-971A-BC692D327ADE}" name="Column6887"/>
    <tableColumn id="6899" xr3:uid="{3A07469D-B2AC-4041-96F9-E5DE506C20AF}" name="Column6888"/>
    <tableColumn id="6900" xr3:uid="{3A7F451E-68FD-4A36-9017-3817856E6254}" name="Column6889"/>
    <tableColumn id="6901" xr3:uid="{0E71A7AB-2AA9-4D0C-BDB7-BAE72EED13C5}" name="Column6890"/>
    <tableColumn id="6902" xr3:uid="{10676A75-3B12-4034-9E56-76990DF5D64B}" name="Column6891"/>
    <tableColumn id="6903" xr3:uid="{D44D3554-A66C-4C22-9E6C-6B778AAD997E}" name="Column6892"/>
    <tableColumn id="6904" xr3:uid="{07D74D4F-30F7-44F5-8748-E8B8E8AF051B}" name="Column6893"/>
    <tableColumn id="6905" xr3:uid="{25C1FB4A-23AB-40FB-8927-BD1D3D00ADAE}" name="Column6894"/>
    <tableColumn id="6906" xr3:uid="{9954A8BF-AF52-4A1E-AC6D-E7CDB20AB246}" name="Column6895"/>
    <tableColumn id="6907" xr3:uid="{C2AC8D77-F160-438D-99AA-2CD874C6D001}" name="Column6896"/>
    <tableColumn id="6908" xr3:uid="{770A66C2-12F8-45B1-9CEB-5BA0009DE292}" name="Column6897"/>
    <tableColumn id="6909" xr3:uid="{12222FCA-A08E-48F5-A5DF-A6AE8354985F}" name="Column6898"/>
    <tableColumn id="6910" xr3:uid="{3A106CB4-428D-4B5A-BECF-A3AA70D3DCAF}" name="Column6899"/>
    <tableColumn id="6911" xr3:uid="{B140EC2B-818D-4D16-BB42-850C70ACEAA8}" name="Column6900"/>
    <tableColumn id="6912" xr3:uid="{561C7622-5A56-4B13-94B8-121AB566E2C4}" name="Column6901"/>
    <tableColumn id="6913" xr3:uid="{E3EED19F-4852-4002-8585-95C775B978BD}" name="Column6902"/>
    <tableColumn id="6914" xr3:uid="{4691A39B-3D33-4D80-AB4E-A38DCE176542}" name="Column6903"/>
    <tableColumn id="6915" xr3:uid="{7ED87006-84EA-4497-A92F-63DF3C885A41}" name="Column6904"/>
    <tableColumn id="6916" xr3:uid="{BBE45FD5-F4F7-4990-BA49-B5A47F1163D9}" name="Column6905"/>
    <tableColumn id="6917" xr3:uid="{E75007DF-B385-4949-977A-D38FB6891031}" name="Column6906"/>
    <tableColumn id="6918" xr3:uid="{AE6780B1-7E50-4E2F-99BF-B50CD685C8A5}" name="Column6907"/>
    <tableColumn id="6919" xr3:uid="{F9DDEE3E-5C80-4900-A0A3-9A57FED78C62}" name="Column6908"/>
    <tableColumn id="6920" xr3:uid="{04B7781A-B743-4EE9-A706-3A33549AFE96}" name="Column6909"/>
    <tableColumn id="6921" xr3:uid="{0667E1F7-765D-49E0-AAF5-7CE653F37471}" name="Column6910"/>
    <tableColumn id="6922" xr3:uid="{2D7DD712-C3D1-4342-9E02-18BB04ACF45E}" name="Column6911"/>
    <tableColumn id="6923" xr3:uid="{8CDAE0CA-7EBF-49A5-8BCD-B2A8FE4DE126}" name="Column6912"/>
    <tableColumn id="6924" xr3:uid="{9FBD4ED7-43B6-40F3-B67B-C9B70F03A0F4}" name="Column6913"/>
    <tableColumn id="6925" xr3:uid="{8FFB845E-DFB3-47DF-B3A5-8FC87F1DE7D5}" name="Column6914"/>
    <tableColumn id="6926" xr3:uid="{9884968F-7F8A-436A-B65C-243EC7E5263B}" name="Column6915"/>
    <tableColumn id="6927" xr3:uid="{2C1F56CD-B9A4-4606-A3C4-BDC54C4C8F37}" name="Column6916"/>
    <tableColumn id="6928" xr3:uid="{A2B0B27F-32F5-4785-B1D0-7E99AE5C1F58}" name="Column6917"/>
    <tableColumn id="6929" xr3:uid="{9EAEB11B-DC82-4EE9-9627-FA2CB7EAC873}" name="Column6918"/>
    <tableColumn id="6930" xr3:uid="{120DC38D-83A6-42F1-9A20-3341CE284356}" name="Column6919"/>
    <tableColumn id="6931" xr3:uid="{7412D8AD-4AB5-4B56-AD8B-615EE137233B}" name="Column6920"/>
    <tableColumn id="6932" xr3:uid="{47557E06-BDC8-495B-B7B5-DBD1AF6C36A6}" name="Column6921"/>
    <tableColumn id="6933" xr3:uid="{E0850CC0-9BEC-4C13-B62A-AD1AA753E634}" name="Column6922"/>
    <tableColumn id="6934" xr3:uid="{1E40F3D0-073A-4BEE-BE80-7C27F6D60BAB}" name="Column6923"/>
    <tableColumn id="6935" xr3:uid="{550E35D8-FB5D-490E-B8C1-174FB959DEDD}" name="Column6924"/>
    <tableColumn id="6936" xr3:uid="{1C24B9B5-8D51-4C91-B192-6DB4E07FE647}" name="Column6925"/>
    <tableColumn id="6937" xr3:uid="{9F5B8DBC-B5C9-4A76-AAEA-3803EAD8DD4B}" name="Column6926"/>
    <tableColumn id="6938" xr3:uid="{5B2858AB-6835-4A6F-88A5-38A08B5E9096}" name="Column6927"/>
    <tableColumn id="6939" xr3:uid="{9304F6F0-381C-4AC1-9C2D-322BAB9E4787}" name="Column6928"/>
    <tableColumn id="6940" xr3:uid="{90E526EA-9300-4520-B9C9-688E6812AAC8}" name="Column6929"/>
    <tableColumn id="6941" xr3:uid="{E23B2D1C-0FAA-43F7-B781-8E100719B4B5}" name="Column6930"/>
    <tableColumn id="6942" xr3:uid="{684077C2-D6A6-4333-AE58-7D1488347DF9}" name="Column6931"/>
    <tableColumn id="6943" xr3:uid="{2D7FC2A9-9681-4227-9AE7-E7E341AB5574}" name="Column6932"/>
    <tableColumn id="6944" xr3:uid="{3B85D649-AB7B-4545-9BA1-09879F892788}" name="Column6933"/>
    <tableColumn id="6945" xr3:uid="{73B8740E-13DA-418E-83A9-0BF670BD1AED}" name="Column6934"/>
    <tableColumn id="6946" xr3:uid="{2DCE8DBE-F1D9-437A-B783-459210D340A6}" name="Column6935"/>
    <tableColumn id="6947" xr3:uid="{3F225E5B-BA07-4CA6-90A3-C36A9DAF46CB}" name="Column6936"/>
    <tableColumn id="6948" xr3:uid="{B16DCC39-C87B-47F2-886A-DEA4A7404D0B}" name="Column6937"/>
    <tableColumn id="6949" xr3:uid="{2D78CC00-B750-4A9F-A91F-E3389285EC88}" name="Column6938"/>
    <tableColumn id="6950" xr3:uid="{D30ECC50-FA1B-46EB-A9CC-3FC967254006}" name="Column6939"/>
    <tableColumn id="6951" xr3:uid="{B3441B3C-A877-4595-A313-3415A9CFE200}" name="Column6940"/>
    <tableColumn id="6952" xr3:uid="{A6E0BE36-5620-4A26-B203-E92F8B24A5DA}" name="Column6941"/>
    <tableColumn id="6953" xr3:uid="{3907A658-5D00-4F06-8678-1E1AA10ECE24}" name="Column6942"/>
    <tableColumn id="6954" xr3:uid="{98CA5157-A713-4D64-B698-6927DF3467FC}" name="Column6943"/>
    <tableColumn id="6955" xr3:uid="{F4900EC8-2BDC-4A70-A5F9-4B44919722AD}" name="Column6944"/>
    <tableColumn id="6956" xr3:uid="{35FC08CB-94D8-4453-9B20-96AF2386B6BF}" name="Column6945"/>
    <tableColumn id="6957" xr3:uid="{826C45A9-5696-42A5-951C-F8EEBE552C70}" name="Column6946"/>
    <tableColumn id="6958" xr3:uid="{A5EBB044-0B63-43FB-9BF4-B945E0838600}" name="Column6947"/>
    <tableColumn id="6959" xr3:uid="{3D81E94F-6CB5-4FA6-A144-8E0A3E49BB4F}" name="Column6948"/>
    <tableColumn id="6960" xr3:uid="{8D25E153-175A-4286-A980-190FED10C765}" name="Column6949"/>
    <tableColumn id="6961" xr3:uid="{D97F0F92-9960-4D91-8835-1C67BFECD3B1}" name="Column6950"/>
    <tableColumn id="6962" xr3:uid="{766BF5E4-463D-4D9B-8AFA-C25E4657B120}" name="Column6951"/>
    <tableColumn id="6963" xr3:uid="{CF7847A7-9E96-4C80-997E-095694F15FD7}" name="Column6952"/>
    <tableColumn id="6964" xr3:uid="{492D4C35-BAFE-4475-A5D4-2CB7A16BB270}" name="Column6953"/>
    <tableColumn id="6965" xr3:uid="{4BF64BC3-FB12-4A77-9760-F22E02BB9F44}" name="Column6954"/>
    <tableColumn id="6966" xr3:uid="{F4E86E8C-A2C4-48B8-95A0-1AC79289B6E0}" name="Column6955"/>
    <tableColumn id="6967" xr3:uid="{292CA778-3C61-465E-B397-4616567C8930}" name="Column6956"/>
    <tableColumn id="6968" xr3:uid="{AC0CAB8C-B1B4-4253-8AB1-D8685085AB01}" name="Column6957"/>
    <tableColumn id="6969" xr3:uid="{D3D4D683-F020-4BF8-B136-703C2C5CCC56}" name="Column6958"/>
    <tableColumn id="6970" xr3:uid="{2CD07390-2477-4ABD-881E-CAFCE8B18600}" name="Column6959"/>
    <tableColumn id="6971" xr3:uid="{67B32EAC-74A1-4C76-8A9E-B8E9FBA0DBC1}" name="Column6960"/>
    <tableColumn id="6972" xr3:uid="{3C120CC4-9519-4C0D-9950-B00F74EE528F}" name="Column6961"/>
    <tableColumn id="6973" xr3:uid="{7463AC5E-D799-4F49-8E0D-CEC03257DE85}" name="Column6962"/>
    <tableColumn id="6974" xr3:uid="{F1B40991-37AE-4622-A0B1-0AA9B40FF6B4}" name="Column6963"/>
    <tableColumn id="6975" xr3:uid="{D140B759-5E74-4455-B93A-4F9E3380BF61}" name="Column6964"/>
    <tableColumn id="6976" xr3:uid="{50E1C830-6604-468A-BEBF-44238A0193BC}" name="Column6965"/>
    <tableColumn id="6977" xr3:uid="{FCFE27E5-747E-4089-A0A9-DA214D2A9DE6}" name="Column6966"/>
    <tableColumn id="6978" xr3:uid="{B02A1FA6-EB48-42B2-B143-05796B22ED84}" name="Column6967"/>
    <tableColumn id="6979" xr3:uid="{49BA9622-9BC2-4BB1-B865-50F131958D18}" name="Column6968"/>
    <tableColumn id="6980" xr3:uid="{9C8035CF-7196-4028-AC2E-5424813F9653}" name="Column6969"/>
    <tableColumn id="6981" xr3:uid="{09A24918-C319-47E0-875C-96C946CADC69}" name="Column6970"/>
    <tableColumn id="6982" xr3:uid="{EDE25386-20E1-49B6-8B89-636F1470BE0E}" name="Column6971"/>
    <tableColumn id="6983" xr3:uid="{433B0379-03F4-40DD-BC4E-07A2574A602F}" name="Column6972"/>
    <tableColumn id="6984" xr3:uid="{1B510838-D2A8-4719-8E20-D08F89544EF1}" name="Column6973"/>
    <tableColumn id="6985" xr3:uid="{65761B21-38EA-4364-97D6-CB0C22897880}" name="Column6974"/>
    <tableColumn id="6986" xr3:uid="{72D2FA40-35D7-4131-9F79-F6629B3BA423}" name="Column6975"/>
    <tableColumn id="6987" xr3:uid="{0D61A6B8-2881-459C-8C05-2347AA455DC0}" name="Column6976"/>
    <tableColumn id="6988" xr3:uid="{68EB3502-257D-4BF4-913D-4E0112527DDE}" name="Column6977"/>
    <tableColumn id="6989" xr3:uid="{94245CF9-C60C-41DD-A6E4-332D7DB2A115}" name="Column6978"/>
    <tableColumn id="6990" xr3:uid="{FC793C8C-CA5E-4137-AB6D-C7B422516637}" name="Column6979"/>
    <tableColumn id="6991" xr3:uid="{E67DDEE4-DC9E-4E0E-9CA7-04E0D2EC7439}" name="Column6980"/>
    <tableColumn id="6992" xr3:uid="{D02E28D3-F39E-465E-A5CB-C490CD28FFFD}" name="Column6981"/>
    <tableColumn id="6993" xr3:uid="{D96C00DB-029E-4646-A928-BCBE276AE36F}" name="Column6982"/>
    <tableColumn id="6994" xr3:uid="{98E289FC-78B0-4E06-B231-9FF2BA8F020B}" name="Column6983"/>
    <tableColumn id="6995" xr3:uid="{51D6EF56-DE6E-4489-8182-CB1CCA217FBB}" name="Column6984"/>
    <tableColumn id="6996" xr3:uid="{BBEFE90F-955B-41B0-8FB7-14CBBF063DE4}" name="Column6985"/>
    <tableColumn id="6997" xr3:uid="{ACB19404-7F37-4802-93B8-9BA04D325A6E}" name="Column6986"/>
    <tableColumn id="6998" xr3:uid="{98A53630-AB36-4803-8E80-00032F52D232}" name="Column6987"/>
    <tableColumn id="6999" xr3:uid="{8E7E464F-7890-40DA-A5EA-E1B367DAE246}" name="Column6988"/>
    <tableColumn id="7000" xr3:uid="{AADDF330-D0F3-45D3-980C-B62A88363F33}" name="Column6989"/>
    <tableColumn id="7001" xr3:uid="{80977A38-1A2A-49BD-AC35-E2B27616D866}" name="Column6990"/>
    <tableColumn id="7002" xr3:uid="{A52892C0-D8F4-4D67-BA12-73718161914F}" name="Column6991"/>
    <tableColumn id="7003" xr3:uid="{AC795B0C-C197-4E9D-8C19-B594364968C2}" name="Column6992"/>
    <tableColumn id="7004" xr3:uid="{3DB796FD-7FC4-4D73-ADB0-1F5993E2EE59}" name="Column6993"/>
    <tableColumn id="7005" xr3:uid="{376467F3-6B99-4FEF-A8C9-39D61F8B66B5}" name="Column6994"/>
    <tableColumn id="7006" xr3:uid="{06B2125A-4523-40F5-9D0F-BC961E34CA7D}" name="Column6995"/>
    <tableColumn id="7007" xr3:uid="{CF695DC6-8B24-4022-8C9F-3D0B876334C5}" name="Column6996"/>
    <tableColumn id="7008" xr3:uid="{D320F83A-E35E-4A1C-B7ED-40427989B1F6}" name="Column6997"/>
    <tableColumn id="7009" xr3:uid="{61BE866F-072C-4482-9968-D3913C45A45F}" name="Column6998"/>
    <tableColumn id="7010" xr3:uid="{B8E7560D-0912-40F5-84C1-9CA4E4DE5633}" name="Column6999"/>
    <tableColumn id="7011" xr3:uid="{33A319DF-697A-46CF-8DAB-21D65C2D5BE5}" name="Column7000"/>
    <tableColumn id="7012" xr3:uid="{9484AFDA-538B-4C1C-9228-341E96B82EE1}" name="Column7001"/>
    <tableColumn id="7013" xr3:uid="{5DE5526B-317D-4FF6-8A1F-074674D75B94}" name="Column7002"/>
    <tableColumn id="7014" xr3:uid="{94D9EC1D-3B11-4770-9F1A-1734DC2EAB77}" name="Column7003"/>
    <tableColumn id="7015" xr3:uid="{0F992763-E202-4B57-AA93-AE5093E7CEB4}" name="Column7004"/>
    <tableColumn id="7016" xr3:uid="{62507317-D4CA-44CE-A457-1BD4CC24CF73}" name="Column7005"/>
    <tableColumn id="7017" xr3:uid="{C8FC38D4-9EAB-4396-947E-823630F7CA9D}" name="Column7006"/>
    <tableColumn id="7018" xr3:uid="{EF3128B7-E072-4BE7-A55D-1675C2C5BF72}" name="Column7007"/>
    <tableColumn id="7019" xr3:uid="{58BCA7C3-5430-4E76-A2EB-ABB15B298875}" name="Column7008"/>
    <tableColumn id="7020" xr3:uid="{99095E33-A979-45E3-8AAE-5A3AA9BB13E6}" name="Column7009"/>
    <tableColumn id="7021" xr3:uid="{48D9654E-066F-497E-860B-CB674005AEBD}" name="Column7010"/>
    <tableColumn id="7022" xr3:uid="{4C6BD400-044C-4A8F-85D2-32EB68DC1F04}" name="Column7011"/>
    <tableColumn id="7023" xr3:uid="{58F8FDBB-3C43-497F-9B1E-75E9136358B9}" name="Column7012"/>
    <tableColumn id="7024" xr3:uid="{B90F398D-D91A-4B9B-8730-98A8C03C4215}" name="Column7013"/>
    <tableColumn id="7025" xr3:uid="{6C58A580-D82D-480D-BEE9-4A952666B3EC}" name="Column7014"/>
    <tableColumn id="7026" xr3:uid="{DC869883-8E26-405D-B4B3-D4DA00C890B3}" name="Column7015"/>
    <tableColumn id="7027" xr3:uid="{7170DAEE-88D2-4421-AB71-46F1FE8B7113}" name="Column7016"/>
    <tableColumn id="7028" xr3:uid="{3EA2BCEC-66F0-4CCE-82D3-98F2ADD18830}" name="Column7017"/>
    <tableColumn id="7029" xr3:uid="{079CABDA-41AC-451E-8CB2-224B4A7BF86C}" name="Column7018"/>
    <tableColumn id="7030" xr3:uid="{482FB74D-A618-4AC1-B70E-AC53003B82E7}" name="Column7019"/>
    <tableColumn id="7031" xr3:uid="{CEAE9C4F-89FB-4420-B47F-E547205D7B9D}" name="Column7020"/>
    <tableColumn id="7032" xr3:uid="{D3DF8843-962F-4497-878D-5F9C737BF0CE}" name="Column7021"/>
    <tableColumn id="7033" xr3:uid="{06E957A6-A95D-45F8-9C8C-AB65767C318B}" name="Column7022"/>
    <tableColumn id="7034" xr3:uid="{080CDA5F-AE31-4D93-A426-63BDFBD2EB79}" name="Column7023"/>
    <tableColumn id="7035" xr3:uid="{5610D704-341C-415F-BA7B-35FB369BA4F8}" name="Column7024"/>
    <tableColumn id="7036" xr3:uid="{6024C82F-83AB-4B3F-9468-27C2AF990F2B}" name="Column7025"/>
    <tableColumn id="7037" xr3:uid="{DF15B94D-915E-4EF5-A2A3-D52BB9821457}" name="Column7026"/>
    <tableColumn id="7038" xr3:uid="{26A372B0-FD38-44A8-ABC6-3C2404D1F0AE}" name="Column7027"/>
    <tableColumn id="7039" xr3:uid="{8FBF2325-11D1-42C7-97D9-7874621C6932}" name="Column7028"/>
    <tableColumn id="7040" xr3:uid="{3A86100C-427D-4B24-8FE4-2374613A960A}" name="Column7029"/>
    <tableColumn id="7041" xr3:uid="{9BC3AAF3-DF7F-4371-913E-E20BB1416D9C}" name="Column7030"/>
    <tableColumn id="7042" xr3:uid="{C6F87090-1954-4BBB-BF9E-061048421FF3}" name="Column7031"/>
    <tableColumn id="7043" xr3:uid="{E8077885-DBC9-4309-ACA8-3BAF901892C3}" name="Column7032"/>
    <tableColumn id="7044" xr3:uid="{0E0ED90E-6E35-4BDC-8F32-704E2F2B1CB3}" name="Column7033"/>
    <tableColumn id="7045" xr3:uid="{B799A851-146F-45A3-AF44-2C6DC1795FE3}" name="Column7034"/>
    <tableColumn id="7046" xr3:uid="{8F960701-09CF-44FA-8851-31D112EC9F07}" name="Column7035"/>
    <tableColumn id="7047" xr3:uid="{8F787180-A853-4C3E-8582-6475C90F2B56}" name="Column7036"/>
    <tableColumn id="7048" xr3:uid="{6C8D98E5-3337-456F-ACF6-141F063821A3}" name="Column7037"/>
    <tableColumn id="7049" xr3:uid="{C38BB27C-831C-4EB5-B4DA-70CCB192CD60}" name="Column7038"/>
    <tableColumn id="7050" xr3:uid="{0706E35E-9070-43E6-ABFD-7DA5E1B8A75D}" name="Column7039"/>
    <tableColumn id="7051" xr3:uid="{91B575B5-9C79-429B-B223-2CBCD3FD10FD}" name="Column7040"/>
    <tableColumn id="7052" xr3:uid="{DFF8C1F3-D89E-4257-BA34-A0FFB1A5779C}" name="Column7041"/>
    <tableColumn id="7053" xr3:uid="{8DBD6D02-736F-42FE-9E4F-BEFBF5DA24F5}" name="Column7042"/>
    <tableColumn id="7054" xr3:uid="{0425CC2C-CB98-4E4B-BD7D-7E0B4A33D016}" name="Column7043"/>
    <tableColumn id="7055" xr3:uid="{D379E871-8FF1-4668-BD3F-D072C4E24BB4}" name="Column7044"/>
    <tableColumn id="7056" xr3:uid="{BB6A8057-7454-4CDC-AD59-3C24B6C4C140}" name="Column7045"/>
    <tableColumn id="7057" xr3:uid="{B8DF0364-FCE7-4C9A-9AC6-D178D63BCEFF}" name="Column7046"/>
    <tableColumn id="7058" xr3:uid="{361EB511-4AEC-4E03-8334-40562C18F78F}" name="Column7047"/>
    <tableColumn id="7059" xr3:uid="{0F3FAF74-FB1D-4EF7-A11F-0FB8B73B6DBD}" name="Column7048"/>
    <tableColumn id="7060" xr3:uid="{17F95977-B79C-4154-AA23-3090418F386B}" name="Column7049"/>
    <tableColumn id="7061" xr3:uid="{EE343586-8362-4F83-9003-883BC9C129A4}" name="Column7050"/>
    <tableColumn id="7062" xr3:uid="{E9733339-58F3-47C6-9047-582C6554B754}" name="Column7051"/>
    <tableColumn id="7063" xr3:uid="{2D1F8107-FA14-4B8B-B49B-06F516A767C9}" name="Column7052"/>
    <tableColumn id="7064" xr3:uid="{74B9E50D-CDFF-451B-BB17-E26667E4A626}" name="Column7053"/>
    <tableColumn id="7065" xr3:uid="{5E00ED89-5537-4A83-8AC9-C73EEFEF6EF0}" name="Column7054"/>
    <tableColumn id="7066" xr3:uid="{9A73047F-B8B9-41D1-8457-9CFAEEB44849}" name="Column7055"/>
    <tableColumn id="7067" xr3:uid="{F5CC5173-FF19-4906-B761-B64AE53ABC2E}" name="Column7056"/>
    <tableColumn id="7068" xr3:uid="{E01DB51A-DEF7-4936-95E0-2721A8BB2C44}" name="Column7057"/>
    <tableColumn id="7069" xr3:uid="{D0C6DCF7-C68E-4751-96D4-D2B5A23A75DE}" name="Column7058"/>
    <tableColumn id="7070" xr3:uid="{703BBB79-614A-47A6-A35B-6EFB2500AC3E}" name="Column7059"/>
    <tableColumn id="7071" xr3:uid="{F9F81302-BC4A-4CAF-8F95-6C8488A7D976}" name="Column7060"/>
    <tableColumn id="7072" xr3:uid="{2A87BB39-C08D-4F03-BF44-3E35386003E2}" name="Column7061"/>
    <tableColumn id="7073" xr3:uid="{CD82648D-F643-41D7-8E8A-9B4C33AB7CE6}" name="Column7062"/>
    <tableColumn id="7074" xr3:uid="{53EB1E82-FB26-458A-8DEC-F688DCB30653}" name="Column7063"/>
    <tableColumn id="7075" xr3:uid="{B912FB33-3814-421D-ACD1-7E677C981740}" name="Column7064"/>
    <tableColumn id="7076" xr3:uid="{2DC0A944-AC47-40B4-AFBB-6A88CB9E1517}" name="Column7065"/>
    <tableColumn id="7077" xr3:uid="{A6C472AA-A778-4DD7-AAA9-EB8AC86F2309}" name="Column7066"/>
    <tableColumn id="7078" xr3:uid="{ECB7BDA3-F549-41EB-9AD5-06CB219E400C}" name="Column7067"/>
    <tableColumn id="7079" xr3:uid="{CEFCFC22-8B9D-4BAC-8445-0EDCFDDA1F0D}" name="Column7068"/>
    <tableColumn id="7080" xr3:uid="{D76E9819-4D2D-4709-BFD5-8C735BE5D75A}" name="Column7069"/>
    <tableColumn id="7081" xr3:uid="{ABC3A86B-9FEB-4D1A-B22B-133C1D3732C4}" name="Column7070"/>
    <tableColumn id="7082" xr3:uid="{121F300C-1F68-48C4-A789-EAD333FEA34C}" name="Column7071"/>
    <tableColumn id="7083" xr3:uid="{9EE4D490-BB33-48EC-98D7-B774BA073BB7}" name="Column7072"/>
    <tableColumn id="7084" xr3:uid="{4C3B2B3F-3775-4C87-9C0F-E256D7ED7B14}" name="Column7073"/>
    <tableColumn id="7085" xr3:uid="{084403E4-EAD1-4198-96E6-CBDFEAC70D26}" name="Column7074"/>
    <tableColumn id="7086" xr3:uid="{5BFD0B51-001A-4EFC-B264-BD03D0795C2B}" name="Column7075"/>
    <tableColumn id="7087" xr3:uid="{F2F8D86A-3844-4E10-AF5D-E5A4C1DCA350}" name="Column7076"/>
    <tableColumn id="7088" xr3:uid="{A16FD921-B56E-48AF-AEBC-2BC6CA6FE523}" name="Column7077"/>
    <tableColumn id="7089" xr3:uid="{55E3D8A6-0C75-4F02-83CA-F03A7720F799}" name="Column7078"/>
    <tableColumn id="7090" xr3:uid="{3461C794-0309-459F-A6A6-30D9C0A4C479}" name="Column7079"/>
    <tableColumn id="7091" xr3:uid="{806DDAF4-128C-40AA-92CA-639CA59DDF84}" name="Column7080"/>
    <tableColumn id="7092" xr3:uid="{3C74EA1C-5A2F-4F05-8101-49DBAFAF0C5C}" name="Column7081"/>
    <tableColumn id="7093" xr3:uid="{AF76CB89-6E9C-4B21-9E93-304377E05BD4}" name="Column7082"/>
    <tableColumn id="7094" xr3:uid="{FA91B74D-6582-4DB5-8E22-3336AED7BE2F}" name="Column7083"/>
    <tableColumn id="7095" xr3:uid="{AF922E58-C8D6-4424-94E4-BA9893C7E5A1}" name="Column7084"/>
    <tableColumn id="7096" xr3:uid="{18B616A8-521E-438B-BD60-B780F92FBB0E}" name="Column7085"/>
    <tableColumn id="7097" xr3:uid="{41B9B5C9-C7A1-4E00-B885-595BC1AB5884}" name="Column7086"/>
    <tableColumn id="7098" xr3:uid="{7765DF1D-A463-4306-B3DA-D469C9B263D7}" name="Column7087"/>
    <tableColumn id="7099" xr3:uid="{B75B4A54-1D1D-41A6-B136-1DFB5D143508}" name="Column7088"/>
    <tableColumn id="7100" xr3:uid="{272C2692-9F1A-4A6C-85BC-9C333332B045}" name="Column7089"/>
    <tableColumn id="7101" xr3:uid="{84D000AD-E3DE-4850-B18C-0F3060AA2F31}" name="Column7090"/>
    <tableColumn id="7102" xr3:uid="{8016D353-E524-434E-B6CA-39AE37A322D2}" name="Column7091"/>
    <tableColumn id="7103" xr3:uid="{2387C933-0145-4FE8-BFD8-59C6156F2686}" name="Column7092"/>
    <tableColumn id="7104" xr3:uid="{0912F500-41AB-40B1-A84A-502228C519BB}" name="Column7093"/>
    <tableColumn id="7105" xr3:uid="{3E80CAD6-D4AF-4FFD-B05C-EE1185623B07}" name="Column7094"/>
    <tableColumn id="7106" xr3:uid="{4881AC8A-B7F4-4172-A81B-249B0090C4D9}" name="Column7095"/>
    <tableColumn id="7107" xr3:uid="{EC16476B-6C64-4291-9027-52AFACA02EFD}" name="Column7096"/>
    <tableColumn id="7108" xr3:uid="{68F137C6-AFA2-428B-82CB-C338FD72B041}" name="Column7097"/>
    <tableColumn id="7109" xr3:uid="{B25485B4-438B-4D0F-BBCE-D975478994B5}" name="Column7098"/>
    <tableColumn id="7110" xr3:uid="{A5B1C7E8-8D47-45A4-A3C3-CB42C7EA706B}" name="Column7099"/>
    <tableColumn id="7111" xr3:uid="{2C6395D4-D736-482B-BC30-1D5650E9952B}" name="Column7100"/>
    <tableColumn id="7112" xr3:uid="{50D143F0-1B84-4E96-A4E5-0318AE502535}" name="Column7101"/>
    <tableColumn id="7113" xr3:uid="{B560BB8F-1109-4BEA-BD44-BCCFBED38FEA}" name="Column7102"/>
    <tableColumn id="7114" xr3:uid="{C7D82E33-C328-4E1D-9E5B-AFAC9C4484A3}" name="Column7103"/>
    <tableColumn id="7115" xr3:uid="{EBF06E75-71E0-4245-9B0C-166D128F676C}" name="Column7104"/>
    <tableColumn id="7116" xr3:uid="{ED127A23-A882-4B88-A79E-2B69CB9762A4}" name="Column7105"/>
    <tableColumn id="7117" xr3:uid="{43A0EBF6-C277-4AE0-9872-51E8F1CF7AB7}" name="Column7106"/>
    <tableColumn id="7118" xr3:uid="{464E9B15-AF53-4094-9DE7-643A3904DB1D}" name="Column7107"/>
    <tableColumn id="7119" xr3:uid="{3F91AE98-559A-4CC8-9AF6-4B4081780885}" name="Column7108"/>
    <tableColumn id="7120" xr3:uid="{A9D70B99-F567-44C6-BA63-D2ACFFACC354}" name="Column7109"/>
    <tableColumn id="7121" xr3:uid="{D8D33F7E-295E-4E4F-A5F8-E34436B407D6}" name="Column7110"/>
    <tableColumn id="7122" xr3:uid="{C9B853DC-7139-47FB-8AAA-F9F5D57A13A1}" name="Column7111"/>
    <tableColumn id="7123" xr3:uid="{0CB188C8-D564-4962-A1E8-7612249B9B67}" name="Column7112"/>
    <tableColumn id="7124" xr3:uid="{AC8F660F-B871-4841-9D53-F74D76EF07D0}" name="Column7113"/>
    <tableColumn id="7125" xr3:uid="{2509350D-095E-48BA-87FD-4CD3A2C576C0}" name="Column7114"/>
    <tableColumn id="7126" xr3:uid="{DFE0D5AC-2FB9-47E6-AC9B-81A56CEF0BD8}" name="Column7115"/>
    <tableColumn id="7127" xr3:uid="{A57FA414-BA54-4D09-9FF7-5B0D27A092FF}" name="Column7116"/>
    <tableColumn id="7128" xr3:uid="{5C9556DC-2B46-479B-8D78-AE088603EC6C}" name="Column7117"/>
    <tableColumn id="7129" xr3:uid="{9882A963-3B00-4323-844A-C0E5547960A9}" name="Column7118"/>
    <tableColumn id="7130" xr3:uid="{34B714BF-9940-4A47-AD4A-9588BC8C386C}" name="Column7119"/>
    <tableColumn id="7131" xr3:uid="{890529B8-24F1-4830-8186-204EDD7AE167}" name="Column7120"/>
    <tableColumn id="7132" xr3:uid="{7D1B657C-FF17-4A14-A410-AD52B6195DD4}" name="Column7121"/>
    <tableColumn id="7133" xr3:uid="{440E0E7F-C055-4682-B79F-FC6C8A692C9D}" name="Column7122"/>
    <tableColumn id="7134" xr3:uid="{07096271-2800-4889-A235-9F1D0CAE1BEC}" name="Column7123"/>
    <tableColumn id="7135" xr3:uid="{BF2F6D25-ED8B-4723-86F4-A4FB2063FD11}" name="Column7124"/>
    <tableColumn id="7136" xr3:uid="{EA484B86-F274-4DAE-8B92-EB67E2358CAD}" name="Column7125"/>
    <tableColumn id="7137" xr3:uid="{CCA394B3-153A-4A42-AF17-890870EE10FB}" name="Column7126"/>
    <tableColumn id="7138" xr3:uid="{579AFC0E-6826-4C24-8E75-11124EE4610D}" name="Column7127"/>
    <tableColumn id="7139" xr3:uid="{F1BBA42D-3A4B-431A-8F99-F4E355B3E0A3}" name="Column7128"/>
    <tableColumn id="7140" xr3:uid="{119EE2A4-1C18-435E-965F-95D5F0CF382B}" name="Column7129"/>
    <tableColumn id="7141" xr3:uid="{D0DA1CF7-5109-4347-9BCB-FD825DF6FB70}" name="Column7130"/>
    <tableColumn id="7142" xr3:uid="{E5C5AAFC-39E9-4724-9954-311B131BD5A0}" name="Column7131"/>
    <tableColumn id="7143" xr3:uid="{61660D81-6506-46D7-AFBB-1AF5284CB71D}" name="Column7132"/>
    <tableColumn id="7144" xr3:uid="{4DB1DE03-BF56-4066-8EBD-DD2F59D306DE}" name="Column7133"/>
    <tableColumn id="7145" xr3:uid="{F0D66D9B-0B0D-4E81-AFF8-CB9E617EDE2A}" name="Column7134"/>
    <tableColumn id="7146" xr3:uid="{F4103DDD-3628-4512-AF7F-F0EF521C0437}" name="Column7135"/>
    <tableColumn id="7147" xr3:uid="{20642852-A661-4331-B3D8-F8750C293B67}" name="Column7136"/>
    <tableColumn id="7148" xr3:uid="{A568AF82-2FA2-47DB-9E7A-35888C759678}" name="Column7137"/>
    <tableColumn id="7149" xr3:uid="{6B81D129-AD42-47E4-9592-10F3949B85ED}" name="Column7138"/>
    <tableColumn id="7150" xr3:uid="{8A8D4027-9284-4823-A74F-3C79B2F8DEFB}" name="Column7139"/>
    <tableColumn id="7151" xr3:uid="{3803E7A7-3816-4787-8107-5E52D3B5B4A4}" name="Column7140"/>
    <tableColumn id="7152" xr3:uid="{12372787-7B80-4692-977B-C5B477F20BD4}" name="Column7141"/>
    <tableColumn id="7153" xr3:uid="{189A1D6D-8C20-400E-840F-65574E339504}" name="Column7142"/>
    <tableColumn id="7154" xr3:uid="{C6595C6A-11A5-4B01-BEE9-4F65D4D75B62}" name="Column7143"/>
    <tableColumn id="7155" xr3:uid="{981C9BCB-966E-4AC3-A9D3-10D64A3096CA}" name="Column7144"/>
    <tableColumn id="7156" xr3:uid="{A52E1644-A570-4541-8AE2-A1734545606C}" name="Column7145"/>
    <tableColumn id="7157" xr3:uid="{EC272AE7-ABF2-4D28-A93F-7093E091D071}" name="Column7146"/>
    <tableColumn id="7158" xr3:uid="{50320210-B498-4917-9E22-BC54AC13EFD3}" name="Column7147"/>
    <tableColumn id="7159" xr3:uid="{DB784D32-1420-435A-B499-DE1408DBDA9A}" name="Column7148"/>
    <tableColumn id="7160" xr3:uid="{DF01BFE0-D553-430E-891C-35CDEA3464B5}" name="Column7149"/>
    <tableColumn id="7161" xr3:uid="{C44F7B5F-28E0-44BF-90D4-8819F790B874}" name="Column7150"/>
    <tableColumn id="7162" xr3:uid="{5E8CCF13-1A05-4571-B728-35FC167BD1AB}" name="Column7151"/>
    <tableColumn id="7163" xr3:uid="{1EE2C668-290F-489A-B910-9137C0A492B9}" name="Column7152"/>
    <tableColumn id="7164" xr3:uid="{C4D378E3-4D5E-47F9-9DE3-2D38E87BCDA5}" name="Column7153"/>
    <tableColumn id="7165" xr3:uid="{4B81B40E-9602-49F5-8DE7-8AB44CBFAA22}" name="Column7154"/>
    <tableColumn id="7166" xr3:uid="{9205F27A-F41F-4633-AD60-2F28DD4F6061}" name="Column7155"/>
    <tableColumn id="7167" xr3:uid="{BE0AFDAE-43A9-46DF-8ECD-0BA0548F649A}" name="Column7156"/>
    <tableColumn id="7168" xr3:uid="{C013E95C-4C87-4790-912A-DDCFB2FEC26D}" name="Column7157"/>
    <tableColumn id="7169" xr3:uid="{468B1F8B-66A2-47D4-91E7-6FB7B6706BB7}" name="Column7158"/>
    <tableColumn id="7170" xr3:uid="{66D1BFCC-B6FC-410F-9C10-F8E436055C6F}" name="Column7159"/>
    <tableColumn id="7171" xr3:uid="{BE40D22E-A522-4170-85C3-214BF8FAC570}" name="Column7160"/>
    <tableColumn id="7172" xr3:uid="{B06213F6-C6C0-4B65-BE9F-3DEA3D7EE2E1}" name="Column7161"/>
    <tableColumn id="7173" xr3:uid="{A88BCD34-F4CE-44AC-9D26-564E54DE005A}" name="Column7162"/>
    <tableColumn id="7174" xr3:uid="{1CEFBE1F-E515-4E0C-AE13-25D4896F98B0}" name="Column7163"/>
    <tableColumn id="7175" xr3:uid="{91F3C656-F084-464C-B2B0-01A15262FEC6}" name="Column7164"/>
    <tableColumn id="7176" xr3:uid="{B8D30605-30C2-4624-9F23-93A52DE4CE43}" name="Column7165"/>
    <tableColumn id="7177" xr3:uid="{4BED8285-FD15-4987-B591-124CB6ACD1F4}" name="Column7166"/>
    <tableColumn id="7178" xr3:uid="{333E165B-0DD2-4861-A701-9AAA1D763901}" name="Column7167"/>
    <tableColumn id="7179" xr3:uid="{480E7372-DBF9-42B9-8BF2-48BEE04A1534}" name="Column7168"/>
    <tableColumn id="7180" xr3:uid="{22BB633F-2032-4FDF-ABDC-C9B730488C6E}" name="Column7169"/>
    <tableColumn id="7181" xr3:uid="{3279CFCA-35FF-4426-AB1D-C43E6A2A636F}" name="Column7170"/>
    <tableColumn id="7182" xr3:uid="{EEE25B32-918D-4ADB-96F0-B2A01758A785}" name="Column7171"/>
    <tableColumn id="7183" xr3:uid="{EF7049DC-7195-49EF-9E1A-57BCA4806A92}" name="Column7172"/>
    <tableColumn id="7184" xr3:uid="{B8C10F6A-04D6-49B9-8F33-C6A84CCC3556}" name="Column7173"/>
    <tableColumn id="7185" xr3:uid="{2036673A-E44A-48B7-A3FF-8C3477212B70}" name="Column7174"/>
    <tableColumn id="7186" xr3:uid="{10A5A431-0383-4B6F-9466-11CDC450B90B}" name="Column7175"/>
    <tableColumn id="7187" xr3:uid="{0E39B332-69BF-4E3A-A567-4FFF088F56DD}" name="Column7176"/>
    <tableColumn id="7188" xr3:uid="{326E1B23-C267-447C-8A45-1045C78405E6}" name="Column7177"/>
    <tableColumn id="7189" xr3:uid="{DECE16E7-A6CE-4673-9AC5-CF0951FC8FD0}" name="Column7178"/>
    <tableColumn id="7190" xr3:uid="{F16E70F8-CEA4-41A1-8DC1-E6D98B783E4F}" name="Column7179"/>
    <tableColumn id="7191" xr3:uid="{C02A8191-E7B1-4268-990D-06F0E0537979}" name="Column7180"/>
    <tableColumn id="7192" xr3:uid="{DDEF1CCD-EB76-4969-9FB3-C9B4C3094592}" name="Column7181"/>
    <tableColumn id="7193" xr3:uid="{742C5651-B779-42F9-B789-6FDEB1F68D9F}" name="Column7182"/>
    <tableColumn id="7194" xr3:uid="{1A3FF194-CC7D-45BD-B8B3-4C69BBEE86BB}" name="Column7183"/>
    <tableColumn id="7195" xr3:uid="{0AEAFA1F-7243-4D4C-B4E5-4B57F314561F}" name="Column7184"/>
    <tableColumn id="7196" xr3:uid="{E05BC7D8-3E62-4C79-B19D-CB77FCAE18AE}" name="Column7185"/>
    <tableColumn id="7197" xr3:uid="{DDC2F1D4-643C-4027-B68D-95CB28BA723A}" name="Column7186"/>
    <tableColumn id="7198" xr3:uid="{0F64AF49-5ADF-4284-9615-917D1DEC92E9}" name="Column7187"/>
    <tableColumn id="7199" xr3:uid="{51CF47E6-9031-4763-9823-B786C1A83240}" name="Column7188"/>
    <tableColumn id="7200" xr3:uid="{4E1A78F9-E92B-44BD-B141-A64C58C2DE37}" name="Column7189"/>
    <tableColumn id="7201" xr3:uid="{80F4E9BD-30D4-47A0-9318-9F67A8C1B1E7}" name="Column7190"/>
    <tableColumn id="7202" xr3:uid="{2E0C7A94-2E9A-49DB-BDE0-347330299AE5}" name="Column7191"/>
    <tableColumn id="7203" xr3:uid="{7DFC714E-3600-4496-993D-39E31523ED11}" name="Column7192"/>
    <tableColumn id="7204" xr3:uid="{5E62CB96-CD65-4448-8D9B-1C7CB18485C0}" name="Column7193"/>
    <tableColumn id="7205" xr3:uid="{E69E42AE-F7BF-404E-8465-136F399D98BF}" name="Column7194"/>
    <tableColumn id="7206" xr3:uid="{C20AF2CD-6945-4A8E-BCB9-7581404983D5}" name="Column7195"/>
    <tableColumn id="7207" xr3:uid="{86C8451A-A3EE-48A9-876B-805CDEE39E1C}" name="Column7196"/>
    <tableColumn id="7208" xr3:uid="{0CD8D12E-28D7-4EDB-AEF7-2EBCC9A012F7}" name="Column7197"/>
    <tableColumn id="7209" xr3:uid="{C9918624-9F05-4C60-B6A6-7307845C9AC7}" name="Column7198"/>
    <tableColumn id="7210" xr3:uid="{79C747B2-70C2-42C8-8410-ED845B5F2E19}" name="Column7199"/>
    <tableColumn id="7211" xr3:uid="{59DB256F-50CF-4792-AB99-777E834E3123}" name="Column7200"/>
    <tableColumn id="7212" xr3:uid="{E39FB2E5-BB87-4F44-828A-DB19FEBC9FAF}" name="Column7201"/>
    <tableColumn id="7213" xr3:uid="{1B3FF92C-2BD5-428A-A808-02925F92D4CF}" name="Column7202"/>
    <tableColumn id="7214" xr3:uid="{4874B7FC-DC98-4FC5-A2FB-07BD6A968AEB}" name="Column7203"/>
    <tableColumn id="7215" xr3:uid="{30A0E85A-72F9-4272-ACDF-B7277B290FC4}" name="Column7204"/>
    <tableColumn id="7216" xr3:uid="{F38F5934-1966-4973-8860-D71AEAB8A067}" name="Column7205"/>
    <tableColumn id="7217" xr3:uid="{D8D764F1-5BFA-4062-A78A-CB7E385AE48C}" name="Column7206"/>
    <tableColumn id="7218" xr3:uid="{3B87A9E7-67B7-462A-88DE-26EA9CE9984A}" name="Column7207"/>
    <tableColumn id="7219" xr3:uid="{2B6292F6-C68C-4F82-8EA6-A9789A9EE1E0}" name="Column7208"/>
    <tableColumn id="7220" xr3:uid="{C3E76477-2B73-46AF-BFE3-23375EA0513F}" name="Column7209"/>
    <tableColumn id="7221" xr3:uid="{30A45620-2A38-43ED-B27B-19DA9D3248CA}" name="Column7210"/>
    <tableColumn id="7222" xr3:uid="{8AAB30DA-841A-4798-AD73-5E842665699C}" name="Column7211"/>
    <tableColumn id="7223" xr3:uid="{E9DA6678-9DB7-4E1A-9C98-40F866338A64}" name="Column7212"/>
    <tableColumn id="7224" xr3:uid="{8E9FCA0A-76C6-477B-B4F3-F39EF7BDA36B}" name="Column7213"/>
    <tableColumn id="7225" xr3:uid="{8DE942E8-1D69-4617-9BFC-DD0CB402E943}" name="Column7214"/>
    <tableColumn id="7226" xr3:uid="{EB49BAF5-AB3F-4337-B441-86CEDFD1969E}" name="Column7215"/>
    <tableColumn id="7227" xr3:uid="{3F0ADA90-E1EC-493F-8786-A32FB7BBFAB1}" name="Column7216"/>
    <tableColumn id="7228" xr3:uid="{6826C6C0-569E-4A06-A483-6842A8793FF6}" name="Column7217"/>
    <tableColumn id="7229" xr3:uid="{49122910-039C-4CD2-9BBB-593016C6440D}" name="Column7218"/>
    <tableColumn id="7230" xr3:uid="{741CCAA7-2FA5-474E-AD5D-E6F14A1C7003}" name="Column7219"/>
    <tableColumn id="7231" xr3:uid="{6BAA610E-FE7A-4489-ABDE-F45763576B38}" name="Column7220"/>
    <tableColumn id="7232" xr3:uid="{D7D1E99B-81A4-4C9C-B46A-33771DB62EF3}" name="Column7221"/>
    <tableColumn id="7233" xr3:uid="{444366C3-4435-4ED6-AD64-A4C500DB8367}" name="Column7222"/>
    <tableColumn id="7234" xr3:uid="{5E9B76DD-DCDD-40D2-81E3-27D066F1709A}" name="Column7223"/>
    <tableColumn id="7235" xr3:uid="{FF75E0EC-20EC-421A-9B13-95ED13C96D3D}" name="Column7224"/>
    <tableColumn id="7236" xr3:uid="{A2857701-8549-4CBA-BCE9-7E490206C10D}" name="Column7225"/>
    <tableColumn id="7237" xr3:uid="{EB75C31A-9CAF-438F-AA47-78084E8CFFA3}" name="Column7226"/>
    <tableColumn id="7238" xr3:uid="{32F1AAB4-C6EA-46D0-8312-A8FB70A610F2}" name="Column7227"/>
    <tableColumn id="7239" xr3:uid="{3A64EFC9-09DB-42B6-B0B1-01B72EFDDF99}" name="Column7228"/>
    <tableColumn id="7240" xr3:uid="{1A6E3D49-7D6F-4B44-B0DF-3134114F171E}" name="Column7229"/>
    <tableColumn id="7241" xr3:uid="{0BDB9BD0-8B7E-445D-A725-661252FE0D0E}" name="Column7230"/>
    <tableColumn id="7242" xr3:uid="{71338670-9A96-4727-9B49-4D0B63788437}" name="Column7231"/>
    <tableColumn id="7243" xr3:uid="{3D2361F3-5B72-4596-9341-29A58911E8C7}" name="Column7232"/>
    <tableColumn id="7244" xr3:uid="{7144F5BF-BEF7-4F9C-B5C7-A2D24DF2AA0B}" name="Column7233"/>
    <tableColumn id="7245" xr3:uid="{E3F1D2C8-D5BA-4649-823B-1D5773FABA19}" name="Column7234"/>
    <tableColumn id="7246" xr3:uid="{ED0DC5E5-3C06-42B2-897C-3C6241D34917}" name="Column7235"/>
    <tableColumn id="7247" xr3:uid="{833928EA-AD02-4C71-A216-CB4B38C24B5E}" name="Column7236"/>
    <tableColumn id="7248" xr3:uid="{A63C75ED-DECB-43E2-AEB4-93755B1E4BEE}" name="Column7237"/>
    <tableColumn id="7249" xr3:uid="{4EE8FAFC-FD12-42F9-9FA4-FCAA76BE2486}" name="Column7238"/>
    <tableColumn id="7250" xr3:uid="{6A3E63F5-8F31-4924-BD9E-CCFE771EA146}" name="Column7239"/>
    <tableColumn id="7251" xr3:uid="{A69C5DC0-A1E5-462A-9BBD-A1427C97289F}" name="Column7240"/>
    <tableColumn id="7252" xr3:uid="{4580EB1B-1550-40B6-8969-FBEAE1954D2C}" name="Column7241"/>
    <tableColumn id="7253" xr3:uid="{6857C638-EB01-492B-B5DB-5573ACA1EC96}" name="Column7242"/>
    <tableColumn id="7254" xr3:uid="{B8C2227E-1483-4593-B9ED-FE0CC6D03104}" name="Column7243"/>
    <tableColumn id="7255" xr3:uid="{D381A629-C912-46CF-BB62-5C7F338765EC}" name="Column7244"/>
    <tableColumn id="7256" xr3:uid="{60CC6AFC-0CDB-4B22-9226-144D9D4C5849}" name="Column7245"/>
    <tableColumn id="7257" xr3:uid="{DD575E74-ED2E-46E8-8E58-16326B6EDD17}" name="Column7246"/>
    <tableColumn id="7258" xr3:uid="{49E14DA3-3FA7-4F41-A07A-BE30CD982202}" name="Column7247"/>
    <tableColumn id="7259" xr3:uid="{6F728429-BC50-4D22-976C-C9AD540E53A1}" name="Column7248"/>
    <tableColumn id="7260" xr3:uid="{3E4D3A47-3771-4D73-A9AA-08B4BB57E696}" name="Column7249"/>
    <tableColumn id="7261" xr3:uid="{5EB69DA6-91B9-416A-8A27-D6142916D0CD}" name="Column7250"/>
    <tableColumn id="7262" xr3:uid="{1C213354-9C25-4DFA-B6D7-F9E82A16518A}" name="Column7251"/>
    <tableColumn id="7263" xr3:uid="{FDDE5471-68F1-456E-BF8E-F405370CF525}" name="Column7252"/>
    <tableColumn id="7264" xr3:uid="{5DF70259-4538-4F64-B421-FD78C22ADF1D}" name="Column7253"/>
    <tableColumn id="7265" xr3:uid="{44821F31-9B1C-4D69-817F-C30C6C2317FC}" name="Column7254"/>
    <tableColumn id="7266" xr3:uid="{535C2989-DFD4-45FD-BC90-B22729F32561}" name="Column7255"/>
    <tableColumn id="7267" xr3:uid="{28482BE0-05FA-4389-84C8-252466E56BCE}" name="Column7256"/>
    <tableColumn id="7268" xr3:uid="{B8709D94-C3B8-4314-B14E-6E86DFC48B8F}" name="Column7257"/>
    <tableColumn id="7269" xr3:uid="{91EB3F00-B7F2-473A-91EF-A734C35AD210}" name="Column7258"/>
    <tableColumn id="7270" xr3:uid="{4B86DCD5-1911-494A-A832-7198F3A6DA43}" name="Column7259"/>
    <tableColumn id="7271" xr3:uid="{15898BD4-519C-4A0A-83AD-3FAC1829D90A}" name="Column7260"/>
    <tableColumn id="7272" xr3:uid="{1788115E-BBD2-4087-8444-2F0BA05D7258}" name="Column7261"/>
    <tableColumn id="7273" xr3:uid="{ED802CDF-8B38-494E-8818-4089A7E8BE05}" name="Column7262"/>
    <tableColumn id="7274" xr3:uid="{0D712686-5287-4495-BD22-7A07F7C4A383}" name="Column7263"/>
    <tableColumn id="7275" xr3:uid="{FFDCC9E9-64DE-434D-99E5-09EEF532777F}" name="Column7264"/>
    <tableColumn id="7276" xr3:uid="{DB46D757-FB1E-483B-BE9F-B2E381BA0F15}" name="Column7265"/>
    <tableColumn id="7277" xr3:uid="{97FEFDA7-5B3A-4371-8451-400AA03FB304}" name="Column7266"/>
    <tableColumn id="7278" xr3:uid="{9FC10AE1-A857-47B7-8C36-7894E746B517}" name="Column7267"/>
    <tableColumn id="7279" xr3:uid="{B99D332E-1692-4955-AB3B-9D403E1939D9}" name="Column7268"/>
    <tableColumn id="7280" xr3:uid="{243CF066-C31A-4E30-8633-B2BCFC5E6E30}" name="Column7269"/>
    <tableColumn id="7281" xr3:uid="{7EA3B443-C491-4B3E-8551-8F3F9CE6C9D4}" name="Column7270"/>
    <tableColumn id="7282" xr3:uid="{AD056AFC-4F60-497D-8A42-2F5C29946061}" name="Column7271"/>
    <tableColumn id="7283" xr3:uid="{5C6945CA-3E05-4ADD-A576-456C5B74CFBF}" name="Column7272"/>
    <tableColumn id="7284" xr3:uid="{643C4057-A6E5-40B3-9F4F-533A3395906A}" name="Column7273"/>
    <tableColumn id="7285" xr3:uid="{9B41FDE3-F248-4F9B-84C2-80451E9F3174}" name="Column7274"/>
    <tableColumn id="7286" xr3:uid="{06BA5D63-AD9D-4F7D-8D94-194441010379}" name="Column7275"/>
    <tableColumn id="7287" xr3:uid="{C5691745-E399-4444-8D91-B316F24E1700}" name="Column7276"/>
    <tableColumn id="7288" xr3:uid="{1001FDBB-48DB-4AB5-8CF6-21382F79925C}" name="Column7277"/>
    <tableColumn id="7289" xr3:uid="{FED8093F-1759-414C-A30D-659974EC7CA1}" name="Column7278"/>
    <tableColumn id="7290" xr3:uid="{F1733389-0453-46C3-B939-45BFF22006E8}" name="Column7279"/>
    <tableColumn id="7291" xr3:uid="{5ED749DF-7905-4D28-85EF-6584CA526BD5}" name="Column7280"/>
    <tableColumn id="7292" xr3:uid="{F976ECDB-1373-4F44-9EBF-D5A06862A090}" name="Column7281"/>
    <tableColumn id="7293" xr3:uid="{D5C85678-3D30-49A3-A826-03C61D0EE9BE}" name="Column7282"/>
    <tableColumn id="7294" xr3:uid="{D19DC4D0-D1DC-4E2A-B3C7-71BAFEF259F6}" name="Column7283"/>
    <tableColumn id="7295" xr3:uid="{2AF5C00B-F965-4FE0-8535-D3F4A4F11C75}" name="Column7284"/>
    <tableColumn id="7296" xr3:uid="{19E075CE-80D2-4AA4-AEF8-8B38D867DF82}" name="Column7285"/>
    <tableColumn id="7297" xr3:uid="{BCCEAE13-ED5F-408C-9003-D603400FE5E7}" name="Column7286"/>
    <tableColumn id="7298" xr3:uid="{67EB13A3-10A0-439B-AB58-3D4EC6D40C10}" name="Column7287"/>
    <tableColumn id="7299" xr3:uid="{1DFF429A-A51A-4760-9256-8064F9037E7F}" name="Column7288"/>
    <tableColumn id="7300" xr3:uid="{8A55A7DF-FF2A-47E6-904B-DF6924B57B5A}" name="Column7289"/>
    <tableColumn id="7301" xr3:uid="{24D5A4C9-7AA0-4D52-A0CF-F1CBF9B3ED64}" name="Column7290"/>
    <tableColumn id="7302" xr3:uid="{CC66F03B-903B-4D9A-9194-6356DEA74DD0}" name="Column7291"/>
    <tableColumn id="7303" xr3:uid="{CCC0596F-E8C7-42B4-9DB1-944E31574184}" name="Column7292"/>
    <tableColumn id="7304" xr3:uid="{789E9873-4DFE-41EC-866F-775C427A8A09}" name="Column7293"/>
    <tableColumn id="7305" xr3:uid="{35490894-ABBA-4455-9A87-B63AE6516ED0}" name="Column7294"/>
    <tableColumn id="7306" xr3:uid="{84E8EF82-3701-449B-9B24-BF1AD08C0E03}" name="Column7295"/>
    <tableColumn id="7307" xr3:uid="{E9BCC8A1-FDCA-4140-9CF8-E9C1F9CE365F}" name="Column7296"/>
    <tableColumn id="7308" xr3:uid="{4C780D93-3AB7-4E8A-8E79-F57DD33AD759}" name="Column7297"/>
    <tableColumn id="7309" xr3:uid="{F12032B1-23C3-480A-832A-54B84986AD87}" name="Column7298"/>
    <tableColumn id="7310" xr3:uid="{98B9CD35-EB01-4148-BF59-88CCA249C68C}" name="Column7299"/>
    <tableColumn id="7311" xr3:uid="{90811E59-CA70-43D4-B349-52E2EC512567}" name="Column7300"/>
    <tableColumn id="7312" xr3:uid="{509AAEF3-432A-47F7-BE55-A718E8C12914}" name="Column7301"/>
    <tableColumn id="7313" xr3:uid="{588FE5B6-036A-4120-907A-CC2B91631090}" name="Column7302"/>
    <tableColumn id="7314" xr3:uid="{665745E0-EEF5-4CA5-84C4-DC02465EB96E}" name="Column7303"/>
    <tableColumn id="7315" xr3:uid="{C7A93B49-BAA2-4D98-8A1F-FD3E37753A5A}" name="Column7304"/>
    <tableColumn id="7316" xr3:uid="{9D511DBF-FADA-40A6-8BFD-F35CBE140987}" name="Column7305"/>
    <tableColumn id="7317" xr3:uid="{90ABA402-133F-4416-9662-D7E61DF9BF00}" name="Column7306"/>
    <tableColumn id="7318" xr3:uid="{8F422266-CBCB-41E8-BAA1-00496AA46395}" name="Column7307"/>
    <tableColumn id="7319" xr3:uid="{8416AE04-0C54-4754-8AB2-EB9B34127F48}" name="Column7308"/>
    <tableColumn id="7320" xr3:uid="{0A7E7BF8-A416-40F7-AEEA-831FB4C9D774}" name="Column7309"/>
    <tableColumn id="7321" xr3:uid="{E698C9B2-89BE-4B37-A5D5-B2F4F5BE2661}" name="Column7310"/>
    <tableColumn id="7322" xr3:uid="{A0A4AE9B-AF2D-493B-AB98-09DC4BD377A3}" name="Column7311"/>
    <tableColumn id="7323" xr3:uid="{F151E391-6FBD-46C0-8F74-329747850AFC}" name="Column7312"/>
    <tableColumn id="7324" xr3:uid="{A1005B73-BCAD-4154-9C92-9B076F96C07F}" name="Column7313"/>
    <tableColumn id="7325" xr3:uid="{A9C20FD9-7B97-4E37-AE64-8EFDC0AAE891}" name="Column7314"/>
    <tableColumn id="7326" xr3:uid="{8A9F713F-86B8-4274-ABA6-0D98353B6AD6}" name="Column7315"/>
    <tableColumn id="7327" xr3:uid="{ABCFD16E-F680-4E13-975F-D10FC3AEE89D}" name="Column7316"/>
    <tableColumn id="7328" xr3:uid="{9F6DF42D-7A8E-40B5-8243-212D2395B2AE}" name="Column7317"/>
    <tableColumn id="7329" xr3:uid="{1E3AC91C-6729-42D0-9858-C336FE8015FF}" name="Column7318"/>
    <tableColumn id="7330" xr3:uid="{B9AA327A-B9F1-4F23-8643-C564964C501A}" name="Column7319"/>
    <tableColumn id="7331" xr3:uid="{E85F42D4-039D-4129-9F71-BE2A04932A67}" name="Column7320"/>
    <tableColumn id="7332" xr3:uid="{1695CFA2-C14A-46AD-AA1A-CC2B0B2F4307}" name="Column7321"/>
    <tableColumn id="7333" xr3:uid="{70410CDD-DDBF-431E-8045-B2EEEF97474F}" name="Column7322"/>
    <tableColumn id="7334" xr3:uid="{4BD78E7D-7250-4401-AED9-35B3A7D33161}" name="Column7323"/>
    <tableColumn id="7335" xr3:uid="{66A14C44-B951-4B61-8695-24580FAF882F}" name="Column7324"/>
    <tableColumn id="7336" xr3:uid="{6D64C291-65BA-4D7A-8102-025799893307}" name="Column7325"/>
    <tableColumn id="7337" xr3:uid="{E085972F-0F50-4594-8807-8915DEAC9187}" name="Column7326"/>
    <tableColumn id="7338" xr3:uid="{4B215D3F-54DC-4370-9C16-A013FA23E5CF}" name="Column7327"/>
    <tableColumn id="7339" xr3:uid="{EB1F6A29-20DA-4374-BA6B-4627029774FB}" name="Column7328"/>
    <tableColumn id="7340" xr3:uid="{DDEA97B3-98AB-417F-BB2B-31F722D4D407}" name="Column7329"/>
    <tableColumn id="7341" xr3:uid="{908E97E9-44EB-4275-A575-16D214AAE39F}" name="Column7330"/>
    <tableColumn id="7342" xr3:uid="{1C3ACFC0-3A38-4898-A8FD-542328BFAF7A}" name="Column7331"/>
    <tableColumn id="7343" xr3:uid="{A95897E6-372E-4F89-806F-087152B1B6F5}" name="Column7332"/>
    <tableColumn id="7344" xr3:uid="{F43A5332-5F04-4231-BBB6-180DE3642ABA}" name="Column7333"/>
    <tableColumn id="7345" xr3:uid="{33F3A73A-E7C2-4F4D-B4B1-94E4C093F541}" name="Column7334"/>
    <tableColumn id="7346" xr3:uid="{63F4D423-AC73-4681-AE94-BC100A92DEFD}" name="Column7335"/>
    <tableColumn id="7347" xr3:uid="{4AA96A86-19CC-4543-90F2-4D3351449E60}" name="Column7336"/>
    <tableColumn id="7348" xr3:uid="{395C4681-0DE8-44B0-A5FB-EA9F5CE98354}" name="Column7337"/>
    <tableColumn id="7349" xr3:uid="{0894560B-4982-4E56-9EAE-F8F95F72E7C4}" name="Column7338"/>
    <tableColumn id="7350" xr3:uid="{D94F86E5-A53B-465A-A6B5-F27D5C1F12C9}" name="Column7339"/>
    <tableColumn id="7351" xr3:uid="{BFA4D879-461A-423B-AAFB-7D793B6524AD}" name="Column7340"/>
    <tableColumn id="7352" xr3:uid="{347F726C-AFFF-49BA-B876-01F5CC75DEAD}" name="Column7341"/>
    <tableColumn id="7353" xr3:uid="{1F2A44AC-2AEC-40E6-BDDD-7FC8814D4D45}" name="Column7342"/>
    <tableColumn id="7354" xr3:uid="{1E2E0306-3022-4F90-A572-24F313D18D02}" name="Column7343"/>
    <tableColumn id="7355" xr3:uid="{301625F9-7C93-45DE-8B38-800A404E8CE8}" name="Column7344"/>
    <tableColumn id="7356" xr3:uid="{CC9F7A14-E72A-4D9F-86E2-67F27E071169}" name="Column7345"/>
    <tableColumn id="7357" xr3:uid="{E78A8892-9DB1-4075-A370-29EE76DCBC08}" name="Column7346"/>
    <tableColumn id="7358" xr3:uid="{D0922A54-9874-43D5-9161-A5E95397A10B}" name="Column7347"/>
    <tableColumn id="7359" xr3:uid="{D2457FFF-67D3-40BD-A4B1-6A643B40E1E7}" name="Column7348"/>
    <tableColumn id="7360" xr3:uid="{14F90746-7969-48FB-8358-0337E313B188}" name="Column7349"/>
    <tableColumn id="7361" xr3:uid="{55B48300-B9B8-45BD-AE57-636CC05385C2}" name="Column7350"/>
    <tableColumn id="7362" xr3:uid="{8A16D1AB-E3E9-4F09-A6AA-D9E0827D5812}" name="Column7351"/>
    <tableColumn id="7363" xr3:uid="{F771B952-E72D-4CE6-A301-146A75C4C454}" name="Column7352"/>
    <tableColumn id="7364" xr3:uid="{F4AAAB53-4814-4D76-99E5-9B155A539008}" name="Column7353"/>
    <tableColumn id="7365" xr3:uid="{AA24BCB2-AAFC-4DB6-87C1-5E6BC9CDDE19}" name="Column7354"/>
    <tableColumn id="7366" xr3:uid="{7B819777-A3C4-4227-B403-5FBFE6DB766C}" name="Column7355"/>
    <tableColumn id="7367" xr3:uid="{ABFFDD58-CBC1-4833-85A2-EA31819ED3CE}" name="Column7356"/>
    <tableColumn id="7368" xr3:uid="{05C8AA80-FB15-4AB3-BCDD-7EA1A21C078B}" name="Column7357"/>
    <tableColumn id="7369" xr3:uid="{97F48F3B-DC05-4EE3-9B10-5BCD8546A715}" name="Column7358"/>
    <tableColumn id="7370" xr3:uid="{F0FB97AF-2934-47A9-896E-5D2625DC6FC6}" name="Column7359"/>
    <tableColumn id="7371" xr3:uid="{F9E8BF0E-E154-4059-A85D-4FB2F68F0FA0}" name="Column7360"/>
    <tableColumn id="7372" xr3:uid="{426614C6-BF8D-415A-B394-F58B20AB9E1D}" name="Column7361"/>
    <tableColumn id="7373" xr3:uid="{52678B7B-7850-472E-ADD9-964ABF49F9F7}" name="Column7362"/>
    <tableColumn id="7374" xr3:uid="{958FEFF1-4AE9-4AF8-B1EC-52650DC9F2C4}" name="Column7363"/>
    <tableColumn id="7375" xr3:uid="{A47EAC66-C5A2-45EE-8D44-13269210E76A}" name="Column7364"/>
    <tableColumn id="7376" xr3:uid="{A0B2E186-8EA0-4F32-B223-D5EA04449473}" name="Column7365"/>
    <tableColumn id="7377" xr3:uid="{B92D544C-6794-40F7-A445-6A29A57FFE4F}" name="Column7366"/>
    <tableColumn id="7378" xr3:uid="{40F5CDF9-8BAD-41D0-9434-285F0953584A}" name="Column7367"/>
    <tableColumn id="7379" xr3:uid="{02CF6C47-F983-41A3-9CC0-9CFBD2C714D3}" name="Column7368"/>
    <tableColumn id="7380" xr3:uid="{815A18B3-11BB-4F01-9DA0-1609D803E651}" name="Column7369"/>
    <tableColumn id="7381" xr3:uid="{56773963-A6F0-40E5-B935-CFD8D5EEC08C}" name="Column7370"/>
    <tableColumn id="7382" xr3:uid="{E122495D-CE57-4B7B-9ABD-316AF67E218E}" name="Column7371"/>
    <tableColumn id="7383" xr3:uid="{BFBDE764-D3B8-4A7B-A182-966206F92BEF}" name="Column7372"/>
    <tableColumn id="7384" xr3:uid="{617FB6DE-471E-4FD2-909A-B95B21A7032F}" name="Column7373"/>
    <tableColumn id="7385" xr3:uid="{5D3116E9-486C-4F38-914F-C99928453F6A}" name="Column7374"/>
    <tableColumn id="7386" xr3:uid="{712AE1A4-6143-447F-A441-D2DB3F509E14}" name="Column7375"/>
    <tableColumn id="7387" xr3:uid="{6557C756-88F6-4CD5-BDB6-5B2A252632F0}" name="Column7376"/>
    <tableColumn id="7388" xr3:uid="{5D510820-7AAD-4C5A-A427-BE36619D9205}" name="Column7377"/>
    <tableColumn id="7389" xr3:uid="{B27170A7-D51D-4394-A9A5-66EC62AAA39B}" name="Column7378"/>
    <tableColumn id="7390" xr3:uid="{91C7C1E9-BA60-4034-AF19-042C906C308D}" name="Column7379"/>
    <tableColumn id="7391" xr3:uid="{EF35F161-88FE-4A80-836B-2A27C868929E}" name="Column7380"/>
    <tableColumn id="7392" xr3:uid="{C9F05DC7-06C1-4CF4-9B44-4E1CC08AF05E}" name="Column7381"/>
    <tableColumn id="7393" xr3:uid="{5877CDA4-64DB-4E20-B7D3-EF6A6B777DD5}" name="Column7382"/>
    <tableColumn id="7394" xr3:uid="{B8D31AD8-2F4D-4DAD-B846-90FEFD973E23}" name="Column7383"/>
    <tableColumn id="7395" xr3:uid="{8B315ECB-054C-460E-A69B-F4D835497E80}" name="Column7384"/>
    <tableColumn id="7396" xr3:uid="{57E7ACFB-A636-4E4C-A104-BF99966C099D}" name="Column7385"/>
    <tableColumn id="7397" xr3:uid="{1EE154D2-60F3-440D-9AD7-F0F818404452}" name="Column7386"/>
    <tableColumn id="7398" xr3:uid="{1EAC1948-DAD7-43E7-A338-9FE9CA194469}" name="Column7387"/>
    <tableColumn id="7399" xr3:uid="{A1791F2B-54C3-4BFF-A7CC-A969D99B3C7C}" name="Column7388"/>
    <tableColumn id="7400" xr3:uid="{6BCA9C28-6A5A-42E2-A1CD-086A2779F72F}" name="Column7389"/>
    <tableColumn id="7401" xr3:uid="{94C1B411-7BCF-4AEA-9342-31B86A1E515D}" name="Column7390"/>
    <tableColumn id="7402" xr3:uid="{4B5C17C0-5C70-4706-AC99-BE872C5BE0D0}" name="Column7391"/>
    <tableColumn id="7403" xr3:uid="{66607972-966D-4C58-8163-51862EC69E37}" name="Column7392"/>
    <tableColumn id="7404" xr3:uid="{C7D34189-76CD-4342-91D9-63525758271A}" name="Column7393"/>
    <tableColumn id="7405" xr3:uid="{A6C368DB-C45E-4056-B8E7-B44BD2DC0E3E}" name="Column7394"/>
    <tableColumn id="7406" xr3:uid="{F61EFA68-8721-4969-9241-DB53D07AF820}" name="Column7395"/>
    <tableColumn id="7407" xr3:uid="{C4151E12-47A1-491B-AA13-7405DFC6331A}" name="Column7396"/>
    <tableColumn id="7408" xr3:uid="{FA073FB4-0D01-4458-8F04-DD0BCB01081B}" name="Column7397"/>
    <tableColumn id="7409" xr3:uid="{518AE8FC-00F6-4157-9E46-4551824C4589}" name="Column7398"/>
    <tableColumn id="7410" xr3:uid="{521FF3DC-C84F-4736-8FEE-1CFC3E9C6F7A}" name="Column7399"/>
    <tableColumn id="7411" xr3:uid="{C23D82C5-0E9D-48C6-931D-F95D374DEF05}" name="Column7400"/>
    <tableColumn id="7412" xr3:uid="{1123EC7F-8BD4-4A59-9FD8-62449266A374}" name="Column7401"/>
    <tableColumn id="7413" xr3:uid="{263036C6-EE49-4A52-B18B-D8B6D5BD7706}" name="Column7402"/>
    <tableColumn id="7414" xr3:uid="{C2B773A4-D12B-4C89-A0ED-B69C2101F498}" name="Column7403"/>
    <tableColumn id="7415" xr3:uid="{38B37795-A58A-4715-9546-83FD901CFDED}" name="Column7404"/>
    <tableColumn id="7416" xr3:uid="{70119F2F-B624-44B9-8301-2C65B623351F}" name="Column7405"/>
    <tableColumn id="7417" xr3:uid="{C311085F-28E2-47A0-96FC-971459474E6C}" name="Column7406"/>
    <tableColumn id="7418" xr3:uid="{A3FD62E0-943F-46E4-9227-D9BBCC1918CA}" name="Column7407"/>
    <tableColumn id="7419" xr3:uid="{C9189E2A-F78B-46DC-B684-0F9B4E2B2F0D}" name="Column7408"/>
    <tableColumn id="7420" xr3:uid="{50F187DC-7D4E-46AB-997F-AF985E60CC65}" name="Column7409"/>
    <tableColumn id="7421" xr3:uid="{51D11BB9-C139-4AE3-8407-1D644D94FB08}" name="Column7410"/>
    <tableColumn id="7422" xr3:uid="{69A4914A-276E-46F7-B324-E16FF6331EC5}" name="Column7411"/>
    <tableColumn id="7423" xr3:uid="{91DBE82B-54A1-4795-AC5A-EC79FB1FE0DE}" name="Column7412"/>
    <tableColumn id="7424" xr3:uid="{C508CA6C-E341-4332-BFFD-44BB4A48B449}" name="Column7413"/>
    <tableColumn id="7425" xr3:uid="{8FA8C2DC-3E98-4D4A-8DA7-7725589D19D2}" name="Column7414"/>
    <tableColumn id="7426" xr3:uid="{7FE80913-2781-41E4-B697-C9B916E0FB8F}" name="Column7415"/>
    <tableColumn id="7427" xr3:uid="{9BDC2C11-041C-4B96-8AAA-5C3C669FD46D}" name="Column7416"/>
    <tableColumn id="7428" xr3:uid="{B6C6D7FC-7262-4A1F-A1F7-5138BBC3A021}" name="Column7417"/>
    <tableColumn id="7429" xr3:uid="{3BC11ABC-C866-4F1A-BBB9-4ECB9D289535}" name="Column7418"/>
    <tableColumn id="7430" xr3:uid="{7A44D346-13A7-4F5B-8F3E-C1339524AA54}" name="Column7419"/>
    <tableColumn id="7431" xr3:uid="{238C72FD-DACC-4326-831C-0AF9AD0ED9FF}" name="Column7420"/>
    <tableColumn id="7432" xr3:uid="{0C3798F5-4780-43A3-AA2A-BECEBCFC2362}" name="Column7421"/>
    <tableColumn id="7433" xr3:uid="{0752A552-9A51-4252-9E99-B36BADFEFF14}" name="Column7422"/>
    <tableColumn id="7434" xr3:uid="{0BFE5D60-339B-47EA-9353-1281A29C9F3E}" name="Column7423"/>
    <tableColumn id="7435" xr3:uid="{15AABEFF-1256-4162-8C51-D382600F13EE}" name="Column7424"/>
    <tableColumn id="7436" xr3:uid="{C638F1DE-D8CC-427E-B9F3-86874AB783CA}" name="Column7425"/>
    <tableColumn id="7437" xr3:uid="{B4730924-B403-46EC-B0E6-4E6134DEAB18}" name="Column7426"/>
    <tableColumn id="7438" xr3:uid="{0927F604-0A92-4E22-B1E8-AED37D48E00A}" name="Column7427"/>
    <tableColumn id="7439" xr3:uid="{2E2BC733-4AC5-4789-A8CF-0276A13CD2A0}" name="Column7428"/>
    <tableColumn id="7440" xr3:uid="{6579B25C-21FA-48DB-AF12-11910B6D932C}" name="Column7429"/>
    <tableColumn id="7441" xr3:uid="{F624B277-DE7B-4779-A891-B7268741DBEB}" name="Column7430"/>
    <tableColumn id="7442" xr3:uid="{514311DD-A17C-4C19-BA75-00ACEBD59A67}" name="Column7431"/>
    <tableColumn id="7443" xr3:uid="{6ADE35EA-F379-428B-85AC-D50D1C78635D}" name="Column7432"/>
    <tableColumn id="7444" xr3:uid="{265767FB-39D4-4992-B05E-EC46C2C84BF7}" name="Column7433"/>
    <tableColumn id="7445" xr3:uid="{C4ADDF22-89DD-48F0-9921-D350E1A6EE12}" name="Column7434"/>
    <tableColumn id="7446" xr3:uid="{3845D261-6079-494D-9C43-7FC6CA2014DD}" name="Column7435"/>
    <tableColumn id="7447" xr3:uid="{A08D7EA5-12A3-4A32-A914-EABFE4218918}" name="Column7436"/>
    <tableColumn id="7448" xr3:uid="{643C5121-83D0-4346-AE61-F11E3D15D875}" name="Column7437"/>
    <tableColumn id="7449" xr3:uid="{3B80C2FF-DCFF-4F76-A01B-F9FB8C21FD57}" name="Column7438"/>
    <tableColumn id="7450" xr3:uid="{89CC8A6D-225E-4A97-AA5F-1F7303F2E6D2}" name="Column7439"/>
    <tableColumn id="7451" xr3:uid="{16B9B657-366B-4E96-936E-840A6ECAB55F}" name="Column7440"/>
    <tableColumn id="7452" xr3:uid="{434DCFFB-711D-4076-9A88-0FEEF0DA3B35}" name="Column7441"/>
    <tableColumn id="7453" xr3:uid="{AB151B2C-E3AC-4D75-8073-5BEA90C59177}" name="Column7442"/>
    <tableColumn id="7454" xr3:uid="{C20B71ED-05A5-4F2E-9F7F-46253DD625EF}" name="Column7443"/>
    <tableColumn id="7455" xr3:uid="{D3D9B0F3-0D2F-41D0-B537-0E7BDF63DD2E}" name="Column7444"/>
    <tableColumn id="7456" xr3:uid="{44729EED-B169-4375-BC1A-F07E9D3525E2}" name="Column7445"/>
    <tableColumn id="7457" xr3:uid="{9ED67FAE-8FFD-4136-92F4-5FBB001E5FA5}" name="Column7446"/>
    <tableColumn id="7458" xr3:uid="{4EB08815-621B-46C3-964F-19F747CF452B}" name="Column7447"/>
    <tableColumn id="7459" xr3:uid="{F0700628-F9BA-4EF7-A841-BB46ACF0A37B}" name="Column7448"/>
    <tableColumn id="7460" xr3:uid="{3B2D9753-0D32-4F39-BB1E-BD855821FFB9}" name="Column7449"/>
    <tableColumn id="7461" xr3:uid="{8A91B4DC-7DF8-45CF-A925-55C08C905989}" name="Column7450"/>
    <tableColumn id="7462" xr3:uid="{1324D1E7-B897-4B42-A8EA-470BCFAF4D05}" name="Column7451"/>
    <tableColumn id="7463" xr3:uid="{420366FE-5B27-403B-8E30-E7544880915D}" name="Column7452"/>
    <tableColumn id="7464" xr3:uid="{2FFB6F82-183C-4D00-AF6D-92599BF475A0}" name="Column7453"/>
    <tableColumn id="7465" xr3:uid="{7269E422-64D8-4D13-A704-7032E2442DB9}" name="Column7454"/>
    <tableColumn id="7466" xr3:uid="{4D6F5A3E-42E2-4B35-BA54-A7F64648DC82}" name="Column7455"/>
    <tableColumn id="7467" xr3:uid="{0F2F2718-0D48-4AA1-BB61-BE544C23D7B7}" name="Column7456"/>
    <tableColumn id="7468" xr3:uid="{8964D714-3A66-4C37-A41C-5472C9529641}" name="Column7457"/>
    <tableColumn id="7469" xr3:uid="{002B54E2-EE36-4046-8462-EE3826547C18}" name="Column7458"/>
    <tableColumn id="7470" xr3:uid="{19FB660A-C77E-45C7-9CDB-00FBABCE6523}" name="Column7459"/>
    <tableColumn id="7471" xr3:uid="{3D69F9E9-E423-4449-ADA8-191B70B1EAB8}" name="Column7460"/>
    <tableColumn id="7472" xr3:uid="{CC98E45C-1B68-4038-95F6-7F1D9786865B}" name="Column7461"/>
    <tableColumn id="7473" xr3:uid="{28982005-EB7D-4D84-8BC2-40D38FE94E3F}" name="Column7462"/>
    <tableColumn id="7474" xr3:uid="{D94FC89A-B9DD-42C0-9F61-59BAA564B309}" name="Column7463"/>
    <tableColumn id="7475" xr3:uid="{5A6BF01F-92D5-441F-B7CD-BBEA4C4E42C7}" name="Column7464"/>
    <tableColumn id="7476" xr3:uid="{7C8B191E-CB9C-424E-A93C-983A4740FD88}" name="Column7465"/>
    <tableColumn id="7477" xr3:uid="{DFFB20DA-1F35-4475-8F03-948CDDDEC7DE}" name="Column7466"/>
    <tableColumn id="7478" xr3:uid="{DC78433C-36C9-491E-BA04-13DF81CB030B}" name="Column7467"/>
    <tableColumn id="7479" xr3:uid="{40A9D1A3-797E-494D-B6C2-4E0AF097A0CF}" name="Column7468"/>
    <tableColumn id="7480" xr3:uid="{E4C2A4C4-1400-41FE-A95A-64BCA5D5FC06}" name="Column7469"/>
    <tableColumn id="7481" xr3:uid="{14D33A7A-7ADB-4E24-A75C-C4F802391A25}" name="Column7470"/>
    <tableColumn id="7482" xr3:uid="{20490A78-4835-4599-9DD0-C4A205E0F44D}" name="Column7471"/>
    <tableColumn id="7483" xr3:uid="{37AE526A-008C-4D33-9A8C-9277D2F8FA26}" name="Column7472"/>
    <tableColumn id="7484" xr3:uid="{F2EC1C7A-03DD-4184-A6D6-FE034ECBB7D1}" name="Column7473"/>
    <tableColumn id="7485" xr3:uid="{D396319D-D908-4D92-B8B9-69EBF12E1939}" name="Column7474"/>
    <tableColumn id="7486" xr3:uid="{8954EA8B-3B3F-44E6-ACF2-65B0C7899CFA}" name="Column7475"/>
    <tableColumn id="7487" xr3:uid="{3B4C3193-53C1-4B17-AE20-7211397FEF1F}" name="Column7476"/>
    <tableColumn id="7488" xr3:uid="{7A0D27C4-C79F-4FC5-B914-12A70DAAB1E8}" name="Column7477"/>
    <tableColumn id="7489" xr3:uid="{0A2BF760-B631-4170-B6C1-02A57E6EF2CD}" name="Column7478"/>
    <tableColumn id="7490" xr3:uid="{3473B9D7-7861-44D1-B82D-BA37EB515F0E}" name="Column7479"/>
    <tableColumn id="7491" xr3:uid="{87862065-B35E-49BC-9D7F-CD6F6E29C28C}" name="Column7480"/>
    <tableColumn id="7492" xr3:uid="{DEE23A75-C8A2-4FBE-B29A-21E8BEB7569A}" name="Column7481"/>
    <tableColumn id="7493" xr3:uid="{8A2EF48D-7701-484A-B2DE-9C5D8B5CB961}" name="Column7482"/>
    <tableColumn id="7494" xr3:uid="{068CF1BE-3847-4651-ADC7-6EA61D02961F}" name="Column7483"/>
    <tableColumn id="7495" xr3:uid="{BC1E12DC-903D-48C2-9246-252D120B2BD1}" name="Column7484"/>
    <tableColumn id="7496" xr3:uid="{6D846A9B-D20E-4749-B1A9-BB31057DEA39}" name="Column7485"/>
    <tableColumn id="7497" xr3:uid="{96ADD732-EA9A-4E1A-A6E9-4F3DD223DC6B}" name="Column7486"/>
    <tableColumn id="7498" xr3:uid="{7E460133-0662-4820-AC71-DE533FDCB43E}" name="Column7487"/>
    <tableColumn id="7499" xr3:uid="{1C6C973F-2EAA-4420-B2BE-AB544A788B23}" name="Column7488"/>
    <tableColumn id="7500" xr3:uid="{D0FF677B-42AC-406E-ADA3-9A8AC133BB1C}" name="Column7489"/>
    <tableColumn id="7501" xr3:uid="{4A589C03-619C-4C46-BD77-600DF83DDCF6}" name="Column7490"/>
    <tableColumn id="7502" xr3:uid="{6A0042B9-C940-40A1-BB73-D74517EEEC05}" name="Column7491"/>
    <tableColumn id="7503" xr3:uid="{B3D71198-7425-4A93-A645-F7399385657C}" name="Column7492"/>
    <tableColumn id="7504" xr3:uid="{E288428E-C1E0-446C-9F4E-98932F5E6E09}" name="Column7493"/>
    <tableColumn id="7505" xr3:uid="{89540230-301E-4738-AD65-64DB67F17F54}" name="Column7494"/>
    <tableColumn id="7506" xr3:uid="{0FE26E02-5B39-4536-BD00-940B90E5A6DC}" name="Column7495"/>
    <tableColumn id="7507" xr3:uid="{F8DE2681-33DF-4E76-8949-6A2321EF595B}" name="Column7496"/>
    <tableColumn id="7508" xr3:uid="{4DF5136D-A142-4F3D-96A6-D20E022B5DDD}" name="Column7497"/>
    <tableColumn id="7509" xr3:uid="{A6304C3A-7ABE-4D3B-AC8F-A6F01737CF82}" name="Column7498"/>
    <tableColumn id="7510" xr3:uid="{698CC99D-1350-492F-A6C8-0A463DEB7E6F}" name="Column7499"/>
    <tableColumn id="7511" xr3:uid="{E4B4FD02-C9D3-44D9-B48A-D34DAEE0EE77}" name="Column7500"/>
    <tableColumn id="7512" xr3:uid="{0B010B42-4BBF-4A9E-B3A3-7A972209B331}" name="Column7501"/>
    <tableColumn id="7513" xr3:uid="{2972B3EB-1486-45C0-B4E4-6FA43C88D886}" name="Column7502"/>
    <tableColumn id="7514" xr3:uid="{97716B33-9323-4AEA-8617-3822BC1F735A}" name="Column7503"/>
    <tableColumn id="7515" xr3:uid="{328EB849-00F1-4D3F-96D9-300915043FE0}" name="Column7504"/>
    <tableColumn id="7516" xr3:uid="{5ACF8EC1-2954-482E-8FD6-9C6A481A6BB9}" name="Column7505"/>
    <tableColumn id="7517" xr3:uid="{4901ED4B-89B5-405C-9673-9C055B7D5679}" name="Column7506"/>
    <tableColumn id="7518" xr3:uid="{34EDD33B-DB48-4CD6-9141-460226BE6208}" name="Column7507"/>
    <tableColumn id="7519" xr3:uid="{7CDD1BBA-713F-45D1-9D98-DBEB2415D508}" name="Column7508"/>
    <tableColumn id="7520" xr3:uid="{ECCFDAA9-8FC4-459C-B362-D19C374BB5D5}" name="Column7509"/>
    <tableColumn id="7521" xr3:uid="{10974416-243D-45F3-8519-34B18E9CB4EE}" name="Column7510"/>
    <tableColumn id="7522" xr3:uid="{4E4F0755-A5A8-4F2F-9FB2-0E6E0FE464A9}" name="Column7511"/>
    <tableColumn id="7523" xr3:uid="{EC944378-ED16-4D07-B6EA-BE2A7EB31703}" name="Column7512"/>
    <tableColumn id="7524" xr3:uid="{B377174E-0112-40EF-9E90-31E895D623AE}" name="Column7513"/>
    <tableColumn id="7525" xr3:uid="{760075B5-A66A-4A4B-89E3-E854B9D8F7DE}" name="Column7514"/>
    <tableColumn id="7526" xr3:uid="{42364FE4-BB86-4E30-89DB-E0985BE4E6F8}" name="Column7515"/>
    <tableColumn id="7527" xr3:uid="{5FCF51AB-88F7-4FB3-A722-D778AE815263}" name="Column7516"/>
    <tableColumn id="7528" xr3:uid="{7D6046DB-6217-4364-8E60-66813AF98208}" name="Column7517"/>
    <tableColumn id="7529" xr3:uid="{00CC43C7-8D49-4CEB-9FDE-13FA44340D98}" name="Column7518"/>
    <tableColumn id="7530" xr3:uid="{A6FD115F-82CB-459F-BCB9-F5A5CE335DED}" name="Column7519"/>
    <tableColumn id="7531" xr3:uid="{434EB716-7DC5-4FE7-9F30-182A27033494}" name="Column7520"/>
    <tableColumn id="7532" xr3:uid="{E3117E49-D8FA-468E-97B7-355F50A5391F}" name="Column7521"/>
    <tableColumn id="7533" xr3:uid="{F73FEA36-A9D8-4EB3-A533-A1067087549B}" name="Column7522"/>
    <tableColumn id="7534" xr3:uid="{A42A45A2-5BF3-4BF1-8BF6-55205F497F7A}" name="Column7523"/>
    <tableColumn id="7535" xr3:uid="{B1A4B4F4-1FE9-4099-AC4E-7E96280AE46F}" name="Column7524"/>
    <tableColumn id="7536" xr3:uid="{0B45CF64-8EB5-46A1-BEFA-981EDC5FD972}" name="Column7525"/>
    <tableColumn id="7537" xr3:uid="{3CCB2CAC-208E-40D5-B4ED-F499F99CAA73}" name="Column7526"/>
    <tableColumn id="7538" xr3:uid="{8861DA38-B713-4CA9-91F6-D39FE02B5034}" name="Column7527"/>
    <tableColumn id="7539" xr3:uid="{418B6ABB-A287-458A-9CD7-D78AF2DED93D}" name="Column7528"/>
    <tableColumn id="7540" xr3:uid="{D606F6BA-932D-4B97-B1B9-DA21F725F754}" name="Column7529"/>
    <tableColumn id="7541" xr3:uid="{455E721B-D293-4A53-BB40-56FCFC7988F0}" name="Column7530"/>
    <tableColumn id="7542" xr3:uid="{15BBA530-FF66-4DD6-B655-5AED57BEAC7D}" name="Column7531"/>
    <tableColumn id="7543" xr3:uid="{B7BA6BFD-7431-4008-8EA8-78B2E3F6B8A9}" name="Column7532"/>
    <tableColumn id="7544" xr3:uid="{D437ED37-E230-4E1A-A72E-BD2132CF7CFC}" name="Column7533"/>
    <tableColumn id="7545" xr3:uid="{B015CD84-327A-414D-AD26-CD723453FDE0}" name="Column7534"/>
    <tableColumn id="7546" xr3:uid="{A5A7F752-62A1-4C12-B598-1F081CF20DA6}" name="Column7535"/>
    <tableColumn id="7547" xr3:uid="{8DED4276-4BA5-4F49-8064-1BEC29E9C091}" name="Column7536"/>
    <tableColumn id="7548" xr3:uid="{B145AE2D-78DA-4368-9664-AC5C46F3762F}" name="Column7537"/>
    <tableColumn id="7549" xr3:uid="{A192669D-213C-40E8-89E7-B3EC7AB1A4C4}" name="Column7538"/>
    <tableColumn id="7550" xr3:uid="{A9D70901-0846-49AE-80BA-3322DE519B32}" name="Column7539"/>
    <tableColumn id="7551" xr3:uid="{E9186F7C-8811-4B49-A2FF-D51B3EB96758}" name="Column7540"/>
    <tableColumn id="7552" xr3:uid="{2B251801-7AFC-4A48-B258-9F5BED29B2A4}" name="Column7541"/>
    <tableColumn id="7553" xr3:uid="{3744A198-2C47-4CE4-87AE-339A0A99D94A}" name="Column7542"/>
    <tableColumn id="7554" xr3:uid="{E6ECBCE6-30CD-4432-BB4C-19004AC8F36B}" name="Column7543"/>
    <tableColumn id="7555" xr3:uid="{6A28B2EE-BBB4-45DD-8E84-9D865AC10908}" name="Column7544"/>
    <tableColumn id="7556" xr3:uid="{AAC0073D-9A2E-454F-9926-F6B8B17FC315}" name="Column7545"/>
    <tableColumn id="7557" xr3:uid="{82E807B8-2819-4070-A4FB-542471452F2D}" name="Column7546"/>
    <tableColumn id="7558" xr3:uid="{D1013289-6817-4FB9-915B-31A3DD208AF4}" name="Column7547"/>
    <tableColumn id="7559" xr3:uid="{42AB50E7-F6A5-4EF5-9F68-6E2094CBD3ED}" name="Column7548"/>
    <tableColumn id="7560" xr3:uid="{91DB01A3-D6E6-4E59-B364-CDFEB2CA7A1B}" name="Column7549"/>
    <tableColumn id="7561" xr3:uid="{B3C906AE-CCDC-4796-8C73-00CC47F3A6CB}" name="Column7550"/>
    <tableColumn id="7562" xr3:uid="{D5D142E5-F104-4AE1-99D5-4DDA1F48CDF4}" name="Column7551"/>
    <tableColumn id="7563" xr3:uid="{E813AFC4-20D3-4E74-85A0-DC5F377FBFA6}" name="Column7552"/>
    <tableColumn id="7564" xr3:uid="{C8594A57-AC60-4187-B4A6-1383FC12552A}" name="Column7553"/>
    <tableColumn id="7565" xr3:uid="{5E7B83FD-C588-4DF5-96D5-FFA7484EA992}" name="Column7554"/>
    <tableColumn id="7566" xr3:uid="{448A27B6-B67D-48B8-9405-422E4125A2E2}" name="Column7555"/>
    <tableColumn id="7567" xr3:uid="{4D75797C-171A-4286-A6B7-29BF7AC42CE6}" name="Column7556"/>
    <tableColumn id="7568" xr3:uid="{BE76629D-FE73-498E-8EA3-23FF1951EE1B}" name="Column7557"/>
    <tableColumn id="7569" xr3:uid="{61298B73-40E4-4B5A-8D99-D316E64560CB}" name="Column7558"/>
    <tableColumn id="7570" xr3:uid="{70E4D197-038E-4DF3-A9D7-28D46DB410CB}" name="Column7559"/>
    <tableColumn id="7571" xr3:uid="{B841B9E9-BEA0-4A47-BCF9-E200E579D1D8}" name="Column7560"/>
    <tableColumn id="7572" xr3:uid="{6872B0B2-610D-42EB-84AD-767C2AC108AA}" name="Column7561"/>
    <tableColumn id="7573" xr3:uid="{92C8E013-B5B2-4DE1-BD0F-D8DF5954C75A}" name="Column7562"/>
    <tableColumn id="7574" xr3:uid="{4197BE54-8667-4E88-8A15-339F68F23710}" name="Column7563"/>
    <tableColumn id="7575" xr3:uid="{9D9DABF8-0630-47A3-9F43-D2D75FEDA6CE}" name="Column7564"/>
    <tableColumn id="7576" xr3:uid="{D765AEB9-C158-4BDC-9744-EFD315C3E873}" name="Column7565"/>
    <tableColumn id="7577" xr3:uid="{599D0D25-2858-4156-AA4C-4C9159F737FB}" name="Column7566"/>
    <tableColumn id="7578" xr3:uid="{D3BB23E5-0F1A-4EBB-AF89-A3C75CAB2B1F}" name="Column7567"/>
    <tableColumn id="7579" xr3:uid="{D92F6225-1EA5-4902-960F-C9EC8BEE0230}" name="Column7568"/>
    <tableColumn id="7580" xr3:uid="{DF6537AB-B41B-4B51-AAF1-1093076496DF}" name="Column7569"/>
    <tableColumn id="7581" xr3:uid="{1FA07E40-822D-48E5-8D21-1517C82353D5}" name="Column7570"/>
    <tableColumn id="7582" xr3:uid="{867E7D75-2698-4C4D-96E4-A1F1644EAD4F}" name="Column7571"/>
    <tableColumn id="7583" xr3:uid="{070199C1-5BFF-43AC-BD3A-9834F97FF4CC}" name="Column7572"/>
    <tableColumn id="7584" xr3:uid="{D5369B64-5A50-4DEC-BA1F-FE49C7A1DC1D}" name="Column7573"/>
    <tableColumn id="7585" xr3:uid="{37CF230D-9082-4AAB-A201-3259A6B6368E}" name="Column7574"/>
    <tableColumn id="7586" xr3:uid="{D8E21CD6-F1C1-4E2E-90C4-EEEC37519B1C}" name="Column7575"/>
    <tableColumn id="7587" xr3:uid="{ABC1CA8B-3A89-4640-B747-FFF7B333C937}" name="Column7576"/>
    <tableColumn id="7588" xr3:uid="{D82AD648-A531-430F-AD85-8915D571C86D}" name="Column7577"/>
    <tableColumn id="7589" xr3:uid="{23142C51-7353-42E6-86CE-836D5AAFE492}" name="Column7578"/>
    <tableColumn id="7590" xr3:uid="{A6B011AF-C387-4DB2-95AB-070674DEFB57}" name="Column7579"/>
    <tableColumn id="7591" xr3:uid="{7F19E257-7533-4FE7-B5BB-3D6129109FDB}" name="Column7580"/>
    <tableColumn id="7592" xr3:uid="{D7448BF8-D7B4-4940-8B07-8B0843082C3F}" name="Column7581"/>
    <tableColumn id="7593" xr3:uid="{A5A7DC34-6F0C-4A5F-9BF7-548426D4698D}" name="Column7582"/>
    <tableColumn id="7594" xr3:uid="{6E45FD8D-8F04-4C23-9C0A-1129C79A893F}" name="Column7583"/>
    <tableColumn id="7595" xr3:uid="{131D0EE6-9122-4DA9-A244-A3CBAAC3E2F8}" name="Column7584"/>
    <tableColumn id="7596" xr3:uid="{8CBF59C9-EC29-4FD3-A68E-7F458E423BCA}" name="Column7585"/>
    <tableColumn id="7597" xr3:uid="{2BD87AEF-F6F9-45D2-AABD-2C23655FB144}" name="Column7586"/>
    <tableColumn id="7598" xr3:uid="{6B1D2C70-40FD-4BC4-8CA1-996720ED2645}" name="Column7587"/>
    <tableColumn id="7599" xr3:uid="{8EA03BE5-E1F2-401F-AE6B-BADC0B35B25C}" name="Column7588"/>
    <tableColumn id="7600" xr3:uid="{1D75A693-9F1F-45F0-BA79-8A381D567509}" name="Column7589"/>
    <tableColumn id="7601" xr3:uid="{D26199E9-45D5-438B-A6D8-46614D3FF279}" name="Column7590"/>
    <tableColumn id="7602" xr3:uid="{44106A71-06F4-4838-B88F-6D3D9A4EAC8E}" name="Column7591"/>
    <tableColumn id="7603" xr3:uid="{CBF2561A-AC0A-4B0B-BF7C-EB28096676BF}" name="Column7592"/>
    <tableColumn id="7604" xr3:uid="{60943DF5-9FC7-4582-B067-068ECDF1F6B4}" name="Column7593"/>
    <tableColumn id="7605" xr3:uid="{88E664FD-C0DE-4F7C-B14C-F034EFD3C32B}" name="Column7594"/>
    <tableColumn id="7606" xr3:uid="{DFDF3205-76B7-44D5-8183-49516D5FE81D}" name="Column7595"/>
    <tableColumn id="7607" xr3:uid="{15272BE1-C478-4DB3-84F3-0FB45CE8A05D}" name="Column7596"/>
    <tableColumn id="7608" xr3:uid="{B6EC423C-E01A-4510-B71C-EC14D5DAE367}" name="Column7597"/>
    <tableColumn id="7609" xr3:uid="{7F74154A-D779-40EC-8C6F-B6C5E969664F}" name="Column7598"/>
    <tableColumn id="7610" xr3:uid="{64423E5C-44A5-4339-8C5E-655C7B4BA3DC}" name="Column7599"/>
    <tableColumn id="7611" xr3:uid="{D0397AD9-411E-4A5F-93F3-59B8AAEF11CB}" name="Column7600"/>
    <tableColumn id="7612" xr3:uid="{4C615991-87AD-4626-BC6B-51C7E949DF6F}" name="Column7601"/>
    <tableColumn id="7613" xr3:uid="{36AB3897-5C99-438C-890F-E13FFCF1C55F}" name="Column7602"/>
    <tableColumn id="7614" xr3:uid="{D44F60F4-9946-453E-8AAD-C16647CE11BE}" name="Column7603"/>
    <tableColumn id="7615" xr3:uid="{ACBF40BC-5B40-484E-964C-FD5EA118BBEC}" name="Column7604"/>
    <tableColumn id="7616" xr3:uid="{18575557-7F1E-4F00-A111-D9B9D187E65C}" name="Column7605"/>
    <tableColumn id="7617" xr3:uid="{7DC719AA-593B-4D03-AF74-118CAD795DB3}" name="Column7606"/>
    <tableColumn id="7618" xr3:uid="{9AB2DCF8-CC2B-4E32-9840-0C50ED311D85}" name="Column7607"/>
    <tableColumn id="7619" xr3:uid="{21A83ED3-8A3D-4965-90FD-71C8444BF09F}" name="Column7608"/>
    <tableColumn id="7620" xr3:uid="{EB71AEB0-876D-4395-AF91-4A4F1BAAF5A6}" name="Column7609"/>
    <tableColumn id="7621" xr3:uid="{E9658700-00E7-4903-8238-54B1A8969ED8}" name="Column7610"/>
    <tableColumn id="7622" xr3:uid="{8EAC1C44-3359-4E33-A54B-D4B5DC0C2521}" name="Column7611"/>
    <tableColumn id="7623" xr3:uid="{910D5BB0-162E-4111-BEBA-6AE092B26ABF}" name="Column7612"/>
    <tableColumn id="7624" xr3:uid="{36F8F846-24F6-455A-AEEB-273F7FFE9008}" name="Column7613"/>
    <tableColumn id="7625" xr3:uid="{615921BD-7F81-46BE-B705-DF148A7564BB}" name="Column7614"/>
    <tableColumn id="7626" xr3:uid="{5B05A955-A73E-47FF-B99C-9C3CB69707D4}" name="Column7615"/>
    <tableColumn id="7627" xr3:uid="{20DCDCFE-CD39-4F9A-BA37-615F973AA97C}" name="Column7616"/>
    <tableColumn id="7628" xr3:uid="{B84E0C6B-4842-413B-8E4D-2479D6D4D4E2}" name="Column7617"/>
    <tableColumn id="7629" xr3:uid="{0CA7F9C0-67D7-414F-94E2-D86EC1262175}" name="Column7618"/>
    <tableColumn id="7630" xr3:uid="{A2A10F58-B9F0-4B4A-946D-80A8BA9D9589}" name="Column7619"/>
    <tableColumn id="7631" xr3:uid="{3398A51F-7EFB-4D18-8B67-D23A5CA22990}" name="Column7620"/>
    <tableColumn id="7632" xr3:uid="{30F7BAF8-5F6C-473B-A75A-E1949AFF7426}" name="Column7621"/>
    <tableColumn id="7633" xr3:uid="{701243D3-6614-4A00-879F-6272138FE7DD}" name="Column7622"/>
    <tableColumn id="7634" xr3:uid="{77957152-E80C-46F5-A0FF-67A9CF172A52}" name="Column7623"/>
    <tableColumn id="7635" xr3:uid="{7EF7EFB1-70C2-4545-9E90-3A50930C3740}" name="Column7624"/>
    <tableColumn id="7636" xr3:uid="{8693F54F-626D-45B1-B22B-0947D565ACC0}" name="Column7625"/>
    <tableColumn id="7637" xr3:uid="{2493BA01-8375-45B2-A49D-35A0152615E8}" name="Column7626"/>
    <tableColumn id="7638" xr3:uid="{C30D208B-DB80-45CA-A04E-06DCCE2B5D08}" name="Column7627"/>
    <tableColumn id="7639" xr3:uid="{CFB471DC-B3EB-414B-9218-07719065ED6D}" name="Column7628"/>
    <tableColumn id="7640" xr3:uid="{7D58E04B-8829-477F-955D-B33255D90880}" name="Column7629"/>
    <tableColumn id="7641" xr3:uid="{6713C6C6-5AD1-4295-B5BE-D6FA5206F0E6}" name="Column7630"/>
    <tableColumn id="7642" xr3:uid="{4B1F89A5-AA0A-41AF-B532-B28454080E86}" name="Column7631"/>
    <tableColumn id="7643" xr3:uid="{BABDA430-2DCF-4D26-B77F-1179306AA4F2}" name="Column7632"/>
    <tableColumn id="7644" xr3:uid="{5CDC8D70-510F-4CDC-A37A-DECAEFC62CAA}" name="Column7633"/>
    <tableColumn id="7645" xr3:uid="{37AFF190-5581-4331-9990-877AC701BCB4}" name="Column7634"/>
    <tableColumn id="7646" xr3:uid="{6DA5DF8C-9122-4972-97A4-6A07DAE6660C}" name="Column7635"/>
    <tableColumn id="7647" xr3:uid="{1FD6984C-1ABE-4B9E-8C3D-12051361138C}" name="Column7636"/>
    <tableColumn id="7648" xr3:uid="{AD76C5E1-09DA-4F1C-A119-6FB2A5DF9FBA}" name="Column7637"/>
    <tableColumn id="7649" xr3:uid="{75C589C0-F4C5-4FB2-9F6B-FFF4DEC3CAA1}" name="Column7638"/>
    <tableColumn id="7650" xr3:uid="{F1949257-A6FF-414F-BB56-A6DDD915871E}" name="Column7639"/>
    <tableColumn id="7651" xr3:uid="{F1C88640-B56D-4982-9C74-6729074C5D85}" name="Column7640"/>
    <tableColumn id="7652" xr3:uid="{5BBF325E-7B4E-4003-A4ED-9664994F34C5}" name="Column7641"/>
    <tableColumn id="7653" xr3:uid="{04E61E10-F208-4E36-A652-1E5107B2F53D}" name="Column7642"/>
    <tableColumn id="7654" xr3:uid="{54B15920-DE7B-4B3C-9800-7E1A903930A0}" name="Column7643"/>
    <tableColumn id="7655" xr3:uid="{2410348A-1081-41CC-B92C-887AE7B617A7}" name="Column7644"/>
    <tableColumn id="7656" xr3:uid="{889C170B-EF1A-4F51-824E-A47058E8F521}" name="Column7645"/>
    <tableColumn id="7657" xr3:uid="{53E7E2D9-B819-488F-B322-0852B9851537}" name="Column7646"/>
    <tableColumn id="7658" xr3:uid="{7735FAEF-6699-4B1A-A4DC-14CCE742339E}" name="Column7647"/>
    <tableColumn id="7659" xr3:uid="{944706BE-B701-425F-B829-7A640491B8B8}" name="Column7648"/>
    <tableColumn id="7660" xr3:uid="{ECD52273-2D68-4C0F-A291-A87CBAABF2CC}" name="Column7649"/>
    <tableColumn id="7661" xr3:uid="{306225F5-2291-498C-8B7B-A22AE0AE02D9}" name="Column7650"/>
    <tableColumn id="7662" xr3:uid="{D0A14A1B-6F01-4887-BF6E-1B02AE12914C}" name="Column7651"/>
    <tableColumn id="7663" xr3:uid="{8ADF5B9A-96CD-4641-8FDB-82AC1F1F40A4}" name="Column7652"/>
    <tableColumn id="7664" xr3:uid="{7DDECAB2-6662-4569-95BD-AE6B7EA82F59}" name="Column7653"/>
    <tableColumn id="7665" xr3:uid="{64F81AAF-A29B-4A6B-BBD4-28954D8B722F}" name="Column7654"/>
    <tableColumn id="7666" xr3:uid="{93172661-00C4-40BD-BFAC-06E46AEE1906}" name="Column7655"/>
    <tableColumn id="7667" xr3:uid="{9303CE4B-79AF-4D9E-ABC0-22D6E4F505D5}" name="Column7656"/>
    <tableColumn id="7668" xr3:uid="{A1B39AED-C37E-47DA-9C03-B97163DFC110}" name="Column7657"/>
    <tableColumn id="7669" xr3:uid="{9BB45837-AA38-4EDC-956B-E87D3A17426B}" name="Column7658"/>
    <tableColumn id="7670" xr3:uid="{C3D550DE-E408-47B7-B0B9-58AC6122A63A}" name="Column7659"/>
    <tableColumn id="7671" xr3:uid="{32CDCBD4-76A7-4029-9AA4-D011B02AE124}" name="Column7660"/>
    <tableColumn id="7672" xr3:uid="{6EC809D9-0F4E-4AB3-B7D0-C0CA516C2A51}" name="Column7661"/>
    <tableColumn id="7673" xr3:uid="{754AA4AF-6454-48F1-A7D5-08983E742EF0}" name="Column7662"/>
    <tableColumn id="7674" xr3:uid="{DF27DF2E-7A25-4F59-8638-3FCA8BD4470D}" name="Column7663"/>
    <tableColumn id="7675" xr3:uid="{A2598068-CD02-4AE4-B5CD-4F1CDCFA272A}" name="Column7664"/>
    <tableColumn id="7676" xr3:uid="{18C086D7-72E9-4033-8216-B64C34BFC48B}" name="Column7665"/>
    <tableColumn id="7677" xr3:uid="{7790DE28-EE03-4200-BE28-9B07E053AF0A}" name="Column7666"/>
    <tableColumn id="7678" xr3:uid="{497734C5-933B-462D-A4AE-D5C8F2BF6809}" name="Column7667"/>
    <tableColumn id="7679" xr3:uid="{262265B2-CAF0-4DA9-B358-0E3D215AC594}" name="Column7668"/>
    <tableColumn id="7680" xr3:uid="{29487D77-C420-4860-AF31-CDCD8EA50DAB}" name="Column7669"/>
    <tableColumn id="7681" xr3:uid="{4736E1F0-2CF4-4C95-8B50-4E7B343B1EAF}" name="Column7670"/>
    <tableColumn id="7682" xr3:uid="{3C1B0856-19FD-409C-BBF8-B67250C754AF}" name="Column7671"/>
    <tableColumn id="7683" xr3:uid="{95B62449-9B68-4B80-9711-843ADCBF19B2}" name="Column7672"/>
    <tableColumn id="7684" xr3:uid="{4557CEC2-1CCE-471A-925D-19EBDC40D3D6}" name="Column7673"/>
    <tableColumn id="7685" xr3:uid="{D704FFE7-495D-4319-8244-E1CCC614962C}" name="Column7674"/>
    <tableColumn id="7686" xr3:uid="{28FFE864-275F-4442-913C-EF266F57CC11}" name="Column7675"/>
    <tableColumn id="7687" xr3:uid="{81011823-02EA-4C75-A73A-185B320D866E}" name="Column7676"/>
    <tableColumn id="7688" xr3:uid="{DD323D26-FBD7-4A1F-A43F-1729F86472B6}" name="Column7677"/>
    <tableColumn id="7689" xr3:uid="{2C883EA7-328D-4CBB-BC20-917D2A84A03A}" name="Column7678"/>
    <tableColumn id="7690" xr3:uid="{0879F177-791A-4040-868F-E564582FC939}" name="Column7679"/>
    <tableColumn id="7691" xr3:uid="{3F3BC6F4-089A-410C-BB8D-BFC39E441F9E}" name="Column7680"/>
    <tableColumn id="7692" xr3:uid="{2D5CEB4A-B3C8-42DE-A81C-3DEDD9FF5186}" name="Column7681"/>
    <tableColumn id="7693" xr3:uid="{653846BA-CCC5-4C67-A944-4B994F25718B}" name="Column7682"/>
    <tableColumn id="7694" xr3:uid="{13530DB5-B00E-4AE3-9B16-EE7BCD9B59D8}" name="Column7683"/>
    <tableColumn id="7695" xr3:uid="{9BE2E9E0-7244-4E8D-92AB-10DB3794B178}" name="Column7684"/>
    <tableColumn id="7696" xr3:uid="{A9DCBDE8-E9BA-42E5-93B1-5F0152F62371}" name="Column7685"/>
    <tableColumn id="7697" xr3:uid="{B69B96DE-EB08-422F-8286-26816738F959}" name="Column7686"/>
    <tableColumn id="7698" xr3:uid="{296AC302-FA14-4C75-99DE-748700C8A69B}" name="Column7687"/>
    <tableColumn id="7699" xr3:uid="{A419C2AB-FECF-40FE-8C08-52024632309E}" name="Column7688"/>
    <tableColumn id="7700" xr3:uid="{E344645C-E0EE-4FBE-A1AC-F92B72BD14CA}" name="Column7689"/>
    <tableColumn id="7701" xr3:uid="{59BB5F9D-873F-4D34-B3F5-EB3D8EF5AAA2}" name="Column7690"/>
    <tableColumn id="7702" xr3:uid="{E52C8C64-528C-4753-A57E-11920BB8B0E4}" name="Column7691"/>
    <tableColumn id="7703" xr3:uid="{F05C7586-22E7-451B-B6BE-3768459DE42C}" name="Column7692"/>
    <tableColumn id="7704" xr3:uid="{933306C9-7EBB-4DF9-8613-F9E7F61A6B7C}" name="Column7693"/>
    <tableColumn id="7705" xr3:uid="{7FC34E79-62E7-418E-AAF1-99D4BF8C70C5}" name="Column7694"/>
    <tableColumn id="7706" xr3:uid="{BCD31100-AB4F-4BB7-994A-5F7B90299455}" name="Column7695"/>
    <tableColumn id="7707" xr3:uid="{819FDC7A-FC7B-4854-9534-AAFF5637D24D}" name="Column7696"/>
    <tableColumn id="7708" xr3:uid="{390F2844-4192-4D91-93F4-1E4B8585111F}" name="Column7697"/>
    <tableColumn id="7709" xr3:uid="{8E29CAB8-A1B5-461F-BBDD-B18A6AFD8FCB}" name="Column7698"/>
    <tableColumn id="7710" xr3:uid="{31F6406F-5684-4B2E-86B1-0A0EF05301F8}" name="Column7699"/>
    <tableColumn id="7711" xr3:uid="{0DF4F2CB-48B8-40E2-A9E2-F049DCFC2F41}" name="Column7700"/>
    <tableColumn id="7712" xr3:uid="{129CA64E-E1B7-450F-A9E7-E9D76D660FE6}" name="Column7701"/>
    <tableColumn id="7713" xr3:uid="{9066B506-DDCB-496E-9534-56EFEED14929}" name="Column7702"/>
    <tableColumn id="7714" xr3:uid="{8673C31E-B65C-4697-83FE-4B8F6D0A52E5}" name="Column7703"/>
    <tableColumn id="7715" xr3:uid="{53B9C2EF-DAE2-4F40-875A-3C92E2246A20}" name="Column7704"/>
    <tableColumn id="7716" xr3:uid="{D4BBE8CC-E702-4F2A-8453-84B64AD951D4}" name="Column7705"/>
    <tableColumn id="7717" xr3:uid="{326FC4D9-7C4B-480C-978E-BDB8300DDECC}" name="Column7706"/>
    <tableColumn id="7718" xr3:uid="{68E029A5-39C3-4571-AC70-C2A1E99ADB7B}" name="Column7707"/>
    <tableColumn id="7719" xr3:uid="{17D99B8A-5A4F-48F2-8EC4-CE7EF15711CB}" name="Column7708"/>
    <tableColumn id="7720" xr3:uid="{6FAC25A3-5902-4483-A31D-7999165EA71A}" name="Column7709"/>
    <tableColumn id="7721" xr3:uid="{E58D643F-E6CE-46F0-8431-3121073AFE89}" name="Column7710"/>
    <tableColumn id="7722" xr3:uid="{047E55AC-DC3A-4450-908D-0E64FFEBEB8E}" name="Column7711"/>
    <tableColumn id="7723" xr3:uid="{8DB03D1F-9955-435C-BB8A-8C8BF2C24192}" name="Column7712"/>
    <tableColumn id="7724" xr3:uid="{9945FE62-0942-4C33-B8A0-446E7D49A51C}" name="Column7713"/>
    <tableColumn id="7725" xr3:uid="{203F76BA-17C3-467C-9956-F94E32EE5705}" name="Column7714"/>
    <tableColumn id="7726" xr3:uid="{858F94AA-6212-46A2-8762-DE983BFCBB4E}" name="Column7715"/>
    <tableColumn id="7727" xr3:uid="{26CD4BC4-5BF7-47A0-9A16-00E0A28F8206}" name="Column7716"/>
    <tableColumn id="7728" xr3:uid="{AA2661B9-EFCB-4093-86B0-398A8C68D618}" name="Column7717"/>
    <tableColumn id="7729" xr3:uid="{0FBF779A-E640-4575-A234-91D431EE2313}" name="Column7718"/>
    <tableColumn id="7730" xr3:uid="{8FA40167-EDE7-4DCC-BAEF-6D0AC0D981ED}" name="Column7719"/>
    <tableColumn id="7731" xr3:uid="{A6BD9516-AB1C-4A71-A6CA-2FAAAB4D20CE}" name="Column7720"/>
    <tableColumn id="7732" xr3:uid="{10E7F5DD-165B-4459-9B6F-27713042AC3B}" name="Column7721"/>
    <tableColumn id="7733" xr3:uid="{9E2A5E3B-8D67-4E01-AC50-8ABFAFD44805}" name="Column7722"/>
    <tableColumn id="7734" xr3:uid="{A2836A8C-DE21-494E-BA2E-8FEF1002980D}" name="Column7723"/>
    <tableColumn id="7735" xr3:uid="{C1BB5E33-FC23-436F-BDB2-C4C944F5D4A7}" name="Column7724"/>
    <tableColumn id="7736" xr3:uid="{24FA7063-2145-4334-A7D8-52C85D450AB0}" name="Column7725"/>
    <tableColumn id="7737" xr3:uid="{AC091B08-11F8-4C11-8E1D-3FEB6E81754C}" name="Column7726"/>
    <tableColumn id="7738" xr3:uid="{D6C95A2A-73C4-4170-A192-4DBDD8771F14}" name="Column7727"/>
    <tableColumn id="7739" xr3:uid="{4EC640FE-9BB7-4DF9-8EF6-2F2777BEE0D8}" name="Column7728"/>
    <tableColumn id="7740" xr3:uid="{4C7DE16C-D903-44CB-B764-54366CF339A5}" name="Column7729"/>
    <tableColumn id="7741" xr3:uid="{19C240AC-83CC-4AE7-BD32-B8B8AB7152E7}" name="Column7730"/>
    <tableColumn id="7742" xr3:uid="{1C7B1DF9-7E09-4D2B-916C-B22404CF8033}" name="Column7731"/>
    <tableColumn id="7743" xr3:uid="{B43E93B3-3977-42AB-BBA5-925C6D0EEC8D}" name="Column7732"/>
    <tableColumn id="7744" xr3:uid="{E9DBAA11-C130-4A87-BA64-7E16BA313F84}" name="Column7733"/>
    <tableColumn id="7745" xr3:uid="{B7B3E417-D94B-469D-8C33-CF30E2E66102}" name="Column7734"/>
    <tableColumn id="7746" xr3:uid="{031FA166-E370-4619-A76F-16E6A0661F73}" name="Column7735"/>
    <tableColumn id="7747" xr3:uid="{F486CF3C-8C25-4015-B4E9-88209A90CB8C}" name="Column7736"/>
    <tableColumn id="7748" xr3:uid="{E0340FDF-8F70-44E4-989F-C0449D5DD6F1}" name="Column7737"/>
    <tableColumn id="7749" xr3:uid="{F7A729BF-2198-4FCA-93ED-0F6963E0E650}" name="Column7738"/>
    <tableColumn id="7750" xr3:uid="{8BB32215-BF17-408E-8AAF-23B9B4082BAD}" name="Column7739"/>
    <tableColumn id="7751" xr3:uid="{546B7603-D90C-4763-A62B-8F1456D40A9B}" name="Column7740"/>
    <tableColumn id="7752" xr3:uid="{55EE15CA-C4F9-4908-B898-57A2B451C293}" name="Column7741"/>
    <tableColumn id="7753" xr3:uid="{16BF5455-1D46-4334-8D50-3C0DDC75557B}" name="Column7742"/>
    <tableColumn id="7754" xr3:uid="{71D7A165-1189-4B1C-A631-A5B25A5A3767}" name="Column7743"/>
    <tableColumn id="7755" xr3:uid="{2F3C5458-8EA9-4412-9ABE-4379C360BAAB}" name="Column7744"/>
    <tableColumn id="7756" xr3:uid="{E5DDB8AE-4335-4CE1-B19F-86AE2506A3D9}" name="Column7745"/>
    <tableColumn id="7757" xr3:uid="{EA9A5BFD-61D8-48B2-A67C-AE303E485649}" name="Column7746"/>
    <tableColumn id="7758" xr3:uid="{17F87650-7753-46FF-B73A-A8BBF39C4642}" name="Column7747"/>
    <tableColumn id="7759" xr3:uid="{27BBC4ED-4B9E-4EEE-8875-C2B22C16F6E4}" name="Column7748"/>
    <tableColumn id="7760" xr3:uid="{EE298648-55CA-4214-923A-BA33E1D569DD}" name="Column7749"/>
    <tableColumn id="7761" xr3:uid="{ADA90C23-B5A2-4AB3-A7E4-5C521A9FB15A}" name="Column7750"/>
    <tableColumn id="7762" xr3:uid="{4F3B830C-C4A3-467A-A198-6D5DE3CCF907}" name="Column7751"/>
    <tableColumn id="7763" xr3:uid="{E8C862B9-29B9-4589-86AD-89780541E1CE}" name="Column7752"/>
    <tableColumn id="7764" xr3:uid="{01FA6919-7459-423E-A279-24A5CA2F298A}" name="Column7753"/>
    <tableColumn id="7765" xr3:uid="{C3E9E139-BD1F-4EF0-80B7-1B123A1BF246}" name="Column7754"/>
    <tableColumn id="7766" xr3:uid="{227D8A48-EADA-4D1C-B2AB-D97D30B6EC9D}" name="Column7755"/>
    <tableColumn id="7767" xr3:uid="{526A6484-8DED-4947-9415-5AAFAD5B940F}" name="Column7756"/>
    <tableColumn id="7768" xr3:uid="{611761F4-3855-44F6-A83C-140A837A04C5}" name="Column7757"/>
    <tableColumn id="7769" xr3:uid="{E411734E-73DE-460E-8BC7-C43D750467FB}" name="Column7758"/>
    <tableColumn id="7770" xr3:uid="{8DE1E8D7-5C0A-4987-ABC7-99A935AAE39B}" name="Column7759"/>
    <tableColumn id="7771" xr3:uid="{17E484D2-2B36-40FF-B707-D34BC48D7E01}" name="Column7760"/>
    <tableColumn id="7772" xr3:uid="{C5E1ADE9-D8A2-44B0-9E9D-5521DDDBB3E9}" name="Column7761"/>
    <tableColumn id="7773" xr3:uid="{FAA03999-1D48-4FD6-88F1-F2603FF71939}" name="Column7762"/>
    <tableColumn id="7774" xr3:uid="{B1681FCB-7B78-4C59-BB52-915552BD20BC}" name="Column7763"/>
    <tableColumn id="7775" xr3:uid="{4D02CC96-B5CC-46DF-8C55-C8A17E764F4D}" name="Column7764"/>
    <tableColumn id="7776" xr3:uid="{08772E23-B18D-4D0C-9E84-78ADA53AB5E6}" name="Column7765"/>
    <tableColumn id="7777" xr3:uid="{20F1A809-2481-4B7A-8C13-769374093191}" name="Column7766"/>
    <tableColumn id="7778" xr3:uid="{16DB342E-3C7D-406A-A9BA-661565A1CD31}" name="Column7767"/>
    <tableColumn id="7779" xr3:uid="{C306702E-7730-4610-BDB6-7D7515008661}" name="Column7768"/>
    <tableColumn id="7780" xr3:uid="{EF9FB50B-3590-4365-B57C-9D20AD4B24FF}" name="Column7769"/>
    <tableColumn id="7781" xr3:uid="{61F90AE4-3508-4EFC-9302-D24B0241A82C}" name="Column7770"/>
    <tableColumn id="7782" xr3:uid="{A210784D-0829-46F4-8602-83727805DF57}" name="Column7771"/>
    <tableColumn id="7783" xr3:uid="{F5520FEA-A5CB-466F-8736-09F674F68D49}" name="Column7772"/>
    <tableColumn id="7784" xr3:uid="{4E13EAA6-A2D2-4C19-965B-B1FB22CDEA04}" name="Column7773"/>
    <tableColumn id="7785" xr3:uid="{AFFDB41B-4313-4236-819E-74086A6EDF31}" name="Column7774"/>
    <tableColumn id="7786" xr3:uid="{79B1C893-DEBB-4818-8F02-55D05DBE6C38}" name="Column7775"/>
    <tableColumn id="7787" xr3:uid="{01977068-F06B-45D1-89E8-2D10FDD54322}" name="Column7776"/>
    <tableColumn id="7788" xr3:uid="{4A0F0047-7562-4CE5-9A7E-BD60B3C8AE70}" name="Column7777"/>
    <tableColumn id="7789" xr3:uid="{3E1831C2-D810-4970-8DAD-0CF55121DD81}" name="Column7778"/>
    <tableColumn id="7790" xr3:uid="{EAB78EE6-D488-4F97-B2E2-D534CEB36C34}" name="Column7779"/>
    <tableColumn id="7791" xr3:uid="{04534523-EAB3-4E8A-9D93-7A26EA9A608B}" name="Column7780"/>
    <tableColumn id="7792" xr3:uid="{E07FA6C8-CC56-4776-8C54-09A00EC81F6E}" name="Column7781"/>
    <tableColumn id="7793" xr3:uid="{82B24495-5F3F-45EF-96A6-2456943344BA}" name="Column7782"/>
    <tableColumn id="7794" xr3:uid="{1DBAC458-4050-43E8-AF8C-CF33668F7346}" name="Column7783"/>
    <tableColumn id="7795" xr3:uid="{080BF289-36A9-4C2E-93BB-DDB8B6CCA4F9}" name="Column7784"/>
    <tableColumn id="7796" xr3:uid="{682376CB-E6CB-4053-B62D-A070376E5D39}" name="Column7785"/>
    <tableColumn id="7797" xr3:uid="{B4A40602-A8E5-4F21-88E8-05B65341B622}" name="Column7786"/>
    <tableColumn id="7798" xr3:uid="{2DC67DA9-FF56-46E5-A31F-D002D142E692}" name="Column7787"/>
    <tableColumn id="7799" xr3:uid="{4CA8718D-001C-43C9-B4B3-0DE0729AB540}" name="Column7788"/>
    <tableColumn id="7800" xr3:uid="{C70B0167-148C-4FCB-8FAE-CC594C06B8D9}" name="Column7789"/>
    <tableColumn id="7801" xr3:uid="{F046CE64-9F88-41DA-BF37-450EB6410F85}" name="Column7790"/>
    <tableColumn id="7802" xr3:uid="{AACA8B9A-4235-45C7-BAC3-EAE3B6C22A92}" name="Column7791"/>
    <tableColumn id="7803" xr3:uid="{FA20FE06-3138-4064-9159-A5AAECC84593}" name="Column7792"/>
    <tableColumn id="7804" xr3:uid="{F7EFE798-88B6-4068-99FA-3F3CD5D4AC73}" name="Column7793"/>
    <tableColumn id="7805" xr3:uid="{DFBCD68C-302A-44E7-8E8D-F482EA31BCE5}" name="Column7794"/>
    <tableColumn id="7806" xr3:uid="{C46A14F6-C5DB-413C-9E6A-D3CB52E7548C}" name="Column7795"/>
    <tableColumn id="7807" xr3:uid="{BC8DE4E5-B55B-4241-AD12-C1C4C74CE455}" name="Column7796"/>
    <tableColumn id="7808" xr3:uid="{BB00F101-F407-4AEA-8D7C-DD8EEC9FDD47}" name="Column7797"/>
    <tableColumn id="7809" xr3:uid="{78DE9F45-A979-462F-87DC-83802F6A1A88}" name="Column7798"/>
    <tableColumn id="7810" xr3:uid="{70D0BCFE-B653-4336-96C0-805A9EC06025}" name="Column7799"/>
    <tableColumn id="7811" xr3:uid="{5E1F940D-ABDA-496B-B240-3517B3ED6614}" name="Column7800"/>
    <tableColumn id="7812" xr3:uid="{923743E8-659E-42E6-B201-5F7404CE1458}" name="Column7801"/>
    <tableColumn id="7813" xr3:uid="{8EC4602F-AB23-40B4-BCF0-0DCC44A97BAD}" name="Column7802"/>
    <tableColumn id="7814" xr3:uid="{D43FD73D-610F-449C-B92F-01C18B742FF8}" name="Column7803"/>
    <tableColumn id="7815" xr3:uid="{83D3E7D0-8562-47FA-A369-38203D7108D1}" name="Column7804"/>
    <tableColumn id="7816" xr3:uid="{ACDE1C13-2B5E-459A-9592-4AEE57B9CCBB}" name="Column7805"/>
    <tableColumn id="7817" xr3:uid="{EDCB859E-7C10-49B2-99D6-0624EB3FD0C2}" name="Column7806"/>
    <tableColumn id="7818" xr3:uid="{F1344613-8E57-4098-8EA7-7663A388E12E}" name="Column7807"/>
    <tableColumn id="7819" xr3:uid="{28557474-19B1-43CC-8959-1C747245C399}" name="Column7808"/>
    <tableColumn id="7820" xr3:uid="{344356AB-2F11-495E-B289-CECEAB9AF7EA}" name="Column7809"/>
    <tableColumn id="7821" xr3:uid="{5A851891-ACB6-4D73-BDE1-795D92094F7B}" name="Column7810"/>
    <tableColumn id="7822" xr3:uid="{169CC3D7-52C3-4E07-8A48-64C00C4F1D15}" name="Column7811"/>
    <tableColumn id="7823" xr3:uid="{8DA870FB-C9EE-4A89-AB6E-E9E8997A9228}" name="Column7812"/>
    <tableColumn id="7824" xr3:uid="{BDB8B5B8-0CC2-41D8-BB45-57A3FE7716AD}" name="Column7813"/>
    <tableColumn id="7825" xr3:uid="{BBEC84FE-10CA-4A53-A458-B4D1569FC9A5}" name="Column7814"/>
    <tableColumn id="7826" xr3:uid="{69F4677A-F2AF-47D9-A1A2-6AD1C89B1CE2}" name="Column7815"/>
    <tableColumn id="7827" xr3:uid="{66B06AEC-7FD0-4D2A-ADBF-AD2F433E7BD5}" name="Column7816"/>
    <tableColumn id="7828" xr3:uid="{8F0CD918-AD02-4B3C-AB64-95E6B09BC113}" name="Column7817"/>
    <tableColumn id="7829" xr3:uid="{D1016C1A-EFD3-4C14-BF13-7EAF5752865C}" name="Column7818"/>
    <tableColumn id="7830" xr3:uid="{E253EDAA-907D-4DB6-829C-7246AFB45725}" name="Column7819"/>
    <tableColumn id="7831" xr3:uid="{B5D55D8E-E38D-4EF7-885D-373CF36728D2}" name="Column7820"/>
    <tableColumn id="7832" xr3:uid="{59F3304A-55F5-435A-83A0-880943EE398D}" name="Column7821"/>
    <tableColumn id="7833" xr3:uid="{D42FCABB-C3E8-4308-BA20-932D61D7CA73}" name="Column7822"/>
    <tableColumn id="7834" xr3:uid="{F952E984-800E-4EBF-95CC-A26CC9FBF9AB}" name="Column7823"/>
    <tableColumn id="7835" xr3:uid="{D7760078-422D-482D-89F2-5B119A64434E}" name="Column7824"/>
    <tableColumn id="7836" xr3:uid="{6EAFC251-8907-4852-A520-71F1F9CD9081}" name="Column7825"/>
    <tableColumn id="7837" xr3:uid="{1387B3E0-E66D-48D5-924E-488DD3FC64B1}" name="Column7826"/>
    <tableColumn id="7838" xr3:uid="{94924F6A-8B53-4830-8BA5-5ABA2C83E096}" name="Column7827"/>
    <tableColumn id="7839" xr3:uid="{53210477-46B1-4354-86E5-32CDA3C53E15}" name="Column7828"/>
    <tableColumn id="7840" xr3:uid="{1458241C-3A39-4F40-AC7E-40D57C85CEB4}" name="Column7829"/>
    <tableColumn id="7841" xr3:uid="{A200B7C8-2824-40E0-A8C7-849604763F6E}" name="Column7830"/>
    <tableColumn id="7842" xr3:uid="{F73E2212-64CD-4F5D-B773-C8948798F45C}" name="Column7831"/>
    <tableColumn id="7843" xr3:uid="{29BC1BE8-4E2A-4285-A9BF-2E8C91C6EBBA}" name="Column7832"/>
    <tableColumn id="7844" xr3:uid="{1C4B0FA6-7924-45CD-9B71-3DFD7FA6CCD3}" name="Column7833"/>
    <tableColumn id="7845" xr3:uid="{BFFFD826-0A1E-4435-AD2A-532C06FA4F89}" name="Column7834"/>
    <tableColumn id="7846" xr3:uid="{EEAC6189-6871-40E7-A43A-A1CE99F83439}" name="Column7835"/>
    <tableColumn id="7847" xr3:uid="{744EF9C6-BCF1-4203-9B29-AF8D1569A7CF}" name="Column7836"/>
    <tableColumn id="7848" xr3:uid="{870E2DC2-17E2-4C62-AF82-33ADA879A702}" name="Column7837"/>
    <tableColumn id="7849" xr3:uid="{9FFF2608-398B-4312-BDD0-FBE4EF3A6608}" name="Column7838"/>
    <tableColumn id="7850" xr3:uid="{2BDD6BA7-E595-4D04-8B6C-08A7B6009AA4}" name="Column7839"/>
    <tableColumn id="7851" xr3:uid="{D554D412-42DE-434C-A691-3CC51D98BAF4}" name="Column7840"/>
    <tableColumn id="7852" xr3:uid="{2DE9B498-C061-49E3-91CF-852FE376250F}" name="Column7841"/>
    <tableColumn id="7853" xr3:uid="{FA127983-5CEA-411F-A829-53175029FC7A}" name="Column7842"/>
    <tableColumn id="7854" xr3:uid="{B1397E0B-9059-4B64-AC42-B04C2F3DDC99}" name="Column7843"/>
    <tableColumn id="7855" xr3:uid="{B5144AEA-CCE3-4017-9BDF-3825B75AB7E9}" name="Column7844"/>
    <tableColumn id="7856" xr3:uid="{04196410-F8F2-4831-BADA-EA5EB0FAA312}" name="Column7845"/>
    <tableColumn id="7857" xr3:uid="{55220C0E-48C6-4451-819C-C4064A229A30}" name="Column7846"/>
    <tableColumn id="7858" xr3:uid="{53D52410-9D99-4EF0-9ED7-1D525EA432BB}" name="Column7847"/>
    <tableColumn id="7859" xr3:uid="{F3F993C8-8E8D-4842-81D9-50149006B3F4}" name="Column7848"/>
    <tableColumn id="7860" xr3:uid="{93F7D0FD-F89A-4D17-9618-93B23B39CA09}" name="Column7849"/>
    <tableColumn id="7861" xr3:uid="{2D891C76-0053-4A42-BAB1-91E1F5003C5F}" name="Column7850"/>
    <tableColumn id="7862" xr3:uid="{A2A57DB3-4220-4685-B824-5B285CF5D31C}" name="Column7851"/>
    <tableColumn id="7863" xr3:uid="{03E2D103-83C0-45EF-A5E7-8430A0EFEBF1}" name="Column7852"/>
    <tableColumn id="7864" xr3:uid="{E28C818D-1034-453E-8520-DBA311D5E5AD}" name="Column7853"/>
    <tableColumn id="7865" xr3:uid="{69B07064-E1E5-44E9-ACA4-88C3179DB17F}" name="Column7854"/>
    <tableColumn id="7866" xr3:uid="{10C6F488-7ABD-462D-BB59-A80B48B531A9}" name="Column7855"/>
    <tableColumn id="7867" xr3:uid="{F56ECA3A-6B78-4C76-A9A9-8B8C798569CA}" name="Column7856"/>
    <tableColumn id="7868" xr3:uid="{EF64116C-D937-498E-872D-8651EA87EA81}" name="Column7857"/>
    <tableColumn id="7869" xr3:uid="{AE3402EE-BE4A-453E-B4BB-84D09E8429DE}" name="Column7858"/>
    <tableColumn id="7870" xr3:uid="{2C26463B-E45F-44BC-9923-99CCB0993D0E}" name="Column7859"/>
    <tableColumn id="7871" xr3:uid="{20AF3BED-C9E8-4870-90AB-A3C11693FA76}" name="Column7860"/>
    <tableColumn id="7872" xr3:uid="{9C8E32E0-DB35-46FB-9F2E-00BF49FCBA61}" name="Column7861"/>
    <tableColumn id="7873" xr3:uid="{425514AB-BCBC-4606-B2DD-4C6E17A31AA1}" name="Column7862"/>
    <tableColumn id="7874" xr3:uid="{85CE3710-9660-425C-A755-1E6AE342C44E}" name="Column7863"/>
    <tableColumn id="7875" xr3:uid="{DA7F0D0C-3D83-4A30-8679-67A5DE7CDFCA}" name="Column7864"/>
    <tableColumn id="7876" xr3:uid="{E4CC1E95-958A-45B1-8FAA-0E2569D756E7}" name="Column7865"/>
    <tableColumn id="7877" xr3:uid="{64253A05-F964-4D22-B69F-620EF51D438E}" name="Column7866"/>
    <tableColumn id="7878" xr3:uid="{E20B7D01-2E2C-4D98-8859-B6A1B8996091}" name="Column7867"/>
    <tableColumn id="7879" xr3:uid="{818FFBD3-98C5-431F-A1FA-62D30441A796}" name="Column7868"/>
    <tableColumn id="7880" xr3:uid="{7644707F-D61C-43BA-8A1A-64E13235E2E1}" name="Column7869"/>
    <tableColumn id="7881" xr3:uid="{DED5C2A3-58F9-4B68-A724-A5DA5D49B323}" name="Column7870"/>
    <tableColumn id="7882" xr3:uid="{E60E87FD-2BC3-456D-BE83-FFA953CDB014}" name="Column7871"/>
    <tableColumn id="7883" xr3:uid="{7E4E2263-DDB0-422B-9D56-E36471E6EA20}" name="Column7872"/>
    <tableColumn id="7884" xr3:uid="{72A68506-CBD3-4975-8A5C-5A3CED71E8FB}" name="Column7873"/>
    <tableColumn id="7885" xr3:uid="{53A23ED7-179B-40E7-98FB-C138BCCCE4C1}" name="Column7874"/>
    <tableColumn id="7886" xr3:uid="{4FA9A816-4E87-40D5-A07B-C72546338423}" name="Column7875"/>
    <tableColumn id="7887" xr3:uid="{25E4FEA6-3000-489D-BDB8-4623B898AE1A}" name="Column7876"/>
    <tableColumn id="7888" xr3:uid="{A2B45003-FBDC-4B3B-846D-0DE93E4DD490}" name="Column7877"/>
    <tableColumn id="7889" xr3:uid="{3E36FE7C-2069-451C-8D9B-F21C4EBC269C}" name="Column7878"/>
    <tableColumn id="7890" xr3:uid="{925B8A49-46AB-4899-8B19-07F29CD4A52B}" name="Column7879"/>
    <tableColumn id="7891" xr3:uid="{19DA7D54-89AE-4ADE-884D-A3F4A49B28B1}" name="Column7880"/>
    <tableColumn id="7892" xr3:uid="{5EFC3B55-F211-41CF-AD70-F4015121002D}" name="Column7881"/>
    <tableColumn id="7893" xr3:uid="{B7FE81EC-0AAA-4096-B5E9-99D8FD52FE5D}" name="Column7882"/>
    <tableColumn id="7894" xr3:uid="{FE13F9C2-74E3-435A-98AD-22AC24E48C9B}" name="Column7883"/>
    <tableColumn id="7895" xr3:uid="{47E4CF3D-44BB-4BCF-859C-0D6D2DFD78DC}" name="Column7884"/>
    <tableColumn id="7896" xr3:uid="{6E4FE556-AFCD-4430-BF89-BCB69C96714C}" name="Column7885"/>
    <tableColumn id="7897" xr3:uid="{A8FCD054-6301-41AD-B288-0B4B85BFEC07}" name="Column7886"/>
    <tableColumn id="7898" xr3:uid="{07D1C32B-8CAA-4F2B-91A0-D4C9246AEF78}" name="Column7887"/>
    <tableColumn id="7899" xr3:uid="{4644C95A-8FC6-4028-92C3-BD1BB8F039D2}" name="Column7888"/>
    <tableColumn id="7900" xr3:uid="{C4077DBE-8FA8-4A9A-837C-68A5DCD1943E}" name="Column7889"/>
    <tableColumn id="7901" xr3:uid="{6FD6F820-D032-4AA2-883B-6E81A63DE12E}" name="Column7890"/>
    <tableColumn id="7902" xr3:uid="{C5224B74-6D51-4155-9F29-6B6A9FD2934D}" name="Column7891"/>
    <tableColumn id="7903" xr3:uid="{DA592B9F-D7D1-4119-8427-4D82A2F04C14}" name="Column7892"/>
    <tableColumn id="7904" xr3:uid="{9DFDB354-AD0A-432B-9BBB-87FBB7EF7832}" name="Column7893"/>
    <tableColumn id="7905" xr3:uid="{3CB850F5-5938-4303-83D0-B61805EAE234}" name="Column7894"/>
    <tableColumn id="7906" xr3:uid="{8B770FBE-1690-4462-89B1-5FE286A8952F}" name="Column7895"/>
    <tableColumn id="7907" xr3:uid="{D710FD10-FCC3-4435-88D4-D4641DF7E7A9}" name="Column7896"/>
    <tableColumn id="7908" xr3:uid="{8430DF16-9F5D-436A-9385-5211A5072B38}" name="Column7897"/>
    <tableColumn id="7909" xr3:uid="{39DECA74-116E-4FEC-ACCD-849A476766EC}" name="Column7898"/>
    <tableColumn id="7910" xr3:uid="{70136AD7-C202-4D13-A2ED-F25412A0DEA6}" name="Column7899"/>
    <tableColumn id="7911" xr3:uid="{53CC3323-F720-46BD-8C5A-A3C6F68C9C53}" name="Column7900"/>
    <tableColumn id="7912" xr3:uid="{90D59668-3ED2-4CFA-842B-0252E1DA8752}" name="Column7901"/>
    <tableColumn id="7913" xr3:uid="{2F852CE6-2367-49CA-8931-A65328D0C002}" name="Column7902"/>
    <tableColumn id="7914" xr3:uid="{67324CD8-843E-49E1-AE11-0AA36B39BD60}" name="Column7903"/>
    <tableColumn id="7915" xr3:uid="{05FEE99D-1E63-48B6-A85E-AB20D01D884C}" name="Column7904"/>
    <tableColumn id="7916" xr3:uid="{EF5E5719-15BD-4BF3-8F4D-B07D1870486F}" name="Column7905"/>
    <tableColumn id="7917" xr3:uid="{4A1F7BCA-BA86-4C45-9D73-5326E3629091}" name="Column7906"/>
    <tableColumn id="7918" xr3:uid="{0FE9F8E3-2152-47C3-8343-0885634670E8}" name="Column7907"/>
    <tableColumn id="7919" xr3:uid="{FA3DF2BC-93CC-4F37-BF99-65CC3A57BEF3}" name="Column7908"/>
    <tableColumn id="7920" xr3:uid="{31A1CA30-B5C7-4265-9018-B9643D7B93D0}" name="Column7909"/>
    <tableColumn id="7921" xr3:uid="{4BECF905-3787-434A-B8D9-DBB978424CA1}" name="Column7910"/>
    <tableColumn id="7922" xr3:uid="{552736FC-A325-4C9D-B3B6-A46BFE503FEC}" name="Column7911"/>
    <tableColumn id="7923" xr3:uid="{6B104B76-FC7C-4110-A936-9ED1152B3003}" name="Column7912"/>
    <tableColumn id="7924" xr3:uid="{C3C6F17F-B6A9-41E5-A470-AD02ED14E16F}" name="Column7913"/>
    <tableColumn id="7925" xr3:uid="{BE63B3F5-9D41-4700-A04D-6D9D235DA99F}" name="Column7914"/>
    <tableColumn id="7926" xr3:uid="{3F048ED7-970A-4653-817D-96EE9A0E7343}" name="Column7915"/>
    <tableColumn id="7927" xr3:uid="{E661FA7A-95E7-4886-8FA8-476785C30832}" name="Column7916"/>
    <tableColumn id="7928" xr3:uid="{BBCBDC6F-A7A3-47FA-AECC-6F6A66E6B25E}" name="Column7917"/>
    <tableColumn id="7929" xr3:uid="{6975B0B4-15B5-4688-BA09-3849837C4240}" name="Column7918"/>
    <tableColumn id="7930" xr3:uid="{13F9AF36-8BCA-4C43-8040-1E3A883FF67B}" name="Column7919"/>
    <tableColumn id="7931" xr3:uid="{0A121294-780E-4757-9CE9-1059D398C061}" name="Column7920"/>
    <tableColumn id="7932" xr3:uid="{E89EDD4C-C11C-4DE1-BD7F-2FCD9107ED78}" name="Column7921"/>
    <tableColumn id="7933" xr3:uid="{251F2DB3-FCC3-41D6-8927-AF8932EFA4FC}" name="Column7922"/>
    <tableColumn id="7934" xr3:uid="{9CF7DA3E-B569-4749-9C30-E4BEBC0E515D}" name="Column7923"/>
    <tableColumn id="7935" xr3:uid="{D0BBD4B1-2CCC-49F5-8A28-64195B722C8E}" name="Column7924"/>
    <tableColumn id="7936" xr3:uid="{5D826ACE-9E59-479E-8A52-FFD4D0A69881}" name="Column7925"/>
    <tableColumn id="7937" xr3:uid="{1E20CA22-8F0F-4DE9-AFC8-17849B917C4D}" name="Column7926"/>
    <tableColumn id="7938" xr3:uid="{979F2C5C-64D2-4CA2-B779-FBF24DD01777}" name="Column7927"/>
    <tableColumn id="7939" xr3:uid="{96C495C6-9F78-4994-BF7E-E5B8948F7047}" name="Column7928"/>
    <tableColumn id="7940" xr3:uid="{5A1AFA39-7FFA-472C-A4D8-2623D700D3C5}" name="Column7929"/>
    <tableColumn id="7941" xr3:uid="{FA77032A-5436-44D3-AD4E-058BFD62E1A2}" name="Column7930"/>
    <tableColumn id="7942" xr3:uid="{8BF14401-0B57-43F0-98A0-AF0D3B6C3363}" name="Column7931"/>
    <tableColumn id="7943" xr3:uid="{207BFA47-A8FB-4EA1-9F83-ACE1A487F78C}" name="Column7932"/>
    <tableColumn id="7944" xr3:uid="{A97F1682-D0AB-47B5-8FA5-2DB973943A08}" name="Column7933"/>
    <tableColumn id="7945" xr3:uid="{9539CD6F-C376-41FB-8630-CAA5D05E3FF2}" name="Column7934"/>
    <tableColumn id="7946" xr3:uid="{13B92C9A-6A0B-4D94-BFBB-ADE289320143}" name="Column7935"/>
    <tableColumn id="7947" xr3:uid="{C61DBACB-D129-4512-9594-9613A97BC2B6}" name="Column7936"/>
    <tableColumn id="7948" xr3:uid="{9385400B-AFDC-45D6-9C26-F10F0AB6F5E9}" name="Column7937"/>
    <tableColumn id="7949" xr3:uid="{F2C5F2CD-9EC6-469D-A7D8-566CF3C2D71D}" name="Column7938"/>
    <tableColumn id="7950" xr3:uid="{1991DBB0-5696-4E0B-83CD-E067DF657969}" name="Column7939"/>
    <tableColumn id="7951" xr3:uid="{9F151628-FFF2-471E-8228-C0387FBB6943}" name="Column7940"/>
    <tableColumn id="7952" xr3:uid="{A68DC6A6-4E4E-4F54-8B95-8A41DC1778BB}" name="Column7941"/>
    <tableColumn id="7953" xr3:uid="{2320AB61-96B5-4091-873A-DF38820839FA}" name="Column7942"/>
    <tableColumn id="7954" xr3:uid="{6C5C8443-811E-4F0D-93BC-9648CE64CBFD}" name="Column7943"/>
    <tableColumn id="7955" xr3:uid="{1E38A7EB-C8B7-46CE-82D9-946CD0EA27F0}" name="Column7944"/>
    <tableColumn id="7956" xr3:uid="{07A9EB7F-115C-4F72-A799-8119300AF891}" name="Column7945"/>
    <tableColumn id="7957" xr3:uid="{4813F9B0-D62E-4DFE-A72F-F3DE620742D9}" name="Column7946"/>
    <tableColumn id="7958" xr3:uid="{AC9F3786-E72B-49E3-9EFC-B4708EBF8073}" name="Column7947"/>
    <tableColumn id="7959" xr3:uid="{544720B0-F401-47B2-AFBF-6E9B84EA3227}" name="Column7948"/>
    <tableColumn id="7960" xr3:uid="{71FC0F8E-7877-4DF5-9363-D6E5616543FF}" name="Column7949"/>
    <tableColumn id="7961" xr3:uid="{472C8036-9153-4507-BA05-FCFEB4172C5B}" name="Column7950"/>
    <tableColumn id="7962" xr3:uid="{F4008390-177C-413B-AFE6-022685307A88}" name="Column7951"/>
    <tableColumn id="7963" xr3:uid="{FFB42768-E15A-4EC2-BCEC-9F871F901CB6}" name="Column7952"/>
    <tableColumn id="7964" xr3:uid="{BD1FF797-DD12-44FC-B374-D48B44BB05C1}" name="Column7953"/>
    <tableColumn id="7965" xr3:uid="{1A175925-D9D0-4AC1-AE0B-4B4A8301099E}" name="Column7954"/>
    <tableColumn id="7966" xr3:uid="{F7CBA469-6D08-44B5-8168-512B17413116}" name="Column7955"/>
    <tableColumn id="7967" xr3:uid="{96FA6DD4-48B6-4344-B058-EC97E4B83B19}" name="Column7956"/>
    <tableColumn id="7968" xr3:uid="{D54B1D1D-9222-46CB-808C-5B181F5327C5}" name="Column7957"/>
    <tableColumn id="7969" xr3:uid="{D56ABCF5-2283-42D4-816D-9E4E88A0180D}" name="Column7958"/>
    <tableColumn id="7970" xr3:uid="{0F491578-9EB5-4052-AF32-31A735ADE53E}" name="Column7959"/>
    <tableColumn id="7971" xr3:uid="{A982DF3A-478F-4B9F-AC0D-463722BA6235}" name="Column7960"/>
    <tableColumn id="7972" xr3:uid="{13D8E35E-F0A5-42D2-BC78-DD5F256527B2}" name="Column7961"/>
    <tableColumn id="7973" xr3:uid="{0C3B1BC9-794A-47C6-9F0A-20DA47261B38}" name="Column7962"/>
    <tableColumn id="7974" xr3:uid="{8C37624E-F8BD-4894-82CB-1DDD458AA06A}" name="Column7963"/>
    <tableColumn id="7975" xr3:uid="{F4A83DBA-1AA6-4038-80E9-C56BC55B9FEA}" name="Column7964"/>
    <tableColumn id="7976" xr3:uid="{79D44D04-6F97-4BC3-9438-D4CFF4389E65}" name="Column7965"/>
    <tableColumn id="7977" xr3:uid="{DF93C4C2-1C8B-4C01-8C97-9AB02FA80082}" name="Column7966"/>
    <tableColumn id="7978" xr3:uid="{66B8D74F-828C-4EB6-82FE-58D814011E82}" name="Column7967"/>
    <tableColumn id="7979" xr3:uid="{1D1AD6FA-250A-494D-92F3-4130B43ED32A}" name="Column7968"/>
    <tableColumn id="7980" xr3:uid="{6E1DEDD6-D256-43B6-BEE6-468C361BFF96}" name="Column7969"/>
    <tableColumn id="7981" xr3:uid="{CC451B9E-8BA2-4860-A1C3-6429C3BFA77E}" name="Column7970"/>
    <tableColumn id="7982" xr3:uid="{F92AFBCB-367E-42C5-BBF4-E3F46E2B971C}" name="Column7971"/>
    <tableColumn id="7983" xr3:uid="{CECF59A5-0536-4495-8A47-08D3F88D7683}" name="Column7972"/>
    <tableColumn id="7984" xr3:uid="{495FF08C-23B0-4F5D-A178-5C5685876988}" name="Column7973"/>
    <tableColumn id="7985" xr3:uid="{34987B1C-86FD-45DF-8206-9991AA9A1215}" name="Column7974"/>
    <tableColumn id="7986" xr3:uid="{83D9CDB0-F727-4448-A84E-A98D0F1E8597}" name="Column7975"/>
    <tableColumn id="7987" xr3:uid="{9C6CCE31-A5E5-49CA-9D30-DB1457EEF20C}" name="Column7976"/>
    <tableColumn id="7988" xr3:uid="{739FFF10-D705-4F4F-BA13-036797A875BB}" name="Column7977"/>
    <tableColumn id="7989" xr3:uid="{8F6BEA7A-886A-4BF7-8F84-7E9AB0F5B526}" name="Column7978"/>
    <tableColumn id="7990" xr3:uid="{F2AD384C-F1A3-4404-B733-5835AE59A835}" name="Column7979"/>
    <tableColumn id="7991" xr3:uid="{4B5EF83F-479F-456F-84ED-63CD53A8AEAB}" name="Column7980"/>
    <tableColumn id="7992" xr3:uid="{3FE1BDC5-F9CF-4B6F-A605-F30B88D16AD9}" name="Column7981"/>
    <tableColumn id="7993" xr3:uid="{706ECE52-EA8C-41AC-B70F-BB264CDE6D3B}" name="Column7982"/>
    <tableColumn id="7994" xr3:uid="{6275E22E-9400-41B7-8AE0-D4139345578C}" name="Column7983"/>
    <tableColumn id="7995" xr3:uid="{AFA6F208-9677-4DB8-80D1-4FF13026756B}" name="Column7984"/>
    <tableColumn id="7996" xr3:uid="{217E3661-7C21-4AC7-8A96-6B557E2DFEA6}" name="Column7985"/>
    <tableColumn id="7997" xr3:uid="{E5AC0F06-62A2-4CC0-B8E1-AFF8E527F9F3}" name="Column7986"/>
    <tableColumn id="7998" xr3:uid="{E8682944-8E71-4EE4-B416-E7F2852FC866}" name="Column7987"/>
    <tableColumn id="7999" xr3:uid="{BC47CF7C-9775-4B48-90DB-8DE79014FCD9}" name="Column7988"/>
    <tableColumn id="8000" xr3:uid="{9D08BC25-6797-4031-9403-AA03DA23BBCA}" name="Column7989"/>
    <tableColumn id="8001" xr3:uid="{F24FA9D3-41F7-4B19-96C4-1F000576BE77}" name="Column7990"/>
    <tableColumn id="8002" xr3:uid="{0E39DA15-47C7-402F-820F-7EBBD0DFA4F6}" name="Column7991"/>
    <tableColumn id="8003" xr3:uid="{CB48483F-F181-4870-A21F-E83FC02D81D4}" name="Column7992"/>
    <tableColumn id="8004" xr3:uid="{A7B9590A-A757-440A-990A-632A76ACEF8A}" name="Column7993"/>
    <tableColumn id="8005" xr3:uid="{EED66EDA-3BCC-4B2C-A566-19A9E3EA5EC8}" name="Column7994"/>
    <tableColumn id="8006" xr3:uid="{3A389AF5-682C-44F0-8FE8-B6C3E95BF10D}" name="Column7995"/>
    <tableColumn id="8007" xr3:uid="{60BB1E19-98D3-4175-810A-9338EE0473AB}" name="Column7996"/>
    <tableColumn id="8008" xr3:uid="{33868722-1639-48B0-8B06-BA811D93926C}" name="Column7997"/>
    <tableColumn id="8009" xr3:uid="{CCBEA8CA-2F3D-4DC6-A579-1BB26F4BDC09}" name="Column7998"/>
    <tableColumn id="8010" xr3:uid="{92192C0A-0C5F-4AB4-A1EA-47B11615FC7A}" name="Column7999"/>
    <tableColumn id="8011" xr3:uid="{ED666EF3-E625-473E-B8D9-0AFE07EDE57D}" name="Column8000"/>
    <tableColumn id="8012" xr3:uid="{8F347D69-F449-4C4D-BD7D-A7E34DA8D3B2}" name="Column8001"/>
    <tableColumn id="8013" xr3:uid="{74D1BBF3-9F93-4E00-B3F8-296929E06C18}" name="Column8002"/>
    <tableColumn id="8014" xr3:uid="{9AFF90B5-C207-4AD9-9F9D-D352959E141A}" name="Column8003"/>
    <tableColumn id="8015" xr3:uid="{E7A980A3-C6D5-40B3-A70E-91FCF4FC5C74}" name="Column8004"/>
    <tableColumn id="8016" xr3:uid="{7721D082-65CE-4ECE-BE49-CB8A847DEA56}" name="Column8005"/>
    <tableColumn id="8017" xr3:uid="{8B2A98F1-F5BF-4865-B268-1D961A6DE763}" name="Column8006"/>
    <tableColumn id="8018" xr3:uid="{FD4E6F08-703D-4289-8BB1-A6722B8A0151}" name="Column8007"/>
    <tableColumn id="8019" xr3:uid="{1C73A564-254F-4E75-BE4E-B9590346E01A}" name="Column8008"/>
    <tableColumn id="8020" xr3:uid="{13BC8229-AF69-4344-BEFA-90C7BB176EDD}" name="Column8009"/>
    <tableColumn id="8021" xr3:uid="{5C95F5F7-F043-44AE-9903-E3D34DA92817}" name="Column8010"/>
    <tableColumn id="8022" xr3:uid="{B84915EF-277A-4D01-AE59-34F5B0C15393}" name="Column8011"/>
    <tableColumn id="8023" xr3:uid="{2AB35D2D-765B-4AFD-A107-8BF99B555C24}" name="Column8012"/>
    <tableColumn id="8024" xr3:uid="{9FE5DCE7-E370-44FE-8ADC-6BA3729A98D7}" name="Column8013"/>
    <tableColumn id="8025" xr3:uid="{876C4E45-25FE-4226-999A-49B8C4EE9801}" name="Column8014"/>
    <tableColumn id="8026" xr3:uid="{B18E1D5E-D4CD-4F79-8CE9-FAB0A6F94EA5}" name="Column8015"/>
    <tableColumn id="8027" xr3:uid="{B5D9E553-6487-4450-915E-875817D73B7F}" name="Column8016"/>
    <tableColumn id="8028" xr3:uid="{86448CFB-F04A-4E72-A6B9-F14F567EE083}" name="Column8017"/>
    <tableColumn id="8029" xr3:uid="{F9815C89-72EF-486B-A235-0072AB46EFC6}" name="Column8018"/>
    <tableColumn id="8030" xr3:uid="{DBEB7DE7-24C6-4694-BE70-D8C4CE04C417}" name="Column8019"/>
    <tableColumn id="8031" xr3:uid="{5F44EDE9-772B-495F-9E4F-D88D39606D02}" name="Column8020"/>
    <tableColumn id="8032" xr3:uid="{7DF33ED1-AA01-4F38-9775-86D6CEB6F86C}" name="Column8021"/>
    <tableColumn id="8033" xr3:uid="{E0BC7727-1F0C-4E85-8DB9-093E695843F1}" name="Column8022"/>
    <tableColumn id="8034" xr3:uid="{882C21EA-9187-402E-8862-E501CAF9BA15}" name="Column8023"/>
    <tableColumn id="8035" xr3:uid="{FECCA014-0C50-4D64-A970-81B576DA6622}" name="Column8024"/>
    <tableColumn id="8036" xr3:uid="{72CC8122-B5A4-4BDF-8266-49BD1FC1674A}" name="Column8025"/>
    <tableColumn id="8037" xr3:uid="{51FB9D8C-1FFA-4B18-BE23-59D664FAA579}" name="Column8026"/>
    <tableColumn id="8038" xr3:uid="{1C724506-95E7-413A-87AA-F3685E356D2A}" name="Column8027"/>
    <tableColumn id="8039" xr3:uid="{37FFE7DB-FE44-45B6-91AC-9D04A22A3915}" name="Column8028"/>
    <tableColumn id="8040" xr3:uid="{68C56A47-574C-4FA5-84B6-55D481A37C18}" name="Column8029"/>
    <tableColumn id="8041" xr3:uid="{63955338-C29B-48FB-957A-CC433E6399DD}" name="Column8030"/>
    <tableColumn id="8042" xr3:uid="{49F9C9D6-0DD3-46B2-A5DD-2AE6AD6EE36E}" name="Column8031"/>
    <tableColumn id="8043" xr3:uid="{DAFE47D2-7D0D-4DCF-9762-F006B7ADAE42}" name="Column8032"/>
    <tableColumn id="8044" xr3:uid="{87A33CAA-D4D6-4091-B5BF-2062426C573E}" name="Column8033"/>
    <tableColumn id="8045" xr3:uid="{634F4861-89AA-4482-98AE-692A41E7FF58}" name="Column8034"/>
    <tableColumn id="8046" xr3:uid="{8A0CD33E-D4A1-4436-BBF4-10DC1BD2D1D3}" name="Column8035"/>
    <tableColumn id="8047" xr3:uid="{E65D7BD5-6A8F-4BC6-8CB1-8A51A18A2817}" name="Column8036"/>
    <tableColumn id="8048" xr3:uid="{641C2F56-CDEE-4D37-B6B5-96D526F18CB0}" name="Column8037"/>
    <tableColumn id="8049" xr3:uid="{2911E151-255F-4738-BE68-7B0AF93B0910}" name="Column8038"/>
    <tableColumn id="8050" xr3:uid="{5E81BE9E-447B-4F25-B932-06362516AE51}" name="Column8039"/>
    <tableColumn id="8051" xr3:uid="{EEE7F435-B61C-4113-BAA4-4C9A1C02F4C6}" name="Column8040"/>
    <tableColumn id="8052" xr3:uid="{7BD8C9CF-1E5F-498C-AF5E-E0DD953E714A}" name="Column8041"/>
    <tableColumn id="8053" xr3:uid="{4522A6BF-2C06-4166-BA5B-F71A928C3E52}" name="Column8042"/>
    <tableColumn id="8054" xr3:uid="{92843F7E-06D2-44E1-98AA-94854AC757AF}" name="Column8043"/>
    <tableColumn id="8055" xr3:uid="{A4D17349-B7EB-4F1D-B8CE-740178D910D6}" name="Column8044"/>
    <tableColumn id="8056" xr3:uid="{56BF814E-0372-4E1C-89A5-AF8EF2505360}" name="Column8045"/>
    <tableColumn id="8057" xr3:uid="{35D7F3EC-D842-46C1-A3FA-5474182ED62A}" name="Column8046"/>
    <tableColumn id="8058" xr3:uid="{C6B23B81-A6C4-4605-8C47-99372171D5E4}" name="Column8047"/>
    <tableColumn id="8059" xr3:uid="{6CFF165B-31A1-4323-90C7-CB948007114E}" name="Column8048"/>
    <tableColumn id="8060" xr3:uid="{F40E46CF-2F10-4462-B9EA-C3844353F176}" name="Column8049"/>
    <tableColumn id="8061" xr3:uid="{FC36C126-F7DB-4EF3-9A28-B62A60A13539}" name="Column8050"/>
    <tableColumn id="8062" xr3:uid="{70EEF4D0-4393-47A1-BA29-FD3A360387F2}" name="Column8051"/>
    <tableColumn id="8063" xr3:uid="{38E4C4F0-33FF-41F9-9E0A-230C984BDEE8}" name="Column8052"/>
    <tableColumn id="8064" xr3:uid="{9DFB63A5-49F2-4247-8122-CEF022DAA33A}" name="Column8053"/>
    <tableColumn id="8065" xr3:uid="{16FCDF4B-7106-4D32-8544-0FBAC28D0A9E}" name="Column8054"/>
    <tableColumn id="8066" xr3:uid="{F7608E7F-AF59-4537-B6F9-4C04C328FE13}" name="Column8055"/>
    <tableColumn id="8067" xr3:uid="{4312370E-2E78-4D5A-B296-E399461800F1}" name="Column8056"/>
    <tableColumn id="8068" xr3:uid="{8622FAF5-B7FA-4E9D-8DBF-5FB0B155DC7A}" name="Column8057"/>
    <tableColumn id="8069" xr3:uid="{E4AE7549-71DF-4AA7-A421-94372E074674}" name="Column8058"/>
    <tableColumn id="8070" xr3:uid="{4BD3F36C-801C-4FDD-8A77-CF7729B029AC}" name="Column8059"/>
    <tableColumn id="8071" xr3:uid="{C8E56EB8-22B6-4F8E-8186-04FDED4F1528}" name="Column8060"/>
    <tableColumn id="8072" xr3:uid="{C3D401A3-55B2-41CA-929D-9B5E30CC2F40}" name="Column8061"/>
    <tableColumn id="8073" xr3:uid="{05150C66-D9A5-4BBE-A268-665C4587FB9D}" name="Column8062"/>
    <tableColumn id="8074" xr3:uid="{5EA5AD94-9090-49F6-A54F-91237D46B4F2}" name="Column8063"/>
    <tableColumn id="8075" xr3:uid="{D3017BD7-0B95-4028-88EC-2009D4C0C3ED}" name="Column8064"/>
    <tableColumn id="8076" xr3:uid="{68212E02-CD40-4783-87C0-EBECFF377AE4}" name="Column8065"/>
    <tableColumn id="8077" xr3:uid="{5C37CE8A-A446-4125-B3A2-EAB5F7CEC71C}" name="Column8066"/>
    <tableColumn id="8078" xr3:uid="{F8030CFC-90A2-4D8C-A777-420B9BC1A00F}" name="Column8067"/>
    <tableColumn id="8079" xr3:uid="{1B056F66-E361-49F2-856D-65940631D55D}" name="Column8068"/>
    <tableColumn id="8080" xr3:uid="{79DD9ABA-9FE7-417B-AEDC-9024AFC1A269}" name="Column8069"/>
    <tableColumn id="8081" xr3:uid="{5C14B879-0035-4988-85C4-3B72C87DA005}" name="Column8070"/>
    <tableColumn id="8082" xr3:uid="{C102A8BB-E042-44D3-856E-5FBEB93A34FD}" name="Column8071"/>
    <tableColumn id="8083" xr3:uid="{CEE539BB-7E26-4841-B089-DF6C7F743B94}" name="Column8072"/>
    <tableColumn id="8084" xr3:uid="{85688DF7-BB32-4506-A241-73817C2822E4}" name="Column8073"/>
    <tableColumn id="8085" xr3:uid="{5956C21A-22AB-40F3-A271-33DE35767C5D}" name="Column8074"/>
    <tableColumn id="8086" xr3:uid="{BA9F2D32-00FA-4439-9C9F-44AE953AA030}" name="Column8075"/>
    <tableColumn id="8087" xr3:uid="{0CBEC8AE-5A8E-48D9-AFEF-080860591526}" name="Column8076"/>
    <tableColumn id="8088" xr3:uid="{13B792BB-8A5C-4C4B-84EF-6A5E01671DD0}" name="Column8077"/>
    <tableColumn id="8089" xr3:uid="{C2A6AA96-389B-4974-93AB-C733AADF4AC8}" name="Column8078"/>
    <tableColumn id="8090" xr3:uid="{36A51B6C-1B3A-4CD1-8241-CBE1C1237D5E}" name="Column8079"/>
    <tableColumn id="8091" xr3:uid="{FD6318CB-F1DE-4C29-A7C2-25FE0FBA655F}" name="Column8080"/>
    <tableColumn id="8092" xr3:uid="{967AB627-6F88-4B90-86A0-9D4F3D3EEBE3}" name="Column8081"/>
    <tableColumn id="8093" xr3:uid="{5F8A3E36-D8B5-44E4-BE20-765FE03B76C5}" name="Column8082"/>
    <tableColumn id="8094" xr3:uid="{7EF86327-AD42-404B-A10D-32C291E3165E}" name="Column8083"/>
    <tableColumn id="8095" xr3:uid="{1CED70AE-5581-41B6-A2AD-307C95AE19B9}" name="Column8084"/>
    <tableColumn id="8096" xr3:uid="{277C080F-850F-420F-B893-9FD76CB604B6}" name="Column8085"/>
    <tableColumn id="8097" xr3:uid="{A2F3EE25-90EC-4B20-8264-5FE8271EA707}" name="Column8086"/>
    <tableColumn id="8098" xr3:uid="{9BBA51D8-35E1-4A59-B1B8-12208D727FA0}" name="Column8087"/>
    <tableColumn id="8099" xr3:uid="{507F0D84-653D-4502-8E00-748BECA40C03}" name="Column8088"/>
    <tableColumn id="8100" xr3:uid="{583601CB-D64B-4219-8784-44F476D1DA6A}" name="Column8089"/>
    <tableColumn id="8101" xr3:uid="{171C4163-C330-4B13-8527-00C0CC36B652}" name="Column8090"/>
    <tableColumn id="8102" xr3:uid="{939EB699-5075-4470-A8E5-85C8D9230C8B}" name="Column8091"/>
    <tableColumn id="8103" xr3:uid="{9DEB1E26-AC01-4AD6-BB95-BA4B1E60499A}" name="Column8092"/>
    <tableColumn id="8104" xr3:uid="{19B5CD18-9ECE-457A-830B-DD02CB39FF39}" name="Column8093"/>
    <tableColumn id="8105" xr3:uid="{B2351158-0F52-468D-B094-D02A4240D8AA}" name="Column8094"/>
    <tableColumn id="8106" xr3:uid="{570097B2-4D60-43A6-AA63-4C7F69D60F2A}" name="Column8095"/>
    <tableColumn id="8107" xr3:uid="{E4C677C9-F497-4129-8C9B-555F67A3842E}" name="Column8096"/>
    <tableColumn id="8108" xr3:uid="{244C5D6B-14C9-4B92-9E0C-92B991815C2D}" name="Column8097"/>
    <tableColumn id="8109" xr3:uid="{24F7EF90-15DB-4F49-8B58-C342172CA11C}" name="Column8098"/>
    <tableColumn id="8110" xr3:uid="{878A2AD7-6908-49C0-90C7-9959FCC17021}" name="Column8099"/>
    <tableColumn id="8111" xr3:uid="{26DC301D-0F4E-4D33-98FA-AD91C6A9B9C2}" name="Column8100"/>
    <tableColumn id="8112" xr3:uid="{E5E3FED9-EB2A-4311-A657-F8435FB989CE}" name="Column8101"/>
    <tableColumn id="8113" xr3:uid="{71EFFB85-6FA6-4EB2-AD13-474E3586132F}" name="Column8102"/>
    <tableColumn id="8114" xr3:uid="{A42C550A-E5E2-4D04-866F-FE0ED8B4C30A}" name="Column8103"/>
    <tableColumn id="8115" xr3:uid="{07F3206F-7EBF-4BAE-8FAA-5CBF96F00F94}" name="Column8104"/>
    <tableColumn id="8116" xr3:uid="{A2C238B8-9157-4759-AEAF-149FB53BCBB5}" name="Column8105"/>
    <tableColumn id="8117" xr3:uid="{01BD9C1B-029F-4709-927A-1AE83AE4A035}" name="Column8106"/>
    <tableColumn id="8118" xr3:uid="{CD4A1E56-2507-4D5E-BB28-0FEBFEFABCD6}" name="Column8107"/>
    <tableColumn id="8119" xr3:uid="{959F2EAB-DD71-4A76-9EEB-A12021026AA3}" name="Column8108"/>
    <tableColumn id="8120" xr3:uid="{6EAE0476-300F-471A-8BB9-613B6B4DD951}" name="Column8109"/>
    <tableColumn id="8121" xr3:uid="{7D6EF2F7-35C1-4CDD-8865-736247BE6EF4}" name="Column8110"/>
    <tableColumn id="8122" xr3:uid="{830DF13D-48A3-44C4-BD60-E0D1042AF1C5}" name="Column8111"/>
    <tableColumn id="8123" xr3:uid="{644375EF-CA56-4B7C-8CDD-BB1DA656E6A3}" name="Column8112"/>
    <tableColumn id="8124" xr3:uid="{069BDF42-FA7A-4967-B8D7-AFB3B2B934A9}" name="Column8113"/>
    <tableColumn id="8125" xr3:uid="{DFEC782B-BEAA-45E0-A7FF-9B35D553EDB0}" name="Column8114"/>
    <tableColumn id="8126" xr3:uid="{0CD29AD2-CF2B-4D26-9E93-C1917693E3B5}" name="Column8115"/>
    <tableColumn id="8127" xr3:uid="{33FD3468-6B44-4B63-A662-4DB382427E65}" name="Column8116"/>
    <tableColumn id="8128" xr3:uid="{B19A88C9-4F0B-46E9-B9B0-44EC82BB4318}" name="Column8117"/>
    <tableColumn id="8129" xr3:uid="{722A97FB-1672-4C24-8B91-B7776C23CCBD}" name="Column8118"/>
    <tableColumn id="8130" xr3:uid="{1CA672D5-D877-49DA-A8E6-D297B200D092}" name="Column8119"/>
    <tableColumn id="8131" xr3:uid="{37495402-EAA1-4BC6-9C1A-618F0659B859}" name="Column8120"/>
    <tableColumn id="8132" xr3:uid="{59D4C766-606C-4CE9-96E5-79481C43FE84}" name="Column8121"/>
    <tableColumn id="8133" xr3:uid="{1D0E5828-7257-475D-82B8-03FD4332147C}" name="Column8122"/>
    <tableColumn id="8134" xr3:uid="{46E7C8FC-7191-4933-ADC9-4172A4A9428B}" name="Column8123"/>
    <tableColumn id="8135" xr3:uid="{9AD52172-9187-4C01-B4A5-828A6320403D}" name="Column8124"/>
    <tableColumn id="8136" xr3:uid="{ED62BA82-1527-4967-B032-8369FC31F9C3}" name="Column8125"/>
    <tableColumn id="8137" xr3:uid="{AF8A9E7E-205D-4668-B2E7-99DF1C32C492}" name="Column8126"/>
    <tableColumn id="8138" xr3:uid="{45D65165-BD51-4E14-8F23-9ADBCBA5C948}" name="Column8127"/>
    <tableColumn id="8139" xr3:uid="{AB24B693-9D3E-4A1E-A350-5675B4D73ACF}" name="Column8128"/>
    <tableColumn id="8140" xr3:uid="{649C7852-ED9F-4BAF-9BA9-959F241261B7}" name="Column8129"/>
    <tableColumn id="8141" xr3:uid="{40AEC5E3-D59C-4863-AF51-BBE6CB8E674B}" name="Column8130"/>
    <tableColumn id="8142" xr3:uid="{8D34399F-41E8-474E-8462-18C1C3DFA6F4}" name="Column8131"/>
    <tableColumn id="8143" xr3:uid="{B486B620-D848-4503-BC4D-EAF00CD593C3}" name="Column8132"/>
    <tableColumn id="8144" xr3:uid="{AEF7C0DD-296E-4EDB-B363-0C82BF884D60}" name="Column8133"/>
    <tableColumn id="8145" xr3:uid="{2C8C031B-F9CB-46D7-9525-9E265B688630}" name="Column8134"/>
    <tableColumn id="8146" xr3:uid="{FB75A813-B6C3-4A70-932B-9A1AFDEF15D2}" name="Column8135"/>
    <tableColumn id="8147" xr3:uid="{2B6B5701-29A7-4486-8ED9-3410C77C3DEA}" name="Column8136"/>
    <tableColumn id="8148" xr3:uid="{0975E2AD-9DB3-4515-883A-4114FF7DACDD}" name="Column8137"/>
    <tableColumn id="8149" xr3:uid="{F489D0E6-013E-484B-BAE5-79B6E9BD780E}" name="Column8138"/>
    <tableColumn id="8150" xr3:uid="{2DF23F46-78AA-4D2B-90BC-60DE2D83839A}" name="Column8139"/>
    <tableColumn id="8151" xr3:uid="{471C67BB-EF3D-43AE-ABCF-7D480B2659D8}" name="Column8140"/>
    <tableColumn id="8152" xr3:uid="{B864DEE4-0F57-49C3-AD81-7B437776C88A}" name="Column8141"/>
    <tableColumn id="8153" xr3:uid="{F85E321B-FD95-48D7-A296-043797E6EAD7}" name="Column8142"/>
    <tableColumn id="8154" xr3:uid="{CFBBCD61-52FC-40FB-AFC7-AB802A327270}" name="Column8143"/>
    <tableColumn id="8155" xr3:uid="{DACB8C49-2BC3-4CE7-ABFA-04C81BA13B10}" name="Column8144"/>
    <tableColumn id="8156" xr3:uid="{D89A42D7-55BE-41DE-895B-E361D3DB9804}" name="Column8145"/>
    <tableColumn id="8157" xr3:uid="{CC922ECC-3065-474D-85DA-CB1E36B078EC}" name="Column8146"/>
    <tableColumn id="8158" xr3:uid="{2EBFC3B4-99CB-4F61-949D-70F0D5D26C18}" name="Column8147"/>
    <tableColumn id="8159" xr3:uid="{7CEE4E44-88D5-4EEC-AC90-921076F4E973}" name="Column8148"/>
    <tableColumn id="8160" xr3:uid="{F6C51C3C-367C-497E-A83D-74C972992CAC}" name="Column8149"/>
    <tableColumn id="8161" xr3:uid="{285BC80D-F55D-4AB7-BD9C-8A3259E3D888}" name="Column8150"/>
    <tableColumn id="8162" xr3:uid="{F8267EB8-61DA-44E8-A8C4-0AEB37BDE196}" name="Column8151"/>
    <tableColumn id="8163" xr3:uid="{5053C9D7-A5F6-4A8C-B908-0ED8525AA7E5}" name="Column8152"/>
    <tableColumn id="8164" xr3:uid="{E612DD45-2240-4B69-8884-1176899FB33B}" name="Column8153"/>
    <tableColumn id="8165" xr3:uid="{30BF39AD-482E-4212-B60E-D581191DD3F7}" name="Column8154"/>
    <tableColumn id="8166" xr3:uid="{BB7BA7A5-0E99-4586-8548-0E0022F247D1}" name="Column8155"/>
    <tableColumn id="8167" xr3:uid="{FDDAD2BB-6E3A-437A-A2F3-48C824BEAD43}" name="Column8156"/>
    <tableColumn id="8168" xr3:uid="{69D8CF23-71BF-49F3-91AF-916B9172A060}" name="Column8157"/>
    <tableColumn id="8169" xr3:uid="{5F8F8296-04A2-4339-BC54-A7E3B48C928A}" name="Column8158"/>
    <tableColumn id="8170" xr3:uid="{5CC8C880-5675-41B6-9EA4-7DF0D02299BF}" name="Column8159"/>
    <tableColumn id="8171" xr3:uid="{FAF08080-7AC2-4F61-BADD-6E80ADCA0FD4}" name="Column8160"/>
    <tableColumn id="8172" xr3:uid="{37AF7FAD-3206-4F91-924E-8D9E874C94AA}" name="Column8161"/>
    <tableColumn id="8173" xr3:uid="{669EEE64-18AC-4DD1-8F92-BA6FEE5A1106}" name="Column8162"/>
    <tableColumn id="8174" xr3:uid="{1C364C2B-2AF4-44D0-86D8-9E8AE49E314C}" name="Column8163"/>
    <tableColumn id="8175" xr3:uid="{CF0E9169-A04B-48E0-860B-3451F835EAF4}" name="Column8164"/>
    <tableColumn id="8176" xr3:uid="{CDCEB35B-224E-4D10-B247-62D3200CBB3A}" name="Column8165"/>
    <tableColumn id="8177" xr3:uid="{B07CD533-EA95-448D-9756-554B597D87A1}" name="Column8166"/>
    <tableColumn id="8178" xr3:uid="{03EB6F23-4B83-43E4-8EDB-BBA917AB9557}" name="Column8167"/>
    <tableColumn id="8179" xr3:uid="{6437CB2E-0735-4A3A-9481-924D6841EF3C}" name="Column8168"/>
    <tableColumn id="8180" xr3:uid="{4F8F380A-EB00-4ACF-BD61-283808C82771}" name="Column8169"/>
    <tableColumn id="8181" xr3:uid="{C6A81056-ADA3-4803-83F9-7C4BF097F792}" name="Column8170"/>
    <tableColumn id="8182" xr3:uid="{DDC59CA9-E34C-4144-95B3-995776B81ACA}" name="Column8171"/>
    <tableColumn id="8183" xr3:uid="{0D013220-28EC-46B6-AF95-74547D4C418C}" name="Column8172"/>
    <tableColumn id="8184" xr3:uid="{42825C09-2302-4CD1-8B35-F2BC8880C662}" name="Column8173"/>
    <tableColumn id="8185" xr3:uid="{3A917E6E-583B-4F25-AA86-1D0A51D585E1}" name="Column8174"/>
    <tableColumn id="8186" xr3:uid="{1A3C2C00-D2BA-4321-93B1-DC253754200B}" name="Column8175"/>
    <tableColumn id="8187" xr3:uid="{8A475027-E0AC-4095-B8C5-8A1FCD89C8A1}" name="Column8176"/>
    <tableColumn id="8188" xr3:uid="{A21C6688-A76A-4D2E-AB62-CB58B80B2565}" name="Column8177"/>
    <tableColumn id="8189" xr3:uid="{406560A2-0489-4F93-84CB-356480D56207}" name="Column8178"/>
    <tableColumn id="8190" xr3:uid="{FDE2CF6A-D0E5-437B-A669-316FF9301836}" name="Column8179"/>
    <tableColumn id="8191" xr3:uid="{9A5F14CF-0386-4041-9E6F-3FB01F3601AA}" name="Column8180"/>
    <tableColumn id="8192" xr3:uid="{46A2B42D-CA41-4469-9DE4-D6741D282432}" name="Column8181"/>
    <tableColumn id="8193" xr3:uid="{36658310-FC8C-453E-8DAA-AAF84065D6C4}" name="Column8182"/>
    <tableColumn id="8194" xr3:uid="{69F957CA-35CA-4C27-9BBB-CC5253480BC8}" name="Column8183"/>
    <tableColumn id="8195" xr3:uid="{83A24F9C-9394-48F7-9224-79DF326AE84D}" name="Column8184"/>
    <tableColumn id="8196" xr3:uid="{C84B5B62-2630-43B8-BA7E-FD177F40891F}" name="Column8185"/>
    <tableColumn id="8197" xr3:uid="{4DFFC814-EDD7-49F9-ABA1-B97E19408C5B}" name="Column8186"/>
    <tableColumn id="8198" xr3:uid="{AD00566D-C037-4130-A46B-1FE978DFB4DA}" name="Column8187"/>
    <tableColumn id="8199" xr3:uid="{AD6A7DAD-0C47-4A21-B748-98CEF25EF707}" name="Column8188"/>
    <tableColumn id="8200" xr3:uid="{763C72D3-161A-49DF-9D29-30E13A2A8E88}" name="Column8189"/>
    <tableColumn id="8201" xr3:uid="{AC2F5B9F-1E22-4F86-BBAA-C06ABE487366}" name="Column8190"/>
    <tableColumn id="8202" xr3:uid="{BD03F1E5-28F1-4F5C-B40B-2C2A456E14E1}" name="Column8191"/>
    <tableColumn id="8203" xr3:uid="{5C79845E-FDEB-4A48-ABAA-8C6A5E503A6C}" name="Column8192"/>
    <tableColumn id="8204" xr3:uid="{FB3E5192-714E-480B-969C-54D0BD1BDDD0}" name="Column8193"/>
    <tableColumn id="8205" xr3:uid="{18A85401-E529-41EB-AB76-7171226F1CA6}" name="Column8194"/>
    <tableColumn id="8206" xr3:uid="{1F6D1E06-891E-4485-AA31-A0CCB2FCC5FE}" name="Column8195"/>
    <tableColumn id="8207" xr3:uid="{66EA5CF2-7FE2-4BA6-A5AA-636D4F9055F8}" name="Column8196"/>
    <tableColumn id="8208" xr3:uid="{98AB23C6-9367-4E93-8436-9CF31BF62323}" name="Column8197"/>
    <tableColumn id="8209" xr3:uid="{24E5494F-31A2-4233-8358-8780835F9D09}" name="Column8198"/>
    <tableColumn id="8210" xr3:uid="{347A3CAE-219D-4C77-8055-756A2C3FEFAB}" name="Column8199"/>
    <tableColumn id="8211" xr3:uid="{A85EEABC-7FA6-4A41-A5FB-9E5BB64C0C30}" name="Column8200"/>
    <tableColumn id="8212" xr3:uid="{0B1ACCA2-8D5E-4A43-AE09-45A96C1C6C8E}" name="Column8201"/>
    <tableColumn id="8213" xr3:uid="{0689EE0A-2C46-477D-924B-0472C3F0A4DF}" name="Column8202"/>
    <tableColumn id="8214" xr3:uid="{8D8EDA0A-F5DA-4305-BE6D-AABDCAEF4025}" name="Column8203"/>
    <tableColumn id="8215" xr3:uid="{CB0405E2-79B9-480D-8DFA-837F68832556}" name="Column8204"/>
    <tableColumn id="8216" xr3:uid="{D18B23AA-E9A2-4A80-BACC-5176530286B6}" name="Column8205"/>
    <tableColumn id="8217" xr3:uid="{111774C9-5C5C-4A0F-9202-FA97B7EF9C2B}" name="Column8206"/>
    <tableColumn id="8218" xr3:uid="{F0871784-4D58-4559-A1B5-2605B2F4AB46}" name="Column8207"/>
    <tableColumn id="8219" xr3:uid="{7F8A3717-2536-41A3-B659-A18AE66D0E8E}" name="Column8208"/>
    <tableColumn id="8220" xr3:uid="{A5A837DF-97E7-4752-8748-3E941BA3257E}" name="Column8209"/>
    <tableColumn id="8221" xr3:uid="{7F10B69B-E276-419C-84C3-F1F51C35DA3A}" name="Column8210"/>
    <tableColumn id="8222" xr3:uid="{DD041A5F-5EF7-4F7F-A278-CDD18EC0ECE5}" name="Column8211"/>
    <tableColumn id="8223" xr3:uid="{A92B2CCA-5EF8-4B76-A639-514876E6AF4B}" name="Column8212"/>
    <tableColumn id="8224" xr3:uid="{BCD6F262-C3E9-42AE-AE66-003151722734}" name="Column8213"/>
    <tableColumn id="8225" xr3:uid="{B8AB664A-55F8-4D5D-818F-7DF54C02E76E}" name="Column8214"/>
    <tableColumn id="8226" xr3:uid="{8213C45F-C02A-449D-BDAF-A46A9C84D8F6}" name="Column8215"/>
    <tableColumn id="8227" xr3:uid="{628DD5A7-93B0-4665-8DB9-45BA352A3B85}" name="Column8216"/>
    <tableColumn id="8228" xr3:uid="{7F207687-13E9-4A74-8561-A59D2D284A95}" name="Column8217"/>
    <tableColumn id="8229" xr3:uid="{ACE2F251-38E7-484C-B37F-110B3C4B06FD}" name="Column8218"/>
    <tableColumn id="8230" xr3:uid="{900A6A4B-4260-4245-8FCF-286B7F4DB78A}" name="Column8219"/>
    <tableColumn id="8231" xr3:uid="{8289E306-01A2-4BA0-AA03-4C69B9A28491}" name="Column8220"/>
    <tableColumn id="8232" xr3:uid="{08380027-450C-4AD8-8B0D-BF37C2ED076E}" name="Column8221"/>
    <tableColumn id="8233" xr3:uid="{A69F5DEB-658A-4BA1-911B-375BBF02D1BB}" name="Column8222"/>
    <tableColumn id="8234" xr3:uid="{900E8C6C-0797-4C55-A885-730373C5BE27}" name="Column8223"/>
    <tableColumn id="8235" xr3:uid="{9976F6C1-4C16-4EC9-9631-81BCF8D1C19B}" name="Column8224"/>
    <tableColumn id="8236" xr3:uid="{A70F6185-C443-42E7-AB33-905D9637B397}" name="Column8225"/>
    <tableColumn id="8237" xr3:uid="{0A878757-1C59-4B6E-A908-038FFD48D191}" name="Column8226"/>
    <tableColumn id="8238" xr3:uid="{DA016AFF-5EC6-4AD7-B8C3-F2786DF18AC3}" name="Column8227"/>
    <tableColumn id="8239" xr3:uid="{66CABD7F-FF65-482C-9D63-94B81BF29376}" name="Column8228"/>
    <tableColumn id="8240" xr3:uid="{4A43B8B5-C040-4717-A481-C56CB79C610F}" name="Column8229"/>
    <tableColumn id="8241" xr3:uid="{8F5EAA85-D0CF-47AB-A1DD-4738DA8CE16F}" name="Column8230"/>
    <tableColumn id="8242" xr3:uid="{8E726988-D833-468E-A484-B4268ED08006}" name="Column8231"/>
    <tableColumn id="8243" xr3:uid="{1C680A8D-05F4-405C-BC4D-E12F60431060}" name="Column8232"/>
    <tableColumn id="8244" xr3:uid="{DC3DFE11-3A68-484E-AB57-E4AAF5CFC3AC}" name="Column8233"/>
    <tableColumn id="8245" xr3:uid="{01606B7E-4180-43E6-8D9B-759E0BBECE6D}" name="Column8234"/>
    <tableColumn id="8246" xr3:uid="{AA4094BC-5D81-4FBD-87E7-E6794653FCAB}" name="Column8235"/>
    <tableColumn id="8247" xr3:uid="{229B7F41-A6C5-4E64-92B4-0F5450B79100}" name="Column8236"/>
    <tableColumn id="8248" xr3:uid="{EAA3494B-69BB-41DD-9464-49CDDEB87CA8}" name="Column8237"/>
    <tableColumn id="8249" xr3:uid="{DEF88F74-D1FF-4977-8BC4-10F0A4E9A4A2}" name="Column8238"/>
    <tableColumn id="8250" xr3:uid="{A03F18D5-FE9A-4E15-8230-030617C3061F}" name="Column8239"/>
    <tableColumn id="8251" xr3:uid="{64CBD59B-9C6F-42FD-BB9B-F29FB646A595}" name="Column8240"/>
    <tableColumn id="8252" xr3:uid="{385ED12B-A124-4E95-99AB-D12168DB41E1}" name="Column8241"/>
    <tableColumn id="8253" xr3:uid="{BAB9714D-7873-46C0-AABB-D28089858EA6}" name="Column8242"/>
    <tableColumn id="8254" xr3:uid="{A1E5B85A-A206-4320-B485-063CBC9707AA}" name="Column8243"/>
    <tableColumn id="8255" xr3:uid="{D7A918C6-7C51-45A6-A1A5-0D4860031689}" name="Column8244"/>
    <tableColumn id="8256" xr3:uid="{361034C6-386F-411D-80B9-D3BCE10FDD2D}" name="Column8245"/>
    <tableColumn id="8257" xr3:uid="{29E7899C-D8D2-4766-B8AE-6283CD192D32}" name="Column8246"/>
    <tableColumn id="8258" xr3:uid="{68650F1E-F7D0-45D2-A7C7-94695D331880}" name="Column8247"/>
    <tableColumn id="8259" xr3:uid="{6B9D34E7-A9C8-4AF0-8007-C67A241C5699}" name="Column8248"/>
    <tableColumn id="8260" xr3:uid="{624B3189-9D4E-4535-89F2-B771E2900F93}" name="Column8249"/>
    <tableColumn id="8261" xr3:uid="{358B63DA-7276-422C-BB5A-713CABDE6872}" name="Column8250"/>
    <tableColumn id="8262" xr3:uid="{0F0F2A90-AE41-402E-99BE-94BA3A55E6D4}" name="Column8251"/>
    <tableColumn id="8263" xr3:uid="{E90C3EEB-3C88-4E1C-9568-D867AE3F5461}" name="Column8252"/>
    <tableColumn id="8264" xr3:uid="{DC9F5CBA-B62B-4F12-B4CD-7D0C8FA5A4DA}" name="Column8253"/>
    <tableColumn id="8265" xr3:uid="{CF5E62F4-1AA7-4328-825B-8A5947B5EA67}" name="Column8254"/>
    <tableColumn id="8266" xr3:uid="{848C4DF6-561D-4857-8011-B64E9059D5E0}" name="Column8255"/>
    <tableColumn id="8267" xr3:uid="{76269B69-858E-4329-AC43-184F9B35D70B}" name="Column8256"/>
    <tableColumn id="8268" xr3:uid="{12403254-716C-491E-9303-EC2BE80F4E58}" name="Column8257"/>
    <tableColumn id="8269" xr3:uid="{62DDE2A9-8F01-4FCE-9ACB-56DEB6A2A70D}" name="Column8258"/>
    <tableColumn id="8270" xr3:uid="{E8313456-20F6-4D59-84F1-F8225C276857}" name="Column8259"/>
    <tableColumn id="8271" xr3:uid="{23598BC2-A1AF-4888-9D2B-F294A532EA32}" name="Column8260"/>
    <tableColumn id="8272" xr3:uid="{2E3BF84C-0F72-4BA7-B66D-58F0AA970E28}" name="Column8261"/>
    <tableColumn id="8273" xr3:uid="{ABF88526-4B43-478A-9E24-06C3AFBCD246}" name="Column8262"/>
    <tableColumn id="8274" xr3:uid="{E3845EA9-FEFA-48C4-901A-8685186DA3B8}" name="Column8263"/>
    <tableColumn id="8275" xr3:uid="{CE65764F-A836-4457-B794-151F95016FA4}" name="Column8264"/>
    <tableColumn id="8276" xr3:uid="{74CC1DF7-CA2C-4FC7-8EF8-1DEE8E217BFC}" name="Column8265"/>
    <tableColumn id="8277" xr3:uid="{DE0189BB-C3FC-4742-AA20-B1DD66EFD25F}" name="Column8266"/>
    <tableColumn id="8278" xr3:uid="{CB313FD6-3B94-4E0B-BD2A-C5EB23B12200}" name="Column8267"/>
    <tableColumn id="8279" xr3:uid="{BB5FD468-30C3-4FC8-B0A8-D164CBD91B6F}" name="Column8268"/>
    <tableColumn id="8280" xr3:uid="{1AE8FA1C-C509-44D4-B908-C78F1BF7E7A1}" name="Column8269"/>
    <tableColumn id="8281" xr3:uid="{2CA5B051-37FE-4DA7-80AC-968F3A139119}" name="Column8270"/>
    <tableColumn id="8282" xr3:uid="{FF3F5664-016F-40B5-970E-7D67F195BB1E}" name="Column8271"/>
    <tableColumn id="8283" xr3:uid="{1C6B4B1C-CC10-4543-9247-FDAF1A0CF7C7}" name="Column8272"/>
    <tableColumn id="8284" xr3:uid="{713E416D-6941-4B99-96C8-BC1DB9128475}" name="Column8273"/>
    <tableColumn id="8285" xr3:uid="{5D068664-95D0-4505-B37D-50416DD7195E}" name="Column8274"/>
    <tableColumn id="8286" xr3:uid="{498A9700-63AC-4FBA-A09C-0EC398765D6A}" name="Column8275"/>
    <tableColumn id="8287" xr3:uid="{97B76591-BA3C-488B-80C3-0E695121BD8B}" name="Column8276"/>
    <tableColumn id="8288" xr3:uid="{F64F1853-9DB5-4BAC-B4D5-588CDA40F210}" name="Column8277"/>
    <tableColumn id="8289" xr3:uid="{44C148B1-24A7-455C-88FA-7AA35EEAF67B}" name="Column8278"/>
    <tableColumn id="8290" xr3:uid="{7ABB22C5-8909-4F05-9FF4-F82A41FC28BA}" name="Column8279"/>
    <tableColumn id="8291" xr3:uid="{4509D8FE-D9A5-4FC3-B7AD-3C69CE8B990E}" name="Column8280"/>
    <tableColumn id="8292" xr3:uid="{F5EC02D9-6ABB-418E-BDDC-D5F93FCBCEAF}" name="Column8281"/>
    <tableColumn id="8293" xr3:uid="{FE2DE461-6E93-4B45-B622-0DFFEC3AB5AB}" name="Column8282"/>
    <tableColumn id="8294" xr3:uid="{451AC037-B79C-46FE-82F2-51A38A30E905}" name="Column8283"/>
    <tableColumn id="8295" xr3:uid="{9F1E122D-D966-494D-8821-220AA3DD5A70}" name="Column8284"/>
    <tableColumn id="8296" xr3:uid="{9A36203C-C15F-4238-871F-AAEEF0F7711F}" name="Column8285"/>
    <tableColumn id="8297" xr3:uid="{7F0363A4-A592-45AD-844D-C3C6E07A47C9}" name="Column8286"/>
    <tableColumn id="8298" xr3:uid="{578F8EEF-38E6-4D34-A55B-08996F792548}" name="Column8287"/>
    <tableColumn id="8299" xr3:uid="{EA44F596-D5DC-4679-A321-EC913D4C8052}" name="Column8288"/>
    <tableColumn id="8300" xr3:uid="{6698A9E2-1F5A-4F87-9242-318B5046FA08}" name="Column8289"/>
    <tableColumn id="8301" xr3:uid="{9AE77834-B130-4BCC-9673-76F3BFB351BA}" name="Column8290"/>
    <tableColumn id="8302" xr3:uid="{8692C66C-29DE-41C5-9051-9DF37FD0C9BD}" name="Column8291"/>
    <tableColumn id="8303" xr3:uid="{6A1017AA-56E7-4162-9BFF-44FB0AB072C3}" name="Column8292"/>
    <tableColumn id="8304" xr3:uid="{A97BF3C7-6966-463B-8FCF-9C5E6FD139D5}" name="Column8293"/>
    <tableColumn id="8305" xr3:uid="{F5FA5457-FB2A-411B-940C-263DAB5AC60A}" name="Column8294"/>
    <tableColumn id="8306" xr3:uid="{B8FD9AE5-58D1-41D9-B5DD-C98D5261E9B0}" name="Column8295"/>
    <tableColumn id="8307" xr3:uid="{A9D55424-5E88-4984-80F7-53F134DD004D}" name="Column8296"/>
    <tableColumn id="8308" xr3:uid="{B9273807-BCC3-4C25-968C-CA7661B5E01A}" name="Column8297"/>
    <tableColumn id="8309" xr3:uid="{A6758EBB-1757-4452-B445-F7944CE332A2}" name="Column8298"/>
    <tableColumn id="8310" xr3:uid="{B5AF2E9B-66D6-4BAD-9206-2189099CC7F3}" name="Column8299"/>
    <tableColumn id="8311" xr3:uid="{11932458-5EEA-4C15-9678-4F2D8AB47762}" name="Column8300"/>
    <tableColumn id="8312" xr3:uid="{5FC79BC8-35D1-47A3-B05D-C072D4B30B9C}" name="Column8301"/>
    <tableColumn id="8313" xr3:uid="{C73BE694-E49F-44CF-9B25-FE8A9977C652}" name="Column8302"/>
    <tableColumn id="8314" xr3:uid="{547A4168-2E7C-4077-9056-0D148496A811}" name="Column8303"/>
    <tableColumn id="8315" xr3:uid="{962A7070-F0C3-4D13-B0E9-8E951B853F06}" name="Column8304"/>
    <tableColumn id="8316" xr3:uid="{6D553F24-9477-4FD9-819B-C125ADE7A28C}" name="Column8305"/>
    <tableColumn id="8317" xr3:uid="{95B18533-940B-49D7-B9BB-A84EFA8A0B54}" name="Column8306"/>
    <tableColumn id="8318" xr3:uid="{D5CFF463-B725-44F4-8200-0204EE531C35}" name="Column8307"/>
    <tableColumn id="8319" xr3:uid="{89E2F5EB-8A74-4F15-9BA7-20A066F73B2D}" name="Column8308"/>
    <tableColumn id="8320" xr3:uid="{7BC6E91E-757F-43D9-B9C9-872B46B2EB04}" name="Column8309"/>
    <tableColumn id="8321" xr3:uid="{075BD9E8-0EB5-4D14-97F3-9182EE80A4A0}" name="Column8310"/>
    <tableColumn id="8322" xr3:uid="{F45737EC-F7B9-4E23-B0CB-CD8BE9AD08A1}" name="Column8311"/>
    <tableColumn id="8323" xr3:uid="{F0323C4D-EBA6-4B37-92B1-B6980D641725}" name="Column8312"/>
    <tableColumn id="8324" xr3:uid="{A448D0F8-E55A-412F-96A3-AF4017449BF9}" name="Column8313"/>
    <tableColumn id="8325" xr3:uid="{C905DF80-C60F-4A36-A38C-4047CDBFEC08}" name="Column8314"/>
    <tableColumn id="8326" xr3:uid="{B9B3C3A1-4595-4481-9491-9CCDFCA5837E}" name="Column8315"/>
    <tableColumn id="8327" xr3:uid="{75F9AA23-9FAA-47F0-8E5B-6D50874EFD56}" name="Column8316"/>
    <tableColumn id="8328" xr3:uid="{10320F3A-97B2-4566-8226-E9BDB2835385}" name="Column8317"/>
    <tableColumn id="8329" xr3:uid="{577A3275-F07A-4740-A56B-1F74CD0EA17D}" name="Column8318"/>
    <tableColumn id="8330" xr3:uid="{14530C6C-7633-4445-B40E-5B0DBAE0316B}" name="Column8319"/>
    <tableColumn id="8331" xr3:uid="{FC0E0851-A681-4EAF-9C39-58046E514350}" name="Column8320"/>
    <tableColumn id="8332" xr3:uid="{9954784C-549C-4F84-9A55-F503C4294A9F}" name="Column8321"/>
    <tableColumn id="8333" xr3:uid="{9F8626FA-80AE-4DCD-8E66-BDC58FC816B6}" name="Column8322"/>
    <tableColumn id="8334" xr3:uid="{601C2963-C02D-44D9-8E1A-9C05D453F5D5}" name="Column8323"/>
    <tableColumn id="8335" xr3:uid="{29925A86-94E4-4109-BA2C-5640ADACEB97}" name="Column8324"/>
    <tableColumn id="8336" xr3:uid="{6EEE0509-44D7-4A40-BDFD-E1468B46B032}" name="Column8325"/>
    <tableColumn id="8337" xr3:uid="{C4038E5D-7612-488E-BE64-46E08B557C09}" name="Column8326"/>
    <tableColumn id="8338" xr3:uid="{B44013DA-5F2A-45DB-8408-EF73A0361942}" name="Column8327"/>
    <tableColumn id="8339" xr3:uid="{4AB616D0-D265-4506-BF84-622985A23A3A}" name="Column8328"/>
    <tableColumn id="8340" xr3:uid="{6904B8CE-66B7-4494-8534-B0F380BE783F}" name="Column8329"/>
    <tableColumn id="8341" xr3:uid="{B16E7247-A51D-42DC-BA44-9E25FAD40627}" name="Column8330"/>
    <tableColumn id="8342" xr3:uid="{7DEBE2E9-EDAB-4688-80BF-B5E43AE4FF14}" name="Column8331"/>
    <tableColumn id="8343" xr3:uid="{2966D461-FA27-43F1-85D1-64D3421958E4}" name="Column8332"/>
    <tableColumn id="8344" xr3:uid="{BD135BB6-8FF1-47D2-98FD-6B539296C524}" name="Column8333"/>
    <tableColumn id="8345" xr3:uid="{F803A02F-7984-4C94-945E-F242C46EF71E}" name="Column8334"/>
    <tableColumn id="8346" xr3:uid="{ABE4C252-961C-4464-AAE4-07D9E65F257F}" name="Column8335"/>
    <tableColumn id="8347" xr3:uid="{2A6A8128-A0FE-4EC2-A930-CDCB9A774FD7}" name="Column8336"/>
    <tableColumn id="8348" xr3:uid="{A8925432-A5DB-4F8A-AB56-6CAE5B0B858C}" name="Column8337"/>
    <tableColumn id="8349" xr3:uid="{64B4C6E1-E74A-468B-AA6D-781FF1188553}" name="Column8338"/>
    <tableColumn id="8350" xr3:uid="{AF401A15-AEA5-4994-82D7-FA2861D34D42}" name="Column8339"/>
    <tableColumn id="8351" xr3:uid="{3403A3B5-CD7A-4A07-9281-7F1302A10038}" name="Column8340"/>
    <tableColumn id="8352" xr3:uid="{90CFAB6F-285A-432A-BF59-8C713257CA90}" name="Column8341"/>
    <tableColumn id="8353" xr3:uid="{5863B72C-334A-4AD6-85C3-378BEF57ACED}" name="Column8342"/>
    <tableColumn id="8354" xr3:uid="{B95ACCF0-F0C9-48B7-B5AF-C259A7BC9046}" name="Column8343"/>
    <tableColumn id="8355" xr3:uid="{15BF9A42-ECD9-4BF6-A0B7-57E711885159}" name="Column8344"/>
    <tableColumn id="8356" xr3:uid="{4FDB9E99-ACFB-48BD-95B3-358D841EA3ED}" name="Column8345"/>
    <tableColumn id="8357" xr3:uid="{DE9EA29B-77B5-4D0C-9E92-8C39E2433966}" name="Column8346"/>
    <tableColumn id="8358" xr3:uid="{3A735882-989C-43D9-A36F-AC44F721C5D9}" name="Column8347"/>
    <tableColumn id="8359" xr3:uid="{71BD10E3-23C3-471F-8EE2-4FA7316C6663}" name="Column8348"/>
    <tableColumn id="8360" xr3:uid="{93557804-52FA-462B-9C38-5ECB8C0622EF}" name="Column8349"/>
    <tableColumn id="8361" xr3:uid="{8417099B-0E9F-4435-B634-C3B2114CA565}" name="Column8350"/>
    <tableColumn id="8362" xr3:uid="{8F31B4A0-AD53-48E2-A2E9-313873864931}" name="Column8351"/>
    <tableColumn id="8363" xr3:uid="{C3B267DD-80B7-4C32-AFE2-72B6196DA26D}" name="Column8352"/>
    <tableColumn id="8364" xr3:uid="{FDB0E380-FC52-4E5A-9BA5-DA886F119849}" name="Column8353"/>
    <tableColumn id="8365" xr3:uid="{41243569-FFB2-408C-B910-5063DA7D91C0}" name="Column8354"/>
    <tableColumn id="8366" xr3:uid="{B4820E72-D0DA-45E2-B1E5-E786E16D1201}" name="Column8355"/>
    <tableColumn id="8367" xr3:uid="{B30E89A0-23BE-4988-B5C4-79E7F58FCB91}" name="Column8356"/>
    <tableColumn id="8368" xr3:uid="{299E96AE-44D4-4594-96EB-C1A4A8B37592}" name="Column8357"/>
    <tableColumn id="8369" xr3:uid="{421E8A39-4031-4AED-AD9E-494BA350D64A}" name="Column8358"/>
    <tableColumn id="8370" xr3:uid="{64FE33EC-531F-4326-8FD5-51780A72E947}" name="Column8359"/>
    <tableColumn id="8371" xr3:uid="{7F1FAAAE-318E-437A-A387-8BEA220F0DD8}" name="Column8360"/>
    <tableColumn id="8372" xr3:uid="{47548C1F-6C12-4C33-8B50-6356DEAB941D}" name="Column8361"/>
    <tableColumn id="8373" xr3:uid="{942B280A-4649-49DE-8B14-CCE18C11F7A2}" name="Column8362"/>
    <tableColumn id="8374" xr3:uid="{3B618CB9-F8F9-4A52-BF58-BEEE19726A90}" name="Column8363"/>
    <tableColumn id="8375" xr3:uid="{53B60373-2E91-49BF-8ADE-FE30DC616BF4}" name="Column8364"/>
    <tableColumn id="8376" xr3:uid="{D31089EF-88AA-47F3-87AC-B33124D891EF}" name="Column8365"/>
    <tableColumn id="8377" xr3:uid="{F26973D3-9CEE-4159-B7A0-F96411A65811}" name="Column8366"/>
    <tableColumn id="8378" xr3:uid="{139FC095-79B4-4ED4-AAC0-49130CBBE849}" name="Column8367"/>
    <tableColumn id="8379" xr3:uid="{F3CC797D-85B5-45DF-96B5-87A113455B5F}" name="Column8368"/>
    <tableColumn id="8380" xr3:uid="{1DBBF8FD-C021-4F3B-A903-F90F74E2E805}" name="Column8369"/>
    <tableColumn id="8381" xr3:uid="{DEDEB834-190C-41DF-9FA9-11CACC976480}" name="Column8370"/>
    <tableColumn id="8382" xr3:uid="{3E1F76BA-F381-4E59-A550-1FBE51BAF298}" name="Column8371"/>
    <tableColumn id="8383" xr3:uid="{058E44A4-413A-4F69-84C8-71711F79E0C6}" name="Column8372"/>
    <tableColumn id="8384" xr3:uid="{432EB34B-23F2-4785-BB02-8940252A6B94}" name="Column8373"/>
    <tableColumn id="8385" xr3:uid="{6CB77C69-A643-4B51-8DB7-C058DB030C62}" name="Column8374"/>
    <tableColumn id="8386" xr3:uid="{1F0F58BE-4B11-4DDB-9B10-6121DF33C299}" name="Column8375"/>
    <tableColumn id="8387" xr3:uid="{CA347D70-26B5-483E-9A95-43CF3F7F9650}" name="Column8376"/>
    <tableColumn id="8388" xr3:uid="{C56DA207-F6ED-4FC1-AE8A-54936ED55F73}" name="Column8377"/>
    <tableColumn id="8389" xr3:uid="{605A0089-FE35-4190-AD6C-5BA8C589D618}" name="Column8378"/>
    <tableColumn id="8390" xr3:uid="{9231F112-5531-44E1-8D9E-521DE6B7FDD6}" name="Column8379"/>
    <tableColumn id="8391" xr3:uid="{9EA15DA2-95DF-45F3-B96D-865208088E5D}" name="Column8380"/>
    <tableColumn id="8392" xr3:uid="{92521A34-35F7-4177-BF07-471E21BCCCDF}" name="Column8381"/>
    <tableColumn id="8393" xr3:uid="{0AFA242F-9A37-4990-A68D-5A022D5742ED}" name="Column8382"/>
    <tableColumn id="8394" xr3:uid="{DC9FE532-9759-4B33-9555-5837B160E692}" name="Column8383"/>
    <tableColumn id="8395" xr3:uid="{E490B087-5195-4D0E-B886-8DA7A9025FED}" name="Column8384"/>
    <tableColumn id="8396" xr3:uid="{1D56D6E3-6853-4660-A287-0582B4FB615D}" name="Column8385"/>
    <tableColumn id="8397" xr3:uid="{C239002E-E9C2-4592-8205-6153CC017B0B}" name="Column8386"/>
    <tableColumn id="8398" xr3:uid="{65285383-DB95-4CC5-B356-C9A68993D913}" name="Column8387"/>
    <tableColumn id="8399" xr3:uid="{8A508F95-D54B-4147-A86C-AC21711C9CCC}" name="Column8388"/>
    <tableColumn id="8400" xr3:uid="{2D6B55F1-95DE-4E36-B8D2-1A4F04B03CBE}" name="Column8389"/>
    <tableColumn id="8401" xr3:uid="{6D89DD23-941B-462A-A26F-A8CD7085B91B}" name="Column8390"/>
    <tableColumn id="8402" xr3:uid="{03EAF5E1-FE1F-4E41-B950-5BBACFFA44A5}" name="Column8391"/>
    <tableColumn id="8403" xr3:uid="{97892E16-AA59-470B-9345-C9734ADFC0FE}" name="Column8392"/>
    <tableColumn id="8404" xr3:uid="{8F8F2A7B-4F09-4366-AD88-54F97B9520E4}" name="Column8393"/>
    <tableColumn id="8405" xr3:uid="{10FD801C-2523-4500-A752-DCD124278F48}" name="Column8394"/>
    <tableColumn id="8406" xr3:uid="{C6541EE0-0E8E-4329-9C98-258FA72F0B7C}" name="Column8395"/>
    <tableColumn id="8407" xr3:uid="{FF664D53-436E-4DA6-9402-72187D3BA2F1}" name="Column8396"/>
    <tableColumn id="8408" xr3:uid="{A0F58733-F142-4571-84CB-CB2BD3C5EA88}" name="Column8397"/>
    <tableColumn id="8409" xr3:uid="{779268F7-1921-4833-B95F-AA1FD3759962}" name="Column8398"/>
    <tableColumn id="8410" xr3:uid="{82501A8A-7D47-4CEA-B247-42EC9F8264BD}" name="Column8399"/>
    <tableColumn id="8411" xr3:uid="{B03D2BF0-635E-49BF-9533-1AE2AD35F50E}" name="Column8400"/>
    <tableColumn id="8412" xr3:uid="{790D1AC2-E259-4025-A3C5-0F1D76DDD59F}" name="Column8401"/>
    <tableColumn id="8413" xr3:uid="{A58DA07B-E7CF-46FE-999D-C68A20C56B79}" name="Column8402"/>
    <tableColumn id="8414" xr3:uid="{CC28B62A-DB0E-4349-B7E9-EC591BAA7D9F}" name="Column8403"/>
    <tableColumn id="8415" xr3:uid="{55FB2C2E-59CF-4078-AE9F-05FC2C4AE0FE}" name="Column8404"/>
    <tableColumn id="8416" xr3:uid="{8FA5D952-D96A-4852-8367-6670510D898C}" name="Column8405"/>
    <tableColumn id="8417" xr3:uid="{FEC20271-7F7E-467A-8F23-7DB5AC36B90F}" name="Column8406"/>
    <tableColumn id="8418" xr3:uid="{BA31BACA-A1A3-4AFA-B50F-16983DBCD16D}" name="Column8407"/>
    <tableColumn id="8419" xr3:uid="{51FB1FAF-5FAD-474A-8496-66BA02168D17}" name="Column8408"/>
    <tableColumn id="8420" xr3:uid="{BFB353DD-1B64-467D-A385-DCFCA8AD9959}" name="Column8409"/>
    <tableColumn id="8421" xr3:uid="{AA07BB7D-89CA-4D61-A70D-DE15CE615D5F}" name="Column8410"/>
    <tableColumn id="8422" xr3:uid="{343F5C6A-87B6-41B8-B8D6-A679C14AC51D}" name="Column8411"/>
    <tableColumn id="8423" xr3:uid="{D6F1C42D-3CE2-4F53-8668-396A92DEE548}" name="Column8412"/>
    <tableColumn id="8424" xr3:uid="{AF85631C-7B29-4F52-91C5-D1D531E57FD0}" name="Column8413"/>
    <tableColumn id="8425" xr3:uid="{E4262CEB-1BA1-45B6-B629-8D1727C52EA6}" name="Column8414"/>
    <tableColumn id="8426" xr3:uid="{48BF685E-D8DC-48EA-B670-0970FCD558B9}" name="Column8415"/>
    <tableColumn id="8427" xr3:uid="{1337E5A9-3A21-4D3B-9CBB-4C997E35DF41}" name="Column8416"/>
    <tableColumn id="8428" xr3:uid="{7B21D8B9-0A45-40A0-B75A-347F5C8EA75F}" name="Column8417"/>
    <tableColumn id="8429" xr3:uid="{BE91FF88-A213-4FB2-A1A5-908533AF2E94}" name="Column8418"/>
    <tableColumn id="8430" xr3:uid="{42B9DF67-E65A-436F-89EC-7614CCEB711D}" name="Column8419"/>
    <tableColumn id="8431" xr3:uid="{6355C533-4B96-4F66-9B86-F71E0F734639}" name="Column8420"/>
    <tableColumn id="8432" xr3:uid="{FDB4EDDC-E27F-4277-9D8A-04FFD19C12FA}" name="Column8421"/>
    <tableColumn id="8433" xr3:uid="{ED2AF156-9EAF-4FB6-AFFA-C7BDE700D1EA}" name="Column8422"/>
    <tableColumn id="8434" xr3:uid="{C371A451-9B21-4B83-870A-054C6E257746}" name="Column8423"/>
    <tableColumn id="8435" xr3:uid="{A062E937-4C98-4BDF-A397-7187328C84C8}" name="Column8424"/>
    <tableColumn id="8436" xr3:uid="{EFAE9F60-6B4C-40DD-885C-B1C5B9A70F3F}" name="Column8425"/>
    <tableColumn id="8437" xr3:uid="{5ABC7E9D-5396-4EF1-85AB-026A51AE0CBF}" name="Column8426"/>
    <tableColumn id="8438" xr3:uid="{4F5D3053-18D8-463B-A428-F08402320DF2}" name="Column8427"/>
    <tableColumn id="8439" xr3:uid="{A0A39C1D-301A-4529-AAB5-7C29B28544EB}" name="Column8428"/>
    <tableColumn id="8440" xr3:uid="{1B9C0E00-A621-4082-8B04-620C93EA78B4}" name="Column8429"/>
    <tableColumn id="8441" xr3:uid="{73CC23B1-D96A-475F-978C-81351DE5F50C}" name="Column8430"/>
    <tableColumn id="8442" xr3:uid="{AADB0162-98DF-4D61-A0FB-13E315C81D73}" name="Column8431"/>
    <tableColumn id="8443" xr3:uid="{B22CB17E-42BE-40D8-A266-7ABB53E6B79D}" name="Column8432"/>
    <tableColumn id="8444" xr3:uid="{AEF95E17-5088-4D56-829A-C2630F1E5347}" name="Column8433"/>
    <tableColumn id="8445" xr3:uid="{D3AA1BF1-5809-4F55-991B-268E9CA238C1}" name="Column8434"/>
    <tableColumn id="8446" xr3:uid="{68F7BD61-97D1-417D-964A-CDDD1F2CE56B}" name="Column8435"/>
    <tableColumn id="8447" xr3:uid="{E7141544-EDCA-4E30-AF5C-C6EBDE3A2099}" name="Column8436"/>
    <tableColumn id="8448" xr3:uid="{D876E5D2-C9AD-49BE-B27E-269A0A6D9758}" name="Column8437"/>
    <tableColumn id="8449" xr3:uid="{2766CAC0-0137-4B1C-8EDE-A25B350C669D}" name="Column8438"/>
    <tableColumn id="8450" xr3:uid="{F3AF2611-C52E-4D2A-92B2-4F1F56C10D55}" name="Column8439"/>
    <tableColumn id="8451" xr3:uid="{DE3C4F35-FC9B-4061-A140-17EA76AF043B}" name="Column8440"/>
    <tableColumn id="8452" xr3:uid="{3048E7A9-B818-4B18-81E7-D56B24984075}" name="Column8441"/>
    <tableColumn id="8453" xr3:uid="{877E83BE-8DDF-426E-B4DC-EAF535DB24EA}" name="Column8442"/>
    <tableColumn id="8454" xr3:uid="{BB0BA1BE-E534-4091-BC8C-E0AE0328C57F}" name="Column8443"/>
    <tableColumn id="8455" xr3:uid="{C1D51066-4A59-47D5-B79C-155A6BE4CE11}" name="Column8444"/>
    <tableColumn id="8456" xr3:uid="{E9884FEA-08A4-4E75-8BEC-645CED0DCEB5}" name="Column8445"/>
    <tableColumn id="8457" xr3:uid="{33A5CDE2-3A08-4ABF-ADF0-31A0BA8C8F0D}" name="Column8446"/>
    <tableColumn id="8458" xr3:uid="{8F2C5001-C89E-40E6-8269-F7774702054D}" name="Column8447"/>
    <tableColumn id="8459" xr3:uid="{CB7366F1-4AE5-4C40-9A60-7120B66F6E36}" name="Column8448"/>
    <tableColumn id="8460" xr3:uid="{B99F53B2-F6EA-44A2-B692-BA79FC81A4C5}" name="Column8449"/>
    <tableColumn id="8461" xr3:uid="{35142D9C-B861-49D9-91CD-0F566B70E80F}" name="Column8450"/>
    <tableColumn id="8462" xr3:uid="{9B8DD02E-A5FB-4B91-B7B2-91AE8E5D2FF0}" name="Column8451"/>
    <tableColumn id="8463" xr3:uid="{E76E94F9-2245-4C3A-9D2E-6C831E249D35}" name="Column8452"/>
    <tableColumn id="8464" xr3:uid="{DD7E3C12-685C-4F05-88FD-F842B09E2ABD}" name="Column8453"/>
    <tableColumn id="8465" xr3:uid="{2B9877E7-4FA5-40EE-9A95-7AD67420E2D6}" name="Column8454"/>
    <tableColumn id="8466" xr3:uid="{4EFCB513-C32C-45D3-BE44-87045093CBB5}" name="Column8455"/>
    <tableColumn id="8467" xr3:uid="{819C325F-D653-44B9-A417-0890BB2655F8}" name="Column8456"/>
    <tableColumn id="8468" xr3:uid="{746C8498-FA2A-48BC-8121-18AB6EBFE8F6}" name="Column8457"/>
    <tableColumn id="8469" xr3:uid="{E9157166-9C86-4F32-AABA-6C657057D16F}" name="Column8458"/>
    <tableColumn id="8470" xr3:uid="{FDAD21D4-F385-4DA8-8512-F9425B093999}" name="Column8459"/>
    <tableColumn id="8471" xr3:uid="{E347B23F-F1A2-438C-ADFF-FC0449324B97}" name="Column8460"/>
    <tableColumn id="8472" xr3:uid="{BE6658A4-0B81-4E3C-A253-11DC46F1CB32}" name="Column8461"/>
    <tableColumn id="8473" xr3:uid="{E64C2067-0A44-4B23-B956-ADBE593465B8}" name="Column8462"/>
    <tableColumn id="8474" xr3:uid="{E5A3F055-6582-4869-962F-3B93517948E3}" name="Column8463"/>
    <tableColumn id="8475" xr3:uid="{94377024-BD6F-4192-8581-1003514C9217}" name="Column8464"/>
    <tableColumn id="8476" xr3:uid="{10A62D20-06C2-4C8D-B637-0558047C8713}" name="Column8465"/>
    <tableColumn id="8477" xr3:uid="{8DCA5127-13EA-4837-B469-B55687317856}" name="Column8466"/>
    <tableColumn id="8478" xr3:uid="{0F5357D3-7402-4A52-9581-1E11C9D51CB2}" name="Column8467"/>
    <tableColumn id="8479" xr3:uid="{5440EA84-F706-4E31-A360-03B2BACF4F42}" name="Column8468"/>
    <tableColumn id="8480" xr3:uid="{2E8E4262-FABE-472D-98E4-37D8241BFD95}" name="Column8469"/>
    <tableColumn id="8481" xr3:uid="{E68B974E-5112-41A8-A148-342719DBA577}" name="Column8470"/>
    <tableColumn id="8482" xr3:uid="{849BA44C-100D-4FE2-BABD-3C785F6895A7}" name="Column8471"/>
    <tableColumn id="8483" xr3:uid="{58F41B03-87CE-445E-9799-299F39E8DB85}" name="Column8472"/>
    <tableColumn id="8484" xr3:uid="{7DBC6571-9A52-40D6-A584-455FE133504D}" name="Column8473"/>
    <tableColumn id="8485" xr3:uid="{3A2939CE-C400-4E0E-8EDB-B83410C518E6}" name="Column8474"/>
    <tableColumn id="8486" xr3:uid="{1AAFFDCB-BC7F-4997-8E47-2AEE7D277EB1}" name="Column8475"/>
    <tableColumn id="8487" xr3:uid="{E7A27E3C-5EC2-42A3-B6E5-7DCD218EF17E}" name="Column8476"/>
    <tableColumn id="8488" xr3:uid="{FB5C0966-067E-4084-9617-B2BF02C1905F}" name="Column8477"/>
    <tableColumn id="8489" xr3:uid="{39AED3E2-ED6F-45BE-9A1A-CEFF608793D6}" name="Column8478"/>
    <tableColumn id="8490" xr3:uid="{B7F6C2C1-10ED-4BE1-8FFD-47D5A534B420}" name="Column8479"/>
    <tableColumn id="8491" xr3:uid="{72ED918C-4987-4DAB-915C-8FA7BB1A6A16}" name="Column8480"/>
    <tableColumn id="8492" xr3:uid="{D1CAAACE-9D05-4ADA-A7C7-C5DF3AD7C730}" name="Column8481"/>
    <tableColumn id="8493" xr3:uid="{C68D0A4B-F76E-4E98-9CFD-2CC69964ADE9}" name="Column8482"/>
    <tableColumn id="8494" xr3:uid="{120E001E-7FBD-4288-B3F8-D0F63C4C5704}" name="Column8483"/>
    <tableColumn id="8495" xr3:uid="{DD84B8DE-14A5-4E9C-A23F-82C802C00366}" name="Column8484"/>
    <tableColumn id="8496" xr3:uid="{97E48A4B-DD0C-4277-820C-F0ADB5828D29}" name="Column8485"/>
    <tableColumn id="8497" xr3:uid="{BAB1BD37-7F76-4FB4-8CB6-A5FACD09F158}" name="Column8486"/>
    <tableColumn id="8498" xr3:uid="{E860C14D-029D-49D5-965C-746EE7D3D82A}" name="Column8487"/>
    <tableColumn id="8499" xr3:uid="{0956AEFE-2C71-4AE6-95D7-D72B576AB825}" name="Column8488"/>
    <tableColumn id="8500" xr3:uid="{49DAD122-2DAE-416C-A2F4-7BC2886DDA3E}" name="Column8489"/>
    <tableColumn id="8501" xr3:uid="{A950810B-7C05-476D-A300-228E685D8C94}" name="Column8490"/>
    <tableColumn id="8502" xr3:uid="{11BB20D2-1AD5-4BFD-94B2-2CBD66D1D902}" name="Column8491"/>
    <tableColumn id="8503" xr3:uid="{1F5E6E89-4C68-4045-AF86-0DEDCEBB9C55}" name="Column8492"/>
    <tableColumn id="8504" xr3:uid="{30FA8B88-B3E0-4353-8CE5-DAF990166777}" name="Column8493"/>
    <tableColumn id="8505" xr3:uid="{4997DBF6-AA10-4C6F-97A6-F1CE78C47347}" name="Column8494"/>
    <tableColumn id="8506" xr3:uid="{BA3C3518-6947-47D3-BD58-CF233D5FA913}" name="Column8495"/>
    <tableColumn id="8507" xr3:uid="{79030032-28F4-4201-A618-60388DE27D2B}" name="Column8496"/>
    <tableColumn id="8508" xr3:uid="{58FB0AE0-6918-44B9-BA14-A6A93BAC41E6}" name="Column8497"/>
    <tableColumn id="8509" xr3:uid="{3C1B2D84-E2B2-4FF4-83C4-1EA09B9C8E88}" name="Column8498"/>
    <tableColumn id="8510" xr3:uid="{8F837214-37A1-457D-8DAF-704C8583C3DE}" name="Column8499"/>
    <tableColumn id="8511" xr3:uid="{5427F40C-AC00-4DE8-843D-00C147168FD5}" name="Column8500"/>
    <tableColumn id="8512" xr3:uid="{F45D919D-F03C-401D-A968-FFC2B32B0615}" name="Column8501"/>
    <tableColumn id="8513" xr3:uid="{5A1211AA-A6ED-4214-A701-3D362E7C9ECA}" name="Column8502"/>
    <tableColumn id="8514" xr3:uid="{B48C143A-29F0-406D-84A6-37A7DAECA25A}" name="Column8503"/>
    <tableColumn id="8515" xr3:uid="{581B2CAC-F6C0-4F73-8D58-AC34D91102AE}" name="Column8504"/>
    <tableColumn id="8516" xr3:uid="{D6E527E4-3211-4A4B-A3A1-6CA9DAB0D9FD}" name="Column8505"/>
    <tableColumn id="8517" xr3:uid="{EF1F26A3-0DC1-4737-9D09-E5C4308E9E2E}" name="Column8506"/>
    <tableColumn id="8518" xr3:uid="{9E4024E9-BD0F-4E99-A718-7445827CC738}" name="Column8507"/>
    <tableColumn id="8519" xr3:uid="{0C966858-76C7-4F17-A045-DEAEAF60099D}" name="Column8508"/>
    <tableColumn id="8520" xr3:uid="{6E47F0D6-CF90-4E83-BD1D-494C3D5093A1}" name="Column8509"/>
    <tableColumn id="8521" xr3:uid="{4B95D000-E4B7-45E9-B543-AD846A42F210}" name="Column8510"/>
    <tableColumn id="8522" xr3:uid="{49E746E4-C1F3-42CB-903B-BDA5D4A92FD1}" name="Column8511"/>
    <tableColumn id="8523" xr3:uid="{B36BD9F9-93DA-432F-92A4-5A1C72700A5B}" name="Column8512"/>
    <tableColumn id="8524" xr3:uid="{9F6DE0F3-FC62-4F39-A27F-98E8CD1B8C06}" name="Column8513"/>
    <tableColumn id="8525" xr3:uid="{064964AA-64D4-486E-A17D-D117898D63E5}" name="Column8514"/>
    <tableColumn id="8526" xr3:uid="{835C643E-ACFA-4AE3-AF0F-67EA82753489}" name="Column8515"/>
    <tableColumn id="8527" xr3:uid="{CD8CECA6-D829-4769-B9F5-7DEE1F3859B3}" name="Column8516"/>
    <tableColumn id="8528" xr3:uid="{A04DA7B6-39DB-4DB7-80A5-2AA645719F26}" name="Column8517"/>
    <tableColumn id="8529" xr3:uid="{4C8ACC5B-657A-4F92-94B8-0DA0DF7C8267}" name="Column8518"/>
    <tableColumn id="8530" xr3:uid="{F771C809-7AA6-44F8-A78A-9167F8331CE9}" name="Column8519"/>
    <tableColumn id="8531" xr3:uid="{5BCD54C8-74DD-47C5-BC21-920DA3EFC0AD}" name="Column8520"/>
    <tableColumn id="8532" xr3:uid="{79BE41A1-FBDE-4D86-808E-F890C0B0128F}" name="Column8521"/>
    <tableColumn id="8533" xr3:uid="{398EE756-6BC2-46E2-BB98-BB30369E6E15}" name="Column8522"/>
    <tableColumn id="8534" xr3:uid="{2D717884-816F-4BAA-9B71-B52C47832A0F}" name="Column8523"/>
    <tableColumn id="8535" xr3:uid="{CF715EDA-2FB9-4CAC-8324-F8725628704D}" name="Column8524"/>
    <tableColumn id="8536" xr3:uid="{7ECACC6B-7517-4E1F-B1F9-4DA869B478B7}" name="Column8525"/>
    <tableColumn id="8537" xr3:uid="{46F5386F-6A81-42FF-8B02-14563B5F9388}" name="Column8526"/>
    <tableColumn id="8538" xr3:uid="{6A211838-9D9C-48A0-8C14-70E244D68CE6}" name="Column8527"/>
    <tableColumn id="8539" xr3:uid="{769756F9-5684-477C-9F82-EB8FFF5D7295}" name="Column8528"/>
    <tableColumn id="8540" xr3:uid="{E8F013C0-F1D9-4276-A798-2EFCE5838044}" name="Column8529"/>
    <tableColumn id="8541" xr3:uid="{C15FACF2-9DEE-444C-BCF7-BCBC6223ECE1}" name="Column8530"/>
    <tableColumn id="8542" xr3:uid="{7C3232A7-9B2C-4353-8E9F-896E4D6D3E48}" name="Column8531"/>
    <tableColumn id="8543" xr3:uid="{49B900A5-6499-4CC1-BAA9-41AF976C76D2}" name="Column8532"/>
    <tableColumn id="8544" xr3:uid="{931C6488-7CB1-476C-8D5B-75D4DA359946}" name="Column8533"/>
    <tableColumn id="8545" xr3:uid="{0BF9D00E-EA1D-41CC-BA0B-CFC34ECE088D}" name="Column8534"/>
    <tableColumn id="8546" xr3:uid="{15D7BE7F-56F5-4F41-BE24-5D248C27E044}" name="Column8535"/>
    <tableColumn id="8547" xr3:uid="{0C719D68-48E5-4DB1-BADA-354D6908D61B}" name="Column8536"/>
    <tableColumn id="8548" xr3:uid="{A6C42B25-F3FD-41F1-9766-1BE57FADC78B}" name="Column8537"/>
    <tableColumn id="8549" xr3:uid="{748628F8-9C29-4A8E-BE31-736DC027FDC1}" name="Column8538"/>
    <tableColumn id="8550" xr3:uid="{847FBE6B-414B-4DA9-B125-D7BE16A1226B}" name="Column8539"/>
    <tableColumn id="8551" xr3:uid="{7C0FD7A0-A17B-4BC2-AC7E-CB17FEA14BDD}" name="Column8540"/>
    <tableColumn id="8552" xr3:uid="{D22FA58B-6891-4CBB-BDC7-F024F026284C}" name="Column8541"/>
    <tableColumn id="8553" xr3:uid="{39C98548-0931-4876-85FE-763764996680}" name="Column8542"/>
    <tableColumn id="8554" xr3:uid="{43053BAA-FEFB-4708-9346-7E185DD7DFB4}" name="Column8543"/>
    <tableColumn id="8555" xr3:uid="{C586657C-A6E7-4F4B-A555-8474D6B70839}" name="Column8544"/>
    <tableColumn id="8556" xr3:uid="{1E1165A5-CDEE-4B6C-B92F-77F198B2736E}" name="Column8545"/>
    <tableColumn id="8557" xr3:uid="{01F3E95D-6CF6-4599-BE41-11E88F6E23DA}" name="Column8546"/>
    <tableColumn id="8558" xr3:uid="{0C6012D7-A515-449F-888C-0C0EDB619641}" name="Column8547"/>
    <tableColumn id="8559" xr3:uid="{7116E1AB-FA3A-40E1-A5BD-88587D4DC79E}" name="Column8548"/>
    <tableColumn id="8560" xr3:uid="{8F59D786-E50F-49AD-A3D9-7BF4873C26F0}" name="Column8549"/>
    <tableColumn id="8561" xr3:uid="{E2FEE7BE-76F8-458E-AA9F-1F7BA4901D86}" name="Column8550"/>
    <tableColumn id="8562" xr3:uid="{8C4140F9-0C86-45F5-8E9B-2A036A035085}" name="Column8551"/>
    <tableColumn id="8563" xr3:uid="{146AE4DA-5D0B-4E33-8F87-7B081EEAFE5C}" name="Column8552"/>
    <tableColumn id="8564" xr3:uid="{C65FF7C4-C9AC-46DF-8127-31DBA015E8F0}" name="Column8553"/>
    <tableColumn id="8565" xr3:uid="{B185A07A-D12B-4241-879B-1BBFEB34EAB0}" name="Column8554"/>
    <tableColumn id="8566" xr3:uid="{6ACC4D3C-E0C7-4C88-9D78-949ADC38A322}" name="Column8555"/>
    <tableColumn id="8567" xr3:uid="{7F15E822-B89C-4359-9AFC-969CCF0CB2AB}" name="Column8556"/>
    <tableColumn id="8568" xr3:uid="{7F58526A-474A-427F-B48B-6396C4FC92A2}" name="Column8557"/>
    <tableColumn id="8569" xr3:uid="{FEA7B11E-D5B2-44F4-8499-D516A609A37D}" name="Column8558"/>
    <tableColumn id="8570" xr3:uid="{E59E9192-C2E8-42AD-8937-93D9A47BD36C}" name="Column8559"/>
    <tableColumn id="8571" xr3:uid="{7D9ADF57-3EB3-4934-B3DF-81FAE6F53409}" name="Column8560"/>
    <tableColumn id="8572" xr3:uid="{7CD31D8C-84BB-40C7-AFD3-F133C354FB91}" name="Column8561"/>
    <tableColumn id="8573" xr3:uid="{9B1603F3-97BB-42D9-8904-0C154829D62C}" name="Column8562"/>
    <tableColumn id="8574" xr3:uid="{48D427A2-1641-49FA-A0F5-618E32D171F4}" name="Column8563"/>
    <tableColumn id="8575" xr3:uid="{8FAEC906-6224-4F2D-B885-62FEA4B24428}" name="Column8564"/>
    <tableColumn id="8576" xr3:uid="{477FEDBA-8D75-4558-AA26-874764346CB8}" name="Column8565"/>
    <tableColumn id="8577" xr3:uid="{6F6D3B1E-A08A-4528-8429-E62C3EC5465C}" name="Column8566"/>
    <tableColumn id="8578" xr3:uid="{3E38FAC8-72D5-468D-A530-8D64C9AE94CF}" name="Column8567"/>
    <tableColumn id="8579" xr3:uid="{1AB80B04-B3B7-4284-96FB-811F79CB588A}" name="Column8568"/>
    <tableColumn id="8580" xr3:uid="{98DE24D6-2055-400F-AAD3-2F91311DAE28}" name="Column8569"/>
    <tableColumn id="8581" xr3:uid="{B0EAA2EA-E52D-45D1-A865-C45FC0893CC8}" name="Column8570"/>
    <tableColumn id="8582" xr3:uid="{DD8177C7-B08E-4028-AF9C-2164B0531CC9}" name="Column8571"/>
    <tableColumn id="8583" xr3:uid="{012C8076-5CC8-4276-98EE-99C91562A28E}" name="Column8572"/>
    <tableColumn id="8584" xr3:uid="{734EB821-E638-42F4-8171-055149B57A54}" name="Column8573"/>
    <tableColumn id="8585" xr3:uid="{EBAE8767-7CFB-4891-B2A4-95A7E4BBA9CC}" name="Column8574"/>
    <tableColumn id="8586" xr3:uid="{6989B13A-C37E-49D9-B092-505137B3743E}" name="Column8575"/>
    <tableColumn id="8587" xr3:uid="{C4DBFE87-D506-47D5-9C63-CA48B0CD394A}" name="Column8576"/>
    <tableColumn id="8588" xr3:uid="{E8686C75-BA86-4E4F-9F86-BA7E12452DA0}" name="Column8577"/>
    <tableColumn id="8589" xr3:uid="{EE7C08CE-2440-4941-BE04-523B5CF67DD0}" name="Column8578"/>
    <tableColumn id="8590" xr3:uid="{DC9B1D09-F494-4FC1-A0F4-2A21FA7C41D3}" name="Column8579"/>
    <tableColumn id="8591" xr3:uid="{2AF64926-4F50-45DF-8804-225B18FCA0DF}" name="Column8580"/>
    <tableColumn id="8592" xr3:uid="{8F1242AE-BE05-4899-8A2C-6200B0732FEC}" name="Column8581"/>
    <tableColumn id="8593" xr3:uid="{5AC95FD9-59DC-4D83-ADAE-B9A21D79895C}" name="Column8582"/>
    <tableColumn id="8594" xr3:uid="{6BC7F170-7607-4417-ABE8-C9AF3603E00A}" name="Column8583"/>
    <tableColumn id="8595" xr3:uid="{FBEB0259-7FA8-438B-B8DC-052DC44CAE3A}" name="Column8584"/>
    <tableColumn id="8596" xr3:uid="{79D73233-D6EE-481D-9E85-C06A705212F9}" name="Column8585"/>
    <tableColumn id="8597" xr3:uid="{026498A5-F028-484B-9C58-702C25802678}" name="Column8586"/>
    <tableColumn id="8598" xr3:uid="{221850A4-1A71-4615-88EC-1E4B7C51F210}" name="Column8587"/>
    <tableColumn id="8599" xr3:uid="{B708B23C-0716-4E86-95DD-660CF7E7E8CF}" name="Column8588"/>
    <tableColumn id="8600" xr3:uid="{B2470161-FD7C-43E6-906B-A828C46A4DE1}" name="Column8589"/>
    <tableColumn id="8601" xr3:uid="{340C33F3-856D-41E3-AA05-6B43C71F451D}" name="Column8590"/>
    <tableColumn id="8602" xr3:uid="{49B7F3CE-8CCF-4795-BF33-743DDD22F964}" name="Column8591"/>
    <tableColumn id="8603" xr3:uid="{F31674EB-3BB8-4C86-8024-CAEAE21FD4F1}" name="Column8592"/>
    <tableColumn id="8604" xr3:uid="{EFB62326-CFEA-4CE3-BF03-855899CF73ED}" name="Column8593"/>
    <tableColumn id="8605" xr3:uid="{6508BB82-1345-43A1-890C-99EE7862E435}" name="Column8594"/>
    <tableColumn id="8606" xr3:uid="{3AA4CEC5-304B-485A-9604-89C7F006A14A}" name="Column8595"/>
    <tableColumn id="8607" xr3:uid="{687E113A-7F96-416B-AD0F-9C6EFBCB46B7}" name="Column8596"/>
    <tableColumn id="8608" xr3:uid="{72A32816-0D96-4073-85BE-E5FA28F61F9D}" name="Column8597"/>
    <tableColumn id="8609" xr3:uid="{8B6D147F-01AD-4B06-BAF6-C273AF851467}" name="Column8598"/>
    <tableColumn id="8610" xr3:uid="{CCAAF079-5554-45EF-83A5-455F71DA40E2}" name="Column8599"/>
    <tableColumn id="8611" xr3:uid="{96B5520E-D388-4F5B-8B22-44197E617ED1}" name="Column8600"/>
    <tableColumn id="8612" xr3:uid="{B09685E0-4870-4A97-9665-320CAE503BCC}" name="Column8601"/>
    <tableColumn id="8613" xr3:uid="{C33DC836-A6DF-4A0E-A55A-82686F009ACC}" name="Column8602"/>
    <tableColumn id="8614" xr3:uid="{5826739E-48FA-4961-92B9-E0E086800F89}" name="Column8603"/>
    <tableColumn id="8615" xr3:uid="{BEDE237B-A0ED-467A-9E64-A600415F6E83}" name="Column8604"/>
    <tableColumn id="8616" xr3:uid="{CB2F450A-0607-4C63-8450-16F842DFA514}" name="Column8605"/>
    <tableColumn id="8617" xr3:uid="{6DE302A1-BB99-4B82-8CBE-AB3ACEFC7961}" name="Column8606"/>
    <tableColumn id="8618" xr3:uid="{7E96955E-1C8C-4CA1-B02F-5CAB13C41150}" name="Column8607"/>
    <tableColumn id="8619" xr3:uid="{0C6B78EA-3827-474E-9D9B-047AAF003DBB}" name="Column8608"/>
    <tableColumn id="8620" xr3:uid="{662A04F9-8D98-4C4A-B704-102D5B78CBA0}" name="Column8609"/>
    <tableColumn id="8621" xr3:uid="{FB404962-4CFF-4B6B-BFAD-4EA38487B399}" name="Column8610"/>
    <tableColumn id="8622" xr3:uid="{6A26A20C-3F55-48AC-B710-88BF006E7455}" name="Column8611"/>
    <tableColumn id="8623" xr3:uid="{ECBA88DA-9BFF-4C1A-B717-FFA13998AF5B}" name="Column8612"/>
    <tableColumn id="8624" xr3:uid="{BBDD7D94-BBC5-4DE6-AFED-B24E52E976CD}" name="Column8613"/>
    <tableColumn id="8625" xr3:uid="{0AD4A825-61A7-4CE9-8C3F-41A6222B4597}" name="Column8614"/>
    <tableColumn id="8626" xr3:uid="{694DE517-2A24-474F-BC7B-F7240C2D57D9}" name="Column8615"/>
    <tableColumn id="8627" xr3:uid="{17AB552B-062E-4484-8148-78AC63343EB0}" name="Column8616"/>
    <tableColumn id="8628" xr3:uid="{CB68B697-AEC0-495A-A7A2-DFC0FDD25EF1}" name="Column8617"/>
    <tableColumn id="8629" xr3:uid="{C8900B81-72E7-4EE8-9AB9-96E75EB2EA97}" name="Column8618"/>
    <tableColumn id="8630" xr3:uid="{57CC1022-12B7-4298-960D-6FF03FF0F4B2}" name="Column8619"/>
    <tableColumn id="8631" xr3:uid="{64DDA24B-738E-4C67-A2D3-28284C9D12EE}" name="Column8620"/>
    <tableColumn id="8632" xr3:uid="{664D29C9-5AE2-4217-803A-C7028BFD4C1E}" name="Column8621"/>
    <tableColumn id="8633" xr3:uid="{07425D02-A22E-4863-ACE1-4DB7833A3101}" name="Column8622"/>
    <tableColumn id="8634" xr3:uid="{8626CC0A-FBBD-4237-BF07-19AACC83E742}" name="Column8623"/>
    <tableColumn id="8635" xr3:uid="{1BDB07A2-299C-4660-B462-E2F168625153}" name="Column8624"/>
    <tableColumn id="8636" xr3:uid="{1E5D43F2-A279-452D-BBFB-39A1267D6628}" name="Column8625"/>
    <tableColumn id="8637" xr3:uid="{56CF1505-3DD4-4247-A1A7-03469731603C}" name="Column8626"/>
    <tableColumn id="8638" xr3:uid="{AF5519A4-6A77-4F7A-9D80-4DEEE199DCBC}" name="Column8627"/>
    <tableColumn id="8639" xr3:uid="{5488E1A2-083D-4DDF-9F9F-200AFFDB985E}" name="Column8628"/>
    <tableColumn id="8640" xr3:uid="{0B83B582-0DED-4343-A528-8635949DBAEF}" name="Column8629"/>
    <tableColumn id="8641" xr3:uid="{7D7E0027-B6EA-41D6-9A8C-98D1D7F09356}" name="Column8630"/>
    <tableColumn id="8642" xr3:uid="{D5C11721-1E02-4024-B9AB-F2283C5F39D1}" name="Column8631"/>
    <tableColumn id="8643" xr3:uid="{A8021F24-6D2C-447B-B7A9-8EC97BBF3039}" name="Column8632"/>
    <tableColumn id="8644" xr3:uid="{9A1957AE-994B-406C-90D1-31ED69508C38}" name="Column8633"/>
    <tableColumn id="8645" xr3:uid="{05CC7EB3-9CBF-474A-903A-476F574170BE}" name="Column8634"/>
    <tableColumn id="8646" xr3:uid="{5D1883D9-2D32-4ED7-A120-BFA0A29CE354}" name="Column8635"/>
    <tableColumn id="8647" xr3:uid="{01067A1B-760B-48D6-9C28-523DFDC3C032}" name="Column8636"/>
    <tableColumn id="8648" xr3:uid="{EAB53E52-C9D3-485E-8AE8-08A7644DED56}" name="Column8637"/>
    <tableColumn id="8649" xr3:uid="{03FFE85B-5D47-4CBB-BF9D-1E0E221651FD}" name="Column8638"/>
    <tableColumn id="8650" xr3:uid="{1CAE1DFA-C793-4929-B4D0-DDABC4A713A0}" name="Column8639"/>
    <tableColumn id="8651" xr3:uid="{EAB86F7B-F91A-45DA-91AE-502A9943E8CC}" name="Column8640"/>
    <tableColumn id="8652" xr3:uid="{F3CACFBC-C58F-40BA-AD87-57105D6D3DA1}" name="Column8641"/>
    <tableColumn id="8653" xr3:uid="{D317C0A8-66B6-4331-9E5B-CE7B89FA6F72}" name="Column8642"/>
    <tableColumn id="8654" xr3:uid="{F253857D-40E8-4837-BB4A-E9D2BB4F0A79}" name="Column8643"/>
    <tableColumn id="8655" xr3:uid="{F451D112-052D-4C2B-8E88-6346C453052A}" name="Column8644"/>
    <tableColumn id="8656" xr3:uid="{486CCCBF-C560-4C8A-9CF7-45254748F7FF}" name="Column8645"/>
    <tableColumn id="8657" xr3:uid="{3BA8C219-523E-41AA-A78A-241DB1CB1FB2}" name="Column8646"/>
    <tableColumn id="8658" xr3:uid="{92D34D20-EF29-45E6-9E9F-B7EDCB4A94B7}" name="Column8647"/>
    <tableColumn id="8659" xr3:uid="{05D4127F-DCE0-4C28-9B7F-0BADB870CC85}" name="Column8648"/>
    <tableColumn id="8660" xr3:uid="{B9A3A60E-7128-42DB-9DF8-EA95D7FC7B32}" name="Column8649"/>
    <tableColumn id="8661" xr3:uid="{13685D22-2405-4481-880D-F81B90478322}" name="Column8650"/>
    <tableColumn id="8662" xr3:uid="{48D7B4B2-1BF0-44E3-93F7-3A1FC197F58D}" name="Column8651"/>
    <tableColumn id="8663" xr3:uid="{E0DEAF3F-F2CA-4DD0-A9B0-9AB8AAA57717}" name="Column8652"/>
    <tableColumn id="8664" xr3:uid="{521FE364-9B81-42F4-B713-E47FE6B5D591}" name="Column8653"/>
    <tableColumn id="8665" xr3:uid="{091E66E2-17E1-4005-A9F1-AE9DCD678FB4}" name="Column8654"/>
    <tableColumn id="8666" xr3:uid="{A1EBC467-7734-4FD9-933F-58184425ACF0}" name="Column8655"/>
    <tableColumn id="8667" xr3:uid="{F0476204-9704-41CE-B8E6-2DDED3A735C0}" name="Column8656"/>
    <tableColumn id="8668" xr3:uid="{CF65B39D-EAF9-4D94-AC48-F1E18D3E8C5B}" name="Column8657"/>
    <tableColumn id="8669" xr3:uid="{23496C0E-30F1-4E2D-BA56-17A1C89EEAFE}" name="Column8658"/>
    <tableColumn id="8670" xr3:uid="{67F37B69-CB1E-4DE7-AABE-0DC5BF2A82A0}" name="Column8659"/>
    <tableColumn id="8671" xr3:uid="{8E9B49C2-E67D-46EA-A41A-3F596D9BA7C7}" name="Column8660"/>
    <tableColumn id="8672" xr3:uid="{C4798269-1AB0-4AB5-AF64-95FCDF88EF75}" name="Column8661"/>
    <tableColumn id="8673" xr3:uid="{BA407A3A-BE74-4957-A9F4-FF329BC13AD0}" name="Column8662"/>
    <tableColumn id="8674" xr3:uid="{8F6C6C8C-0494-400E-8230-D770EAF6F024}" name="Column8663"/>
    <tableColumn id="8675" xr3:uid="{9A94CFA3-3E71-4533-A7B8-C28F1B5BD43B}" name="Column8664"/>
    <tableColumn id="8676" xr3:uid="{28C011F3-4428-4CEF-B780-D3B765A24E11}" name="Column8665"/>
    <tableColumn id="8677" xr3:uid="{47EA082B-792B-4A3E-9CC4-14274760872A}" name="Column8666"/>
    <tableColumn id="8678" xr3:uid="{807198A0-0A74-4434-903E-0F755E6EA6CA}" name="Column8667"/>
    <tableColumn id="8679" xr3:uid="{87CBB619-D181-4E99-A6CA-0E6FD60B4A7B}" name="Column8668"/>
    <tableColumn id="8680" xr3:uid="{1CE58922-F175-436B-B943-94193E86F618}" name="Column8669"/>
    <tableColumn id="8681" xr3:uid="{6EBD9B00-2C68-4824-9A9B-BCAC26308EAA}" name="Column8670"/>
    <tableColumn id="8682" xr3:uid="{0031067E-B434-4B92-95FF-A5DF98F3E722}" name="Column8671"/>
    <tableColumn id="8683" xr3:uid="{315AEF8E-BA5B-4061-8B4E-661ED701FB15}" name="Column8672"/>
    <tableColumn id="8684" xr3:uid="{FFF9E15F-6420-45BB-8F9E-D28CD580639B}" name="Column8673"/>
    <tableColumn id="8685" xr3:uid="{2F0E97EE-2DDE-4489-A06C-FC2A084E572E}" name="Column8674"/>
    <tableColumn id="8686" xr3:uid="{AAA3FCAD-A67B-4E94-87D3-8A98420C1B6D}" name="Column8675"/>
    <tableColumn id="8687" xr3:uid="{D703E107-B33D-4B85-B361-7D669409316C}" name="Column8676"/>
    <tableColumn id="8688" xr3:uid="{0B838F9D-C9BA-44D8-86E1-B87A9DE5B942}" name="Column8677"/>
    <tableColumn id="8689" xr3:uid="{51D144BA-C702-4EFE-AA04-35AF2C5827B0}" name="Column8678"/>
    <tableColumn id="8690" xr3:uid="{8BCD61BF-A398-4B08-A09E-10F94B34C58A}" name="Column8679"/>
    <tableColumn id="8691" xr3:uid="{A131E653-5C83-4EF3-9DDF-C646525047A8}" name="Column8680"/>
    <tableColumn id="8692" xr3:uid="{9B8E608C-7548-4FF9-A50A-7E036B369D41}" name="Column8681"/>
    <tableColumn id="8693" xr3:uid="{44A69459-7FB5-4C34-B5F5-74A4EDD543DB}" name="Column8682"/>
    <tableColumn id="8694" xr3:uid="{9DCB69C9-3BE4-4981-8E59-DAE945F87A5B}" name="Column8683"/>
    <tableColumn id="8695" xr3:uid="{8492D17E-82AD-4160-A28D-CDF06927ACD4}" name="Column8684"/>
    <tableColumn id="8696" xr3:uid="{9BE1E480-D94C-4399-AAE4-1075C22CAE9E}" name="Column8685"/>
    <tableColumn id="8697" xr3:uid="{60A6DA7B-AE36-4585-AE27-92285FD4DB9B}" name="Column8686"/>
    <tableColumn id="8698" xr3:uid="{338F4068-DB97-4524-BEFE-C5F1B9691F65}" name="Column8687"/>
    <tableColumn id="8699" xr3:uid="{AF785F8E-1D12-4F99-A1F7-C199DD9DCC36}" name="Column8688"/>
    <tableColumn id="8700" xr3:uid="{CF739BF5-E491-4F6F-AE24-E43B05EE82D6}" name="Column8689"/>
    <tableColumn id="8701" xr3:uid="{9D6E4709-4CB2-4C1B-BB1B-2446C983A31A}" name="Column8690"/>
    <tableColumn id="8702" xr3:uid="{291AB361-A22C-4BF6-ABE7-4ADBA45038F5}" name="Column8691"/>
    <tableColumn id="8703" xr3:uid="{0881B30E-7389-45A9-8549-DC50E75F8034}" name="Column8692"/>
    <tableColumn id="8704" xr3:uid="{66A73409-EF11-44A1-A09E-5373699ADEF5}" name="Column8693"/>
    <tableColumn id="8705" xr3:uid="{CFE3A1D2-4534-4CEA-A45E-0910D6A16308}" name="Column8694"/>
    <tableColumn id="8706" xr3:uid="{12904BBB-2C4E-4056-9DC0-C204D38845E6}" name="Column8695"/>
    <tableColumn id="8707" xr3:uid="{A6E3F5DC-BAEB-4C8A-B8A0-BC0AFB5244C4}" name="Column8696"/>
    <tableColumn id="8708" xr3:uid="{6C601FB2-E833-4820-93EE-741C75FDDC3E}" name="Column8697"/>
    <tableColumn id="8709" xr3:uid="{2692BF38-8F0D-4B7B-A82C-BF0E5F9565B4}" name="Column8698"/>
    <tableColumn id="8710" xr3:uid="{17CBE57F-4ADC-49CA-A097-B46C15F74C3A}" name="Column8699"/>
    <tableColumn id="8711" xr3:uid="{D21416A6-B3E0-4B2A-B2C9-DA23ADF520EF}" name="Column8700"/>
    <tableColumn id="8712" xr3:uid="{7671FFDD-349E-4C87-A23A-A3A1D6E25ACB}" name="Column8701"/>
    <tableColumn id="8713" xr3:uid="{EEFF3AC0-4237-48F1-869D-E1B15352C7BA}" name="Column8702"/>
    <tableColumn id="8714" xr3:uid="{5962AAC2-0D23-4248-9D66-AADC04701FEC}" name="Column8703"/>
    <tableColumn id="8715" xr3:uid="{510EAB74-FBB8-4B29-B193-1782AB1F37AC}" name="Column8704"/>
    <tableColumn id="8716" xr3:uid="{8AFDBED3-4AF7-42D6-BDC9-63534F6120A6}" name="Column8705"/>
    <tableColumn id="8717" xr3:uid="{11717ECB-CC4E-47F3-8622-77D51AC6E723}" name="Column8706"/>
    <tableColumn id="8718" xr3:uid="{94E71587-22FB-4259-8011-0FCB6EBCE102}" name="Column8707"/>
    <tableColumn id="8719" xr3:uid="{68272AF4-F672-4229-9C57-4DB37A4758F8}" name="Column8708"/>
    <tableColumn id="8720" xr3:uid="{652387C0-39C9-46D0-86EC-218497366B2E}" name="Column8709"/>
    <tableColumn id="8721" xr3:uid="{33CECF76-A05A-4349-8F5D-A07807B6712E}" name="Column8710"/>
    <tableColumn id="8722" xr3:uid="{B6B677ED-115E-4511-B459-050F79A0A05C}" name="Column8711"/>
    <tableColumn id="8723" xr3:uid="{EF074562-EFA8-47E7-B6D4-66D63865E776}" name="Column8712"/>
    <tableColumn id="8724" xr3:uid="{4E27488E-8F4F-4078-8E43-2F4090B8B512}" name="Column8713"/>
    <tableColumn id="8725" xr3:uid="{60C5B90C-AF72-4DEE-AC6F-7A57D2638FEE}" name="Column8714"/>
    <tableColumn id="8726" xr3:uid="{46889520-BFF0-4160-822F-DFBB6970139C}" name="Column8715"/>
    <tableColumn id="8727" xr3:uid="{4DD153D0-B384-4134-B8F4-7E619AA02306}" name="Column8716"/>
    <tableColumn id="8728" xr3:uid="{B22F58FE-C821-4F29-B030-73B9F0CF2CBE}" name="Column8717"/>
    <tableColumn id="8729" xr3:uid="{07F506BF-AF34-4365-88EC-80D11E03EA24}" name="Column8718"/>
    <tableColumn id="8730" xr3:uid="{81C3128B-A15D-486E-809C-A4B136B0671A}" name="Column8719"/>
    <tableColumn id="8731" xr3:uid="{09A879CB-4C5D-4733-9062-DB9F72B9E360}" name="Column8720"/>
    <tableColumn id="8732" xr3:uid="{B6594C73-19E3-4963-9042-1FFD99773A25}" name="Column8721"/>
    <tableColumn id="8733" xr3:uid="{D17507CB-3537-41F9-B613-7F7BED839729}" name="Column8722"/>
    <tableColumn id="8734" xr3:uid="{9403D85B-6EEE-4FBC-B0A0-9189A6C00116}" name="Column8723"/>
    <tableColumn id="8735" xr3:uid="{C10DF437-A374-4860-B3D1-D4C5FBA25EF2}" name="Column8724"/>
    <tableColumn id="8736" xr3:uid="{F8EAD24A-4FD9-4D08-AC04-97FEB819DAF6}" name="Column8725"/>
    <tableColumn id="8737" xr3:uid="{9B6FE8CC-0C70-4F96-8242-CDD10B0A1361}" name="Column8726"/>
    <tableColumn id="8738" xr3:uid="{21EDDE77-B752-4AF5-AA6C-603ADF329F32}" name="Column8727"/>
    <tableColumn id="8739" xr3:uid="{E6465D4A-F43F-4E59-B20D-6A4B17F388CA}" name="Column8728"/>
    <tableColumn id="8740" xr3:uid="{7201B09D-013B-4668-A277-5FEEE088AC05}" name="Column8729"/>
    <tableColumn id="8741" xr3:uid="{14CAC19E-183B-481E-94E4-AAEBD605DF80}" name="Column8730"/>
    <tableColumn id="8742" xr3:uid="{A81B8344-0E15-4D5B-93A2-716F1180F17F}" name="Column8731"/>
    <tableColumn id="8743" xr3:uid="{5D638BB5-0F68-49B1-9B6C-0B36C28F53C7}" name="Column8732"/>
    <tableColumn id="8744" xr3:uid="{D8B33549-F214-4E59-8862-F77DD906B5D4}" name="Column8733"/>
    <tableColumn id="8745" xr3:uid="{4661E6A7-721D-4266-8884-2D923A58DE46}" name="Column8734"/>
    <tableColumn id="8746" xr3:uid="{B764DD82-8002-4E1E-BA3C-18D23101B3C1}" name="Column8735"/>
    <tableColumn id="8747" xr3:uid="{AC99B578-8B05-45CF-8C64-987D7122151A}" name="Column8736"/>
    <tableColumn id="8748" xr3:uid="{4F34B15D-2D5D-4B62-96C3-74D9B8A35CC4}" name="Column8737"/>
    <tableColumn id="8749" xr3:uid="{F7BB1693-11BE-422A-A97F-7317B6CC50AE}" name="Column8738"/>
    <tableColumn id="8750" xr3:uid="{7577D416-3D26-44F9-A75B-A4032F95EDA6}" name="Column8739"/>
    <tableColumn id="8751" xr3:uid="{2A8EF23E-7A8A-4341-AE4F-3094F6F1EDCC}" name="Column8740"/>
    <tableColumn id="8752" xr3:uid="{323E7219-64E5-4197-A97E-41715876C4C9}" name="Column8741"/>
    <tableColumn id="8753" xr3:uid="{BE03B959-AF3B-4AE2-9CDC-522D2F656651}" name="Column8742"/>
    <tableColumn id="8754" xr3:uid="{C3B18349-25AF-4388-8115-1D5EA972117A}" name="Column8743"/>
    <tableColumn id="8755" xr3:uid="{376CC83F-A3DC-4285-9F70-1F55C8234900}" name="Column8744"/>
    <tableColumn id="8756" xr3:uid="{C8ECDD36-FBC4-47B7-9E99-096B5E792799}" name="Column8745"/>
    <tableColumn id="8757" xr3:uid="{E64C3ACF-B435-460E-AAFD-EA3B4C40D723}" name="Column8746"/>
    <tableColumn id="8758" xr3:uid="{7C1E619F-49EE-4372-A6FD-4E0DA6E9D300}" name="Column8747"/>
    <tableColumn id="8759" xr3:uid="{C4A936B5-AEC2-4F99-9582-E2C4349D02AC}" name="Column8748"/>
    <tableColumn id="8760" xr3:uid="{683400CD-59FE-48F7-B22F-F2AA87E0BAFE}" name="Column8749"/>
    <tableColumn id="8761" xr3:uid="{CF2F59E3-0BA3-4794-990E-CBE0B41A87D9}" name="Column8750"/>
    <tableColumn id="8762" xr3:uid="{70562546-CA9F-4A69-AF50-662B3849FCF6}" name="Column8751"/>
    <tableColumn id="8763" xr3:uid="{4E20658F-D4AF-4462-BE59-CBBC54FFBCBC}" name="Column8752"/>
    <tableColumn id="8764" xr3:uid="{2D641FA1-E603-41E8-8524-4882AAE229B1}" name="Column8753"/>
    <tableColumn id="8765" xr3:uid="{28B9A9A8-CFD0-4FE1-A1C9-32E0734A6913}" name="Column8754"/>
    <tableColumn id="8766" xr3:uid="{4AA787A0-6EDD-4BD2-B8D4-A31E07BA0B04}" name="Column8755"/>
    <tableColumn id="8767" xr3:uid="{2A953EDA-E71A-49E0-B783-F1415F84513A}" name="Column8756"/>
    <tableColumn id="8768" xr3:uid="{8A0BEC89-230C-4CA6-BB6E-FB453D0CBE28}" name="Column8757"/>
    <tableColumn id="8769" xr3:uid="{BCC6BA1F-6716-44A4-9593-D2E9ECAED9C9}" name="Column8758"/>
    <tableColumn id="8770" xr3:uid="{49CC8C25-6EEA-4D42-B2F8-25855DBD19D7}" name="Column8759"/>
    <tableColumn id="8771" xr3:uid="{91F79272-7A8B-4E8A-8DF1-199BE0360577}" name="Column8760"/>
    <tableColumn id="8772" xr3:uid="{40AA2CAB-701B-4BB4-882A-D5D64A020266}" name="Column8761"/>
    <tableColumn id="8773" xr3:uid="{3B79BE86-F038-4C81-9E6A-4EF05C5A9B08}" name="Column8762"/>
    <tableColumn id="8774" xr3:uid="{154D02F0-B02F-44B7-9826-80226A53B3A2}" name="Column8763"/>
    <tableColumn id="8775" xr3:uid="{53F63C04-2205-4178-89B8-28302DEE87D7}" name="Column8764"/>
    <tableColumn id="8776" xr3:uid="{C0D49B7F-638C-4503-BF04-78507CAC5287}" name="Column8765"/>
    <tableColumn id="8777" xr3:uid="{866B7975-DECF-417D-B707-0B2266A9A9B3}" name="Column8766"/>
    <tableColumn id="8778" xr3:uid="{3FFA29C5-A1A2-4E76-91E4-0F42C3BBBAD0}" name="Column8767"/>
    <tableColumn id="8779" xr3:uid="{C2079E36-B5D0-414B-B6AB-3EB33DBF1762}" name="Column8768"/>
    <tableColumn id="8780" xr3:uid="{B8DDB9A9-9A77-4E6E-A45A-BA9C30B53C8B}" name="Column8769"/>
    <tableColumn id="8781" xr3:uid="{0820EA83-D559-40E4-8E07-CCF2E062C926}" name="Column8770"/>
    <tableColumn id="8782" xr3:uid="{295818E2-E741-4BAA-8D73-473C658CA07F}" name="Column8771"/>
    <tableColumn id="8783" xr3:uid="{F80895B0-861E-4C88-A966-F94E0D2339F2}" name="Column8772"/>
    <tableColumn id="8784" xr3:uid="{6C14E5DB-2AB7-49B1-AB25-998966F0736E}" name="Column8773"/>
    <tableColumn id="8785" xr3:uid="{663DC4C9-57D3-4B94-A8C0-5B71D8FBAB4F}" name="Column8774"/>
    <tableColumn id="8786" xr3:uid="{8901D1F9-1965-43E5-99FA-C1455640BE4B}" name="Column8775"/>
    <tableColumn id="8787" xr3:uid="{EECE4882-FEDE-49BD-8A2F-B8BE38742E87}" name="Column8776"/>
    <tableColumn id="8788" xr3:uid="{3DF417A6-9FFD-41DA-B777-B03922ACA2E8}" name="Column8777"/>
    <tableColumn id="8789" xr3:uid="{77ED5BAA-556B-4415-B0B7-9773F0BD06CB}" name="Column8778"/>
    <tableColumn id="8790" xr3:uid="{21FF8A98-3E3F-45A5-B814-FD919184C198}" name="Column8779"/>
    <tableColumn id="8791" xr3:uid="{A7ABFFEC-F11E-4014-A554-52D67E08A3B1}" name="Column8780"/>
    <tableColumn id="8792" xr3:uid="{2E35484B-A3B8-4131-8BE6-54952C0DFAE9}" name="Column8781"/>
    <tableColumn id="8793" xr3:uid="{814B1962-DE32-4F87-8A3D-30183B2A0E8D}" name="Column8782"/>
    <tableColumn id="8794" xr3:uid="{B0E93E52-B4CA-416C-B1CA-C3FE6EF232EE}" name="Column8783"/>
    <tableColumn id="8795" xr3:uid="{94C8A544-EE72-4A77-92B7-585E58C03CA1}" name="Column8784"/>
    <tableColumn id="8796" xr3:uid="{5C721D0C-0E84-43EA-B383-E8F9B78CF819}" name="Column8785"/>
    <tableColumn id="8797" xr3:uid="{674AE6AF-BB41-4C8E-946D-7AA74DF70EC1}" name="Column8786"/>
    <tableColumn id="8798" xr3:uid="{C925535D-1038-4B9A-8567-47E94E939A42}" name="Column8787"/>
    <tableColumn id="8799" xr3:uid="{3172FFC5-4350-4E64-83D2-3B4E35D0CAEA}" name="Column8788"/>
    <tableColumn id="8800" xr3:uid="{61F15A76-DE16-4CDF-97B3-0FB36228DB03}" name="Column8789"/>
    <tableColumn id="8801" xr3:uid="{EE427934-6F57-4FD6-832C-105BE4F30822}" name="Column8790"/>
    <tableColumn id="8802" xr3:uid="{E8746407-446C-4EDA-80EB-3F23CE329E3D}" name="Column8791"/>
    <tableColumn id="8803" xr3:uid="{C479BA0C-ABB5-4DFE-AD1B-2720556C1864}" name="Column8792"/>
    <tableColumn id="8804" xr3:uid="{D4098EA0-6C01-4EAF-B941-407775816402}" name="Column8793"/>
    <tableColumn id="8805" xr3:uid="{95D188DC-547C-47C9-A935-FFA35400908B}" name="Column8794"/>
    <tableColumn id="8806" xr3:uid="{4F010BCC-B0DF-4317-946D-585B0BC3C64E}" name="Column8795"/>
    <tableColumn id="8807" xr3:uid="{12DEEB73-191F-4457-A754-B1A43892C092}" name="Column8796"/>
    <tableColumn id="8808" xr3:uid="{BA10D24F-EAD9-4C54-848B-C22A35ABDD9C}" name="Column8797"/>
    <tableColumn id="8809" xr3:uid="{358A81A3-CBF6-49C0-B64E-CFEB66BD1306}" name="Column8798"/>
    <tableColumn id="8810" xr3:uid="{EB0CADF8-39E6-4C94-B822-AEC25C7A9EF4}" name="Column8799"/>
    <tableColumn id="8811" xr3:uid="{10BB6F0D-C371-4288-87FD-D77D51B424F2}" name="Column8800"/>
    <tableColumn id="8812" xr3:uid="{D7DEB09D-70C3-47BF-89DF-69803C6CAFE3}" name="Column8801"/>
    <tableColumn id="8813" xr3:uid="{17B940C6-5B63-4AFC-A569-F147B7EE8A03}" name="Column8802"/>
    <tableColumn id="8814" xr3:uid="{EAEDA298-8CB2-4B54-B32F-AE8D336F4CAB}" name="Column8803"/>
    <tableColumn id="8815" xr3:uid="{E96901D8-A884-4ED9-9558-53649C5164DC}" name="Column8804"/>
    <tableColumn id="8816" xr3:uid="{7A90CEBD-0B71-4137-9F3D-FE9B838D9A13}" name="Column8805"/>
    <tableColumn id="8817" xr3:uid="{C539FC10-D2F4-4BF3-AE9F-A252E94EA747}" name="Column8806"/>
    <tableColumn id="8818" xr3:uid="{BC4CD220-5732-414E-9B50-F9855A02434A}" name="Column8807"/>
    <tableColumn id="8819" xr3:uid="{EEA162B4-88BD-46F5-9EC5-330C695ECAFD}" name="Column8808"/>
    <tableColumn id="8820" xr3:uid="{D4B054B7-8B46-496E-862D-1E8649F63A7F}" name="Column8809"/>
    <tableColumn id="8821" xr3:uid="{CDBFF577-7B96-45A9-84B5-0B188D75C147}" name="Column8810"/>
    <tableColumn id="8822" xr3:uid="{2895EB74-22CA-49F9-895D-B5393B2D12C4}" name="Column8811"/>
    <tableColumn id="8823" xr3:uid="{BE46A774-0A60-44D7-9F6C-1E9945D30D3E}" name="Column8812"/>
    <tableColumn id="8824" xr3:uid="{79FB74A1-F8A6-4D71-BEA7-A187251D948A}" name="Column8813"/>
    <tableColumn id="8825" xr3:uid="{B81095EF-D375-4ECB-9ED1-BEE7A780248D}" name="Column8814"/>
    <tableColumn id="8826" xr3:uid="{71A888E4-AD5A-4FC8-91E5-B15D19C0C403}" name="Column8815"/>
    <tableColumn id="8827" xr3:uid="{6619D471-61A5-4F56-A422-DA0A1BC8E8EB}" name="Column8816"/>
    <tableColumn id="8828" xr3:uid="{2A51AC65-2347-400A-9CA4-7BD817D7AE1F}" name="Column8817"/>
    <tableColumn id="8829" xr3:uid="{38C59890-87C8-49FC-94CD-29CA998E9942}" name="Column8818"/>
    <tableColumn id="8830" xr3:uid="{215146CE-E5DB-4B30-8490-C0BF0902AF4C}" name="Column8819"/>
    <tableColumn id="8831" xr3:uid="{2DC8E9C0-4BDD-4FCA-BEBF-F031D949CF49}" name="Column8820"/>
    <tableColumn id="8832" xr3:uid="{153D7F12-F2E1-4C2B-8FEF-F24C64B14C08}" name="Column8821"/>
    <tableColumn id="8833" xr3:uid="{6F6EDE70-AA02-417F-B7F6-A3D70ADD1ABB}" name="Column8822"/>
    <tableColumn id="8834" xr3:uid="{6D32898D-E682-4B9C-A875-ED8096AA3F1A}" name="Column8823"/>
    <tableColumn id="8835" xr3:uid="{98702FE1-BCE6-4E5A-A5FB-582A387B40B4}" name="Column8824"/>
    <tableColumn id="8836" xr3:uid="{6FD0AFB8-8EEA-4822-9C7D-4A607538FB68}" name="Column8825"/>
    <tableColumn id="8837" xr3:uid="{2674CDAF-2426-494B-A9CA-48A1985C22BA}" name="Column8826"/>
    <tableColumn id="8838" xr3:uid="{3D936B45-47A4-41DC-A1CA-1AE809852AFA}" name="Column8827"/>
    <tableColumn id="8839" xr3:uid="{6C80382A-EA47-4627-A72E-94CE3EF19A15}" name="Column8828"/>
    <tableColumn id="8840" xr3:uid="{60C511AB-2AB9-4438-B54D-D034D2C57BE3}" name="Column8829"/>
    <tableColumn id="8841" xr3:uid="{2096BAA7-A261-4DAC-8B73-DA4E4FCBDE63}" name="Column8830"/>
    <tableColumn id="8842" xr3:uid="{CD53F603-77F1-4869-AAB5-ACC98A7E1241}" name="Column8831"/>
    <tableColumn id="8843" xr3:uid="{D80848D6-0A15-47B8-BB9E-3214D32B652F}" name="Column8832"/>
    <tableColumn id="8844" xr3:uid="{E3442FB4-5BC9-43F3-9C1E-8BF803BCABB3}" name="Column8833"/>
    <tableColumn id="8845" xr3:uid="{E4B93DDE-B4AE-4B46-8E7C-2877177F1388}" name="Column8834"/>
    <tableColumn id="8846" xr3:uid="{AFDF2125-482C-4EC3-8112-A5BABB5C0254}" name="Column8835"/>
    <tableColumn id="8847" xr3:uid="{FDF08548-FE99-4DB1-A66A-63EF288F95FA}" name="Column8836"/>
    <tableColumn id="8848" xr3:uid="{C842DF35-ED25-42DB-BDFC-3035183B6337}" name="Column8837"/>
    <tableColumn id="8849" xr3:uid="{ED3784FF-0B1B-4164-B486-7D2152084BD5}" name="Column8838"/>
    <tableColumn id="8850" xr3:uid="{45E91A07-A0B7-4A48-872E-C83A820C11A1}" name="Column8839"/>
    <tableColumn id="8851" xr3:uid="{3BB6415E-1FCB-4D4D-92A6-3BEA81EFA287}" name="Column8840"/>
    <tableColumn id="8852" xr3:uid="{C8F26221-4609-45E9-B201-EEAA06F4EBDC}" name="Column8841"/>
    <tableColumn id="8853" xr3:uid="{155BF887-B46F-4522-A7DF-461A2070D5B0}" name="Column8842"/>
    <tableColumn id="8854" xr3:uid="{E4DDC334-D0FA-44E4-99AB-0BC49BE38358}" name="Column8843"/>
    <tableColumn id="8855" xr3:uid="{59A7AD7E-7448-40DB-9700-03E0FA68608F}" name="Column8844"/>
    <tableColumn id="8856" xr3:uid="{A338471A-E8B2-463D-A4C5-5D09342AD52C}" name="Column8845"/>
    <tableColumn id="8857" xr3:uid="{F529BF79-30B1-4E83-B7EE-060C35D8C230}" name="Column8846"/>
    <tableColumn id="8858" xr3:uid="{870868CB-C9B7-4D7A-BDAA-911E3C91FDE7}" name="Column8847"/>
    <tableColumn id="8859" xr3:uid="{315DE55E-A947-44BB-A552-5F4DA1A42AB0}" name="Column8848"/>
    <tableColumn id="8860" xr3:uid="{5C7C8B51-23AC-4C7A-9753-5B313EFA81EB}" name="Column8849"/>
    <tableColumn id="8861" xr3:uid="{DD892E3D-7BF1-4C48-A50A-B2B88F685E68}" name="Column8850"/>
    <tableColumn id="8862" xr3:uid="{234B230D-C7CE-4D1B-8355-142F68FBFF73}" name="Column8851"/>
    <tableColumn id="8863" xr3:uid="{20478501-1AE5-454C-B155-382F7CD5553E}" name="Column8852"/>
    <tableColumn id="8864" xr3:uid="{17CB0D4D-9834-4273-BE86-32EC13410060}" name="Column8853"/>
    <tableColumn id="8865" xr3:uid="{FFF8E53C-E5DE-4628-9E9D-282A5995A416}" name="Column8854"/>
    <tableColumn id="8866" xr3:uid="{25194404-1D27-4F64-88BF-FADD030D7E6E}" name="Column8855"/>
    <tableColumn id="8867" xr3:uid="{15684815-398C-4B65-9392-DC1E9494CB4A}" name="Column8856"/>
    <tableColumn id="8868" xr3:uid="{82CC85F0-F834-4BB9-B5CF-E19545CA7E26}" name="Column8857"/>
    <tableColumn id="8869" xr3:uid="{A089F97A-58FF-4D09-B299-307261033132}" name="Column8858"/>
    <tableColumn id="8870" xr3:uid="{74464264-422E-48B9-B27E-B5DC0B47E342}" name="Column8859"/>
    <tableColumn id="8871" xr3:uid="{B6A9E025-D82F-482A-B242-1CC5F9CB4C4C}" name="Column8860"/>
    <tableColumn id="8872" xr3:uid="{81A7C2EF-14A5-446A-BCC9-2013ABB8A229}" name="Column8861"/>
    <tableColumn id="8873" xr3:uid="{A5709094-9D2D-4FD9-9F90-EE875780FA75}" name="Column8862"/>
    <tableColumn id="8874" xr3:uid="{1427D866-EB29-4E81-87B3-0C6810484A7B}" name="Column8863"/>
    <tableColumn id="8875" xr3:uid="{A0514358-AE77-41C1-B37F-3D7B9E7CF07F}" name="Column8864"/>
    <tableColumn id="8876" xr3:uid="{3F9E5AC4-0CC1-4944-838E-8B0AB1B7F8A7}" name="Column8865"/>
    <tableColumn id="8877" xr3:uid="{EF4252A5-3F74-43E7-BAAF-31D102FFBDA0}" name="Column8866"/>
    <tableColumn id="8878" xr3:uid="{A53E5280-196C-4176-9B79-47D2E415A155}" name="Column8867"/>
    <tableColumn id="8879" xr3:uid="{9F81C112-7AF7-481A-A7F8-D4A3747749BA}" name="Column8868"/>
    <tableColumn id="8880" xr3:uid="{97C5477D-B773-48A5-94E1-D80D42233310}" name="Column8869"/>
    <tableColumn id="8881" xr3:uid="{9E26C09A-4D2A-4EBD-BBB6-7B8EB0742599}" name="Column8870"/>
    <tableColumn id="8882" xr3:uid="{EA0FDAA9-2860-4F41-A738-41D2DD4AD86F}" name="Column8871"/>
    <tableColumn id="8883" xr3:uid="{F6C572FE-5098-4B31-8CAF-2526AD5AC142}" name="Column8872"/>
    <tableColumn id="8884" xr3:uid="{A5A0CD74-2F2F-40F4-845C-D35CB935F2AC}" name="Column8873"/>
    <tableColumn id="8885" xr3:uid="{7B1598B5-F2D9-4474-8F54-25888A2E44E6}" name="Column8874"/>
    <tableColumn id="8886" xr3:uid="{49CEE352-E6E5-40FB-AD98-104990F9E0C9}" name="Column8875"/>
    <tableColumn id="8887" xr3:uid="{E4F336CC-7888-4A85-9C96-E4E6945AE847}" name="Column8876"/>
    <tableColumn id="8888" xr3:uid="{F6EECE99-5503-4F6E-B607-B966F37A03D7}" name="Column8877"/>
    <tableColumn id="8889" xr3:uid="{734A8644-D051-42FE-B9B2-6B7CEBBBE71B}" name="Column8878"/>
    <tableColumn id="8890" xr3:uid="{7F4A77A2-765B-4E2C-9467-319F2CFDFA4F}" name="Column8879"/>
    <tableColumn id="8891" xr3:uid="{38AB5E90-B942-4C08-BDBD-9C8A919F2D14}" name="Column8880"/>
    <tableColumn id="8892" xr3:uid="{5EB4074C-55A1-4B2E-8E55-EA522D46A041}" name="Column8881"/>
    <tableColumn id="8893" xr3:uid="{F066C6E7-1BA8-4FF8-9B60-ECB625AF8FEF}" name="Column8882"/>
    <tableColumn id="8894" xr3:uid="{0F2492D4-2E5B-4580-BA2A-4DC0E1DE66B8}" name="Column8883"/>
    <tableColumn id="8895" xr3:uid="{194D5E88-32C6-451C-A8B9-C3A271A0EDA6}" name="Column8884"/>
    <tableColumn id="8896" xr3:uid="{F75CAADF-8944-408A-87E2-4BEAB034642C}" name="Column8885"/>
    <tableColumn id="8897" xr3:uid="{7D45D7D8-DF2C-43DA-91F3-98CEDB77375E}" name="Column8886"/>
    <tableColumn id="8898" xr3:uid="{8E32736E-C3A2-47D9-A9CE-934DE7B813BE}" name="Column8887"/>
    <tableColumn id="8899" xr3:uid="{41257404-A200-4F16-B17E-88B5A7FFB32D}" name="Column8888"/>
    <tableColumn id="8900" xr3:uid="{481A0D4B-279E-499E-9AAE-79555FAF02B7}" name="Column8889"/>
    <tableColumn id="8901" xr3:uid="{DCCDDB41-EB7C-4CF8-8845-76B35AB064AB}" name="Column8890"/>
    <tableColumn id="8902" xr3:uid="{B4B6929B-A770-4153-B70D-91253677AD7D}" name="Column8891"/>
    <tableColumn id="8903" xr3:uid="{3C2A984B-AF93-4753-82B0-1EDC5B8CBA12}" name="Column8892"/>
    <tableColumn id="8904" xr3:uid="{A9A994C4-D9AB-4F4A-B97D-40E23D14F8CC}" name="Column8893"/>
    <tableColumn id="8905" xr3:uid="{0E6BC588-3FC3-4D5E-BCC6-547A83709934}" name="Column8894"/>
    <tableColumn id="8906" xr3:uid="{17EFA01D-21F2-4297-BE96-E28688D3A8F3}" name="Column8895"/>
    <tableColumn id="8907" xr3:uid="{43589E85-BDC0-4513-A6EE-8BFA43DC32D0}" name="Column8896"/>
    <tableColumn id="8908" xr3:uid="{D427BDBF-8BCB-41D2-A829-B3907365EA29}" name="Column8897"/>
    <tableColumn id="8909" xr3:uid="{7CD1360D-94DD-46A7-B643-012016BF0A1E}" name="Column8898"/>
    <tableColumn id="8910" xr3:uid="{FD8AEC58-43D2-482D-9E70-63A570A9CED0}" name="Column8899"/>
    <tableColumn id="8911" xr3:uid="{6D7811EA-9BEA-4CCA-B419-15FA5FE877AF}" name="Column8900"/>
    <tableColumn id="8912" xr3:uid="{E16532E8-DF9F-4112-BA4E-E6BA4EFEDEDC}" name="Column8901"/>
    <tableColumn id="8913" xr3:uid="{E6F3F220-F6E6-4C63-BACC-BA83C7B2637D}" name="Column8902"/>
    <tableColumn id="8914" xr3:uid="{5BB38284-859E-4B93-8BFA-56CCC158DF92}" name="Column8903"/>
    <tableColumn id="8915" xr3:uid="{D600FEC2-7263-4148-8B01-DE3DEE88B766}" name="Column8904"/>
    <tableColumn id="8916" xr3:uid="{CFBA7831-9379-4E25-93BE-00F128AA1E4C}" name="Column8905"/>
    <tableColumn id="8917" xr3:uid="{5AA45D5F-CDA0-4595-9593-5953F51C09AE}" name="Column8906"/>
    <tableColumn id="8918" xr3:uid="{711E698D-45EA-4C3D-A4DA-E1BA8FE950D1}" name="Column8907"/>
    <tableColumn id="8919" xr3:uid="{C1AFF5ED-FA7F-4AB2-818A-369DEBF72E8C}" name="Column8908"/>
    <tableColumn id="8920" xr3:uid="{5B71ABB9-4A3C-42F4-9837-4A6D28938E5E}" name="Column8909"/>
    <tableColumn id="8921" xr3:uid="{0601FDC5-D8C9-43BE-A17F-1E63D3CDC5BE}" name="Column8910"/>
    <tableColumn id="8922" xr3:uid="{BF9B3DB1-45DC-4019-9CFE-2763E6AE378F}" name="Column8911"/>
    <tableColumn id="8923" xr3:uid="{95AB4332-07F0-40F2-ADA9-E1207DED796E}" name="Column8912"/>
    <tableColumn id="8924" xr3:uid="{9AFC9817-3E69-45D7-A625-5F234E07661C}" name="Column8913"/>
    <tableColumn id="8925" xr3:uid="{E318ACB8-E27B-4A6A-ACF9-ECAB4B54278F}" name="Column8914"/>
    <tableColumn id="8926" xr3:uid="{1E3AAD1B-DD02-4A1E-898F-6E77C82CB1CE}" name="Column8915"/>
    <tableColumn id="8927" xr3:uid="{F9E68363-C1F2-47C6-B7AB-35406C5BA1BC}" name="Column8916"/>
    <tableColumn id="8928" xr3:uid="{EF750EA3-E0AD-4DB1-9EEE-D14A3D17555E}" name="Column8917"/>
    <tableColumn id="8929" xr3:uid="{3ED84AAB-3CAA-4995-84DA-10B0F5227DFD}" name="Column8918"/>
    <tableColumn id="8930" xr3:uid="{3DC589FE-59BA-405B-B01C-DB35BF761900}" name="Column8919"/>
    <tableColumn id="8931" xr3:uid="{4A812383-C294-4731-9592-465199C5EAE1}" name="Column8920"/>
    <tableColumn id="8932" xr3:uid="{6CABCD2B-FC0E-46B5-A25C-7D8FCBA911EA}" name="Column8921"/>
    <tableColumn id="8933" xr3:uid="{53B34DD0-36D7-42ED-A22B-93736F5C8408}" name="Column8922"/>
    <tableColumn id="8934" xr3:uid="{A42DE415-0185-4855-9E88-7AB1115FF485}" name="Column8923"/>
    <tableColumn id="8935" xr3:uid="{B796899B-897C-4420-B712-A532F9F2F99C}" name="Column8924"/>
    <tableColumn id="8936" xr3:uid="{90D60525-0E77-4229-BEE0-0653FD2A7A84}" name="Column8925"/>
    <tableColumn id="8937" xr3:uid="{BB08BAD7-7549-4535-96A0-66FE917235BB}" name="Column8926"/>
    <tableColumn id="8938" xr3:uid="{2DB2CAD0-110D-4399-B33E-33C0FED45143}" name="Column8927"/>
    <tableColumn id="8939" xr3:uid="{9FEC8582-B271-422D-9C5B-F24257FE9F2F}" name="Column8928"/>
    <tableColumn id="8940" xr3:uid="{83BFB061-890B-45DA-ACE5-B511EE38039B}" name="Column8929"/>
    <tableColumn id="8941" xr3:uid="{D8B5C182-67E8-4F10-BB21-44DD6B4577F8}" name="Column8930"/>
    <tableColumn id="8942" xr3:uid="{CEEEC483-95A1-4EB7-831D-09FC09B41FCD}" name="Column8931"/>
    <tableColumn id="8943" xr3:uid="{77B6C5CC-432F-4B56-A647-5BFF14EDA773}" name="Column8932"/>
    <tableColumn id="8944" xr3:uid="{B350D44A-DF78-41F8-9916-F527D0BCC2AA}" name="Column8933"/>
    <tableColumn id="8945" xr3:uid="{C07A7FE0-0C31-4522-A2F8-ABBFA2F72A42}" name="Column8934"/>
    <tableColumn id="8946" xr3:uid="{BD4D59C0-C5DE-4A53-A8CF-845CA54C1CF6}" name="Column8935"/>
    <tableColumn id="8947" xr3:uid="{E49EDFB7-4B41-4D61-A713-029D4856D3B9}" name="Column8936"/>
    <tableColumn id="8948" xr3:uid="{1D1F240A-FF45-4F72-85F8-0383406D75F2}" name="Column8937"/>
    <tableColumn id="8949" xr3:uid="{6CF2BEEE-49A7-46F2-BD8C-1330FC2CC5B3}" name="Column8938"/>
    <tableColumn id="8950" xr3:uid="{BBCA82FE-46E0-4A99-9765-3A5941B8E865}" name="Column8939"/>
    <tableColumn id="8951" xr3:uid="{56D1C002-9568-4763-81B8-2D782C41B680}" name="Column8940"/>
    <tableColumn id="8952" xr3:uid="{01321D86-1750-4081-B0E1-BA4D94503577}" name="Column8941"/>
    <tableColumn id="8953" xr3:uid="{F0E870DB-88DA-4DB8-A80B-FEF467C32C0C}" name="Column8942"/>
    <tableColumn id="8954" xr3:uid="{4A2DAC9A-EFEA-489F-8448-34DB471E6F73}" name="Column8943"/>
    <tableColumn id="8955" xr3:uid="{5CFCFBB0-2AF7-4EC1-B1FD-B9E3D06FFDC0}" name="Column8944"/>
    <tableColumn id="8956" xr3:uid="{5F8645B3-BD0D-4BF7-8891-B2FF68C644E8}" name="Column8945"/>
    <tableColumn id="8957" xr3:uid="{832929F5-D970-4BBF-BDF2-28BF448CC7C2}" name="Column8946"/>
    <tableColumn id="8958" xr3:uid="{75F2A430-B8E5-49FE-BEA7-FC16C4F4CD59}" name="Column8947"/>
    <tableColumn id="8959" xr3:uid="{2079B60C-8B19-4304-91DB-3769CBF38D65}" name="Column8948"/>
    <tableColumn id="8960" xr3:uid="{EFBF3DF7-9485-4C8C-91E9-C93925E435CE}" name="Column8949"/>
    <tableColumn id="8961" xr3:uid="{660DF39B-5B9A-4408-B137-4DBAB0B8A765}" name="Column8950"/>
    <tableColumn id="8962" xr3:uid="{93C5F6DC-88B7-44AB-BB11-499E53B5E466}" name="Column8951"/>
    <tableColumn id="8963" xr3:uid="{78B82A6C-E4D7-4B6F-850B-CF47EC667ABA}" name="Column8952"/>
    <tableColumn id="8964" xr3:uid="{6E001358-DD6D-48AE-9164-FBA1067FB6DB}" name="Column8953"/>
    <tableColumn id="8965" xr3:uid="{B520BC35-1DB0-4962-AB5A-4A564D9C7ED4}" name="Column8954"/>
    <tableColumn id="8966" xr3:uid="{070633DA-99AC-45C1-9A4A-3AAB7CCE2F5F}" name="Column8955"/>
    <tableColumn id="8967" xr3:uid="{210558DA-571D-48D7-8238-BBC08F065814}" name="Column8956"/>
    <tableColumn id="8968" xr3:uid="{8A14FB0E-5E76-4508-8AD8-DC77BFBFCA0A}" name="Column8957"/>
    <tableColumn id="8969" xr3:uid="{B55194CB-DB9D-4B99-93ED-303D87B4DE89}" name="Column8958"/>
    <tableColumn id="8970" xr3:uid="{9BEB99C9-555D-480C-AD4A-8B2E426F4994}" name="Column8959"/>
    <tableColumn id="8971" xr3:uid="{A5BFEC92-081B-4D63-83B5-DE2C55378EAF}" name="Column8960"/>
    <tableColumn id="8972" xr3:uid="{20AB8202-9F6A-41F6-9FCD-3D929DBFA71A}" name="Column8961"/>
    <tableColumn id="8973" xr3:uid="{1D198FF3-D7F5-423A-9940-16102262F6B4}" name="Column8962"/>
    <tableColumn id="8974" xr3:uid="{8602B938-F510-4822-832B-5CFB47941861}" name="Column8963"/>
    <tableColumn id="8975" xr3:uid="{193976A6-CCB1-4ECF-81FC-663CF09502E3}" name="Column8964"/>
    <tableColumn id="8976" xr3:uid="{56FFC877-1223-40EF-88E7-94FFE15CBF75}" name="Column8965"/>
    <tableColumn id="8977" xr3:uid="{EB1C71F9-21D4-4CC4-8573-AD5EAF652605}" name="Column8966"/>
    <tableColumn id="8978" xr3:uid="{917860E3-76DE-4471-8F6A-8ACE8D777D33}" name="Column8967"/>
    <tableColumn id="8979" xr3:uid="{944B9C5E-411F-4368-B29B-381B467FDE15}" name="Column8968"/>
    <tableColumn id="8980" xr3:uid="{0F15C844-86F4-473F-8DA2-5BBE036F319E}" name="Column8969"/>
    <tableColumn id="8981" xr3:uid="{E7DE97C5-084F-4460-8338-25F783CBCA29}" name="Column8970"/>
    <tableColumn id="8982" xr3:uid="{426F6ADE-9385-4D28-94F0-DC42CA998390}" name="Column8971"/>
    <tableColumn id="8983" xr3:uid="{2A9DA17F-C42B-4338-9F8D-B8E20D588A15}" name="Column8972"/>
    <tableColumn id="8984" xr3:uid="{3D122ED0-D814-4AA3-8886-9C0AB9F71BDC}" name="Column8973"/>
    <tableColumn id="8985" xr3:uid="{14161E90-2D43-4E7B-AFBD-0194CFFF7EBE}" name="Column8974"/>
    <tableColumn id="8986" xr3:uid="{23573349-FD3C-4A3D-9045-0F53256832EE}" name="Column8975"/>
    <tableColumn id="8987" xr3:uid="{01A3CFE3-F9EA-47A6-983F-1EE99575608D}" name="Column8976"/>
    <tableColumn id="8988" xr3:uid="{36693245-0398-4ADD-9C47-FC392E6237E1}" name="Column8977"/>
    <tableColumn id="8989" xr3:uid="{371A5DBB-E1BB-4127-A27C-E34F45FCF0CA}" name="Column8978"/>
    <tableColumn id="8990" xr3:uid="{D95F097F-B2AF-4648-8CA7-024D7222FA64}" name="Column8979"/>
    <tableColumn id="8991" xr3:uid="{486EB552-EB4B-485B-8834-DBCE68FAF689}" name="Column8980"/>
    <tableColumn id="8992" xr3:uid="{DB34D227-20B0-419D-9AD1-CDFCB710B7DE}" name="Column8981"/>
    <tableColumn id="8993" xr3:uid="{F03E5CAD-5066-4621-B458-3DBF20B11BE4}" name="Column8982"/>
    <tableColumn id="8994" xr3:uid="{A13AF7AF-9374-4165-BA8E-E7F627C0AD58}" name="Column8983"/>
    <tableColumn id="8995" xr3:uid="{6FEFECB3-85E6-4049-AC68-58B3939CFE35}" name="Column8984"/>
    <tableColumn id="8996" xr3:uid="{D83D3BF2-8E00-4368-A012-7E30557EBFE0}" name="Column8985"/>
    <tableColumn id="8997" xr3:uid="{59F626B1-6396-404D-8839-3FC8922F9F3E}" name="Column8986"/>
    <tableColumn id="8998" xr3:uid="{683ACDFE-40C1-412C-A29A-9804842174F5}" name="Column8987"/>
    <tableColumn id="8999" xr3:uid="{DEC65A02-FF39-42BE-A0C0-66BA067E77D0}" name="Column8988"/>
    <tableColumn id="9000" xr3:uid="{E024007C-D018-4B83-91C9-2A70306C6013}" name="Column8989"/>
    <tableColumn id="9001" xr3:uid="{CD58D630-8DBC-4304-8C52-1F95370ACA53}" name="Column8990"/>
    <tableColumn id="9002" xr3:uid="{80815FE2-9704-4D6C-98A4-EAEC48AA808E}" name="Column8991"/>
    <tableColumn id="9003" xr3:uid="{703C8966-FB96-4CB5-B67C-49A4E2157D6B}" name="Column8992"/>
    <tableColumn id="9004" xr3:uid="{D85D6A95-18A5-4115-AD6F-F9DA807B7B78}" name="Column8993"/>
    <tableColumn id="9005" xr3:uid="{5034249C-2D72-42ED-BF85-ADBF5982C960}" name="Column8994"/>
    <tableColumn id="9006" xr3:uid="{34DDCE90-9BC8-40D9-A165-2B1065DC4EE8}" name="Column8995"/>
    <tableColumn id="9007" xr3:uid="{688B43A8-3661-4A1B-A012-3A976C16DF80}" name="Column8996"/>
    <tableColumn id="9008" xr3:uid="{6C050084-B8F8-4C40-A2FA-C1FA1D703A61}" name="Column8997"/>
    <tableColumn id="9009" xr3:uid="{687D1CF6-4543-44CF-87EF-95A6B9E97091}" name="Column8998"/>
    <tableColumn id="9010" xr3:uid="{58E3D1F1-3693-4295-A101-8A18545F5A51}" name="Column8999"/>
    <tableColumn id="9011" xr3:uid="{3E7E895F-920F-451F-BD86-16FDB4255146}" name="Column9000"/>
    <tableColumn id="9012" xr3:uid="{59210702-52A7-4C45-B903-DCCA29E2E259}" name="Column9001"/>
    <tableColumn id="9013" xr3:uid="{B34501E1-DFE7-40E6-9EF2-6B2A0D66DF33}" name="Column9002"/>
    <tableColumn id="9014" xr3:uid="{21239BD2-DFC0-4CB7-B6CD-EB1DE9A20B00}" name="Column9003"/>
    <tableColumn id="9015" xr3:uid="{A19C3F01-C0CA-473E-A788-2BDB755A01CB}" name="Column9004"/>
    <tableColumn id="9016" xr3:uid="{A8D531ED-F809-40A4-877B-7C572A06DD60}" name="Column9005"/>
    <tableColumn id="9017" xr3:uid="{D3D03C6F-57EB-44AA-ACF9-89269AAC9CFF}" name="Column9006"/>
    <tableColumn id="9018" xr3:uid="{DB783714-FA02-44C9-A355-CB8DC944EA8C}" name="Column9007"/>
    <tableColumn id="9019" xr3:uid="{E062B18B-96D5-4CDF-84D5-88F1CA24605D}" name="Column9008"/>
    <tableColumn id="9020" xr3:uid="{1E8208AD-BBA4-4549-B541-D5291A651D97}" name="Column9009"/>
    <tableColumn id="9021" xr3:uid="{03A99933-40D9-4930-913F-6367DD09B4DB}" name="Column9010"/>
    <tableColumn id="9022" xr3:uid="{68492B45-5792-43AC-BAE7-69DB9DC30108}" name="Column9011"/>
    <tableColumn id="9023" xr3:uid="{B0569651-3698-4BB9-B817-C948BC5F8E58}" name="Column9012"/>
    <tableColumn id="9024" xr3:uid="{A8F58D3A-F0F8-4D89-AD23-C1C48C2A7863}" name="Column9013"/>
    <tableColumn id="9025" xr3:uid="{6F458182-85DB-4DEC-80C2-D485FDE9FC50}" name="Column9014"/>
    <tableColumn id="9026" xr3:uid="{81539A44-E04E-4FE0-9827-C6DC789C6BED}" name="Column9015"/>
    <tableColumn id="9027" xr3:uid="{1A130942-6B30-4DEC-8309-BEA5DBF07192}" name="Column9016"/>
    <tableColumn id="9028" xr3:uid="{6674CDDE-EB88-475E-8552-70BB6921468A}" name="Column9017"/>
    <tableColumn id="9029" xr3:uid="{14F711F8-6D49-40C6-8965-19E86A24E8D3}" name="Column9018"/>
    <tableColumn id="9030" xr3:uid="{AC4195D5-5529-47DC-8F7B-51E8EAD38414}" name="Column9019"/>
    <tableColumn id="9031" xr3:uid="{9DC5F7FD-DC0F-4329-9F2F-990664D90886}" name="Column9020"/>
    <tableColumn id="9032" xr3:uid="{405D5EB5-2F7A-495C-8A5A-43EA079C1C40}" name="Column9021"/>
    <tableColumn id="9033" xr3:uid="{D573E1D7-7357-40BB-8E86-BF2E52AD32D5}" name="Column9022"/>
    <tableColumn id="9034" xr3:uid="{A87F1D36-74B2-4585-9B6B-84DEC3D7B701}" name="Column9023"/>
    <tableColumn id="9035" xr3:uid="{807F29C2-AA93-4ED7-9941-420153BE68A5}" name="Column9024"/>
    <tableColumn id="9036" xr3:uid="{BED3C3CC-D8E5-49FE-BA0C-93FC4ED332C3}" name="Column9025"/>
    <tableColumn id="9037" xr3:uid="{82CEB4EB-0DE3-411E-A6D5-A117EDB21AB1}" name="Column9026"/>
    <tableColumn id="9038" xr3:uid="{1CCC0A4F-B8F2-412C-B01D-F2AC962C0E65}" name="Column9027"/>
    <tableColumn id="9039" xr3:uid="{11FAD4BA-5B51-46E6-8FC5-23AD9D3E5F6F}" name="Column9028"/>
    <tableColumn id="9040" xr3:uid="{79BA4E97-0895-4B1D-A9D3-5C1CC0B88914}" name="Column9029"/>
    <tableColumn id="9041" xr3:uid="{C4875A7E-F32A-486A-BBAA-1B3CE8D44F3E}" name="Column9030"/>
    <tableColumn id="9042" xr3:uid="{DEA1B68B-AA29-4765-AC70-DBAC5AFAC220}" name="Column9031"/>
    <tableColumn id="9043" xr3:uid="{1FCF17D4-AF41-4596-9413-834CE58F0855}" name="Column9032"/>
    <tableColumn id="9044" xr3:uid="{5473C53D-CC8B-43D2-8C87-DA0C10111891}" name="Column9033"/>
    <tableColumn id="9045" xr3:uid="{69F62FFA-D0CF-49B1-959D-CB854FC902CE}" name="Column9034"/>
    <tableColumn id="9046" xr3:uid="{721EEA07-9D00-4F54-BE78-2E381423C5D8}" name="Column9035"/>
    <tableColumn id="9047" xr3:uid="{CF30D07A-EFEC-4922-8574-474DE13F8A14}" name="Column9036"/>
    <tableColumn id="9048" xr3:uid="{F94ADBD4-60AF-4D87-BD91-07EB1651F232}" name="Column9037"/>
    <tableColumn id="9049" xr3:uid="{02CD6226-3191-4CF0-B1CF-C900D60357E3}" name="Column9038"/>
    <tableColumn id="9050" xr3:uid="{3C9B5B9C-BDA6-402A-8C25-27A198A59557}" name="Column9039"/>
    <tableColumn id="9051" xr3:uid="{065FBA49-7895-47AD-AA41-1F7EBC0FE01A}" name="Column9040"/>
    <tableColumn id="9052" xr3:uid="{895C3E95-8E79-406F-8D20-89A4C6F8FE6C}" name="Column9041"/>
    <tableColumn id="9053" xr3:uid="{2AD64666-3951-47D2-98F8-65384536D156}" name="Column9042"/>
    <tableColumn id="9054" xr3:uid="{C1036137-FF41-401E-B883-179CC3A07E52}" name="Column9043"/>
    <tableColumn id="9055" xr3:uid="{10C33968-C684-4689-9003-588764875F56}" name="Column9044"/>
    <tableColumn id="9056" xr3:uid="{6B032AA5-CFD4-4377-9BE4-8D1F5E9B0A10}" name="Column9045"/>
    <tableColumn id="9057" xr3:uid="{768E670A-D6D2-45D8-AED3-01B37FE2CDEE}" name="Column9046"/>
    <tableColumn id="9058" xr3:uid="{AB822E00-0C55-40B0-A1ED-3441DBC49EDF}" name="Column9047"/>
    <tableColumn id="9059" xr3:uid="{690A7513-DD8F-4650-90F0-302EB5B35486}" name="Column9048"/>
    <tableColumn id="9060" xr3:uid="{512C76F7-583F-4F0B-B444-638A03EA5C57}" name="Column9049"/>
    <tableColumn id="9061" xr3:uid="{96DE445D-6D7C-4C5D-BBB2-F50DE61A10FB}" name="Column9050"/>
    <tableColumn id="9062" xr3:uid="{DC11CDE7-2944-4E55-8C10-2807BF2238A6}" name="Column9051"/>
    <tableColumn id="9063" xr3:uid="{27D8EBBA-3BD3-456A-80B6-E5584F01A988}" name="Column9052"/>
    <tableColumn id="9064" xr3:uid="{1CDAEFD2-5D88-4D6A-B72A-222F1D6C9097}" name="Column9053"/>
    <tableColumn id="9065" xr3:uid="{DD29990D-B3C3-48C6-B36B-443A3D2A9F5D}" name="Column9054"/>
    <tableColumn id="9066" xr3:uid="{DC5C8799-B820-4059-AFD5-75453EA76AA7}" name="Column9055"/>
    <tableColumn id="9067" xr3:uid="{74F13126-3B5E-45F6-B7B3-2B3EB7388A9F}" name="Column9056"/>
    <tableColumn id="9068" xr3:uid="{4746ABB4-2867-4323-A0C7-54935124ACDD}" name="Column9057"/>
    <tableColumn id="9069" xr3:uid="{74E80B73-0888-4307-AFA1-415676BCA168}" name="Column9058"/>
    <tableColumn id="9070" xr3:uid="{682320DE-C21D-47C1-AE27-21115D51DA6F}" name="Column9059"/>
    <tableColumn id="9071" xr3:uid="{06F2EFD3-90BC-49EB-92ED-005D4D7EC8B8}" name="Column9060"/>
    <tableColumn id="9072" xr3:uid="{5840D843-1869-42D7-B40C-554D4D518CBE}" name="Column9061"/>
    <tableColumn id="9073" xr3:uid="{1EFDE9A0-B4BE-4C9B-871C-2172EC8BD048}" name="Column9062"/>
    <tableColumn id="9074" xr3:uid="{F4E3B256-7825-4D7F-B36D-E7121D920DCE}" name="Column9063"/>
    <tableColumn id="9075" xr3:uid="{6EC68235-7502-472E-BD0D-5FB6F171B8DA}" name="Column9064"/>
    <tableColumn id="9076" xr3:uid="{9DA21466-3872-41BE-9EC7-6D17FC9E5FEF}" name="Column9065"/>
    <tableColumn id="9077" xr3:uid="{AE584F3C-F10C-4810-AA46-86E132B8F901}" name="Column9066"/>
    <tableColumn id="9078" xr3:uid="{6A958830-A5A2-4100-AFFB-B8C5E659CB1B}" name="Column9067"/>
    <tableColumn id="9079" xr3:uid="{BC222B71-DAA1-4DF5-A2F6-64EA168DFC49}" name="Column9068"/>
    <tableColumn id="9080" xr3:uid="{BBEC9A76-348D-45E9-8311-B268955039E9}" name="Column9069"/>
    <tableColumn id="9081" xr3:uid="{D99556E0-90AF-4D1A-8984-20C4D42C7026}" name="Column9070"/>
    <tableColumn id="9082" xr3:uid="{B6A9023E-CDB2-46DD-ACFB-A0FB096A64B1}" name="Column9071"/>
    <tableColumn id="9083" xr3:uid="{669DA9BB-6A38-4CD5-A1EE-B1584E70DB9E}" name="Column9072"/>
    <tableColumn id="9084" xr3:uid="{1D3329D6-4334-4575-B6E9-C2A2E42AFFD8}" name="Column9073"/>
    <tableColumn id="9085" xr3:uid="{B93652E3-A317-49BF-9DE4-41BEC83AB82E}" name="Column9074"/>
    <tableColumn id="9086" xr3:uid="{A4CD4482-2215-4902-B582-2553B760191D}" name="Column9075"/>
    <tableColumn id="9087" xr3:uid="{0611264D-46C6-4E5B-BAB5-42756E494DEE}" name="Column9076"/>
    <tableColumn id="9088" xr3:uid="{3CB197C6-AB0C-42D1-8C75-AF7F277637B1}" name="Column9077"/>
    <tableColumn id="9089" xr3:uid="{AD4827C2-C6C5-4D63-80D0-391D5FF28CB3}" name="Column9078"/>
    <tableColumn id="9090" xr3:uid="{DD29A2E1-6477-4E6C-BCCE-FCB7A78FDB10}" name="Column9079"/>
    <tableColumn id="9091" xr3:uid="{768C1A3B-13C2-4091-B379-71AE63E9552B}" name="Column9080"/>
    <tableColumn id="9092" xr3:uid="{CAB5116C-EDA2-4B45-9CC2-1FD88D983B14}" name="Column9081"/>
    <tableColumn id="9093" xr3:uid="{4FEFB22D-255A-497D-98B5-DB852A5A203D}" name="Column9082"/>
    <tableColumn id="9094" xr3:uid="{C1F994EE-657A-4C35-8DE1-E4F514CDC221}" name="Column9083"/>
    <tableColumn id="9095" xr3:uid="{AE230DCD-951F-4B03-A126-7ADBD3D4710B}" name="Column9084"/>
    <tableColumn id="9096" xr3:uid="{F6A1D7EC-2BB5-4AA2-94CE-64D0A98C827D}" name="Column9085"/>
    <tableColumn id="9097" xr3:uid="{203B322B-1355-40C1-B08B-00FE2D08161B}" name="Column9086"/>
    <tableColumn id="9098" xr3:uid="{1E11C956-CF0B-4F7C-9C3B-E8AFD83BE5E0}" name="Column9087"/>
    <tableColumn id="9099" xr3:uid="{E7ABDE37-E09D-48F4-AE98-D9AFE3A344A3}" name="Column9088"/>
    <tableColumn id="9100" xr3:uid="{A63C9EE0-F1D6-46E4-BA84-DADC001DD82A}" name="Column9089"/>
    <tableColumn id="9101" xr3:uid="{FB61514D-3675-4E28-9536-059F100ADCBC}" name="Column9090"/>
    <tableColumn id="9102" xr3:uid="{17EA2161-0128-4E3A-954A-96692278D04E}" name="Column9091"/>
    <tableColumn id="9103" xr3:uid="{F24BA3EF-509B-4DDB-ABA1-7DDD7773E388}" name="Column9092"/>
    <tableColumn id="9104" xr3:uid="{118AA49E-DA72-4DE7-BEC7-62920B4FD5CF}" name="Column9093"/>
    <tableColumn id="9105" xr3:uid="{B31CDDFC-2E29-461F-818D-CD5AADFE206A}" name="Column9094"/>
    <tableColumn id="9106" xr3:uid="{7B082028-10CB-4C89-9341-7977468A4C83}" name="Column9095"/>
    <tableColumn id="9107" xr3:uid="{7E7D08AA-3576-4B08-B55F-50CD7F103AAB}" name="Column9096"/>
    <tableColumn id="9108" xr3:uid="{0FFD47B9-0586-413F-AE62-E5B79B13370E}" name="Column9097"/>
    <tableColumn id="9109" xr3:uid="{EC987FB9-862E-4328-9C32-48740A10D34A}" name="Column9098"/>
    <tableColumn id="9110" xr3:uid="{BE61F0DC-DE80-436F-8648-E86526ED67E8}" name="Column9099"/>
    <tableColumn id="9111" xr3:uid="{DB853A3A-8622-4ED4-8B22-BB716F15C3DC}" name="Column9100"/>
    <tableColumn id="9112" xr3:uid="{E0C94CE4-46D5-46D7-B051-1F68CC181050}" name="Column9101"/>
    <tableColumn id="9113" xr3:uid="{27C0F7C2-093C-4E27-BB7D-BC1219CC4F00}" name="Column9102"/>
    <tableColumn id="9114" xr3:uid="{1E9063C1-5AD7-474B-8A99-5C2C68535D12}" name="Column9103"/>
    <tableColumn id="9115" xr3:uid="{BA2D7F6B-557B-4C37-A488-CAFADD87A246}" name="Column9104"/>
    <tableColumn id="9116" xr3:uid="{E49274F3-62EF-4E63-8BAB-AF0A71538D87}" name="Column9105"/>
    <tableColumn id="9117" xr3:uid="{3C617D3C-6DF8-4840-87DE-E4FF89AE28A0}" name="Column9106"/>
    <tableColumn id="9118" xr3:uid="{5049CFC7-7EF5-4574-8DB3-55868B5FEF66}" name="Column9107"/>
    <tableColumn id="9119" xr3:uid="{F11A619A-7FE9-4AB0-9F1F-C53B3C6D7102}" name="Column9108"/>
    <tableColumn id="9120" xr3:uid="{9F5E9982-4B5A-4E0D-8082-90F77EEA1FAD}" name="Column9109"/>
    <tableColumn id="9121" xr3:uid="{0C00D498-8C09-4687-8621-5DBA41A9FFBB}" name="Column9110"/>
    <tableColumn id="9122" xr3:uid="{42F69F3E-342F-4307-9B78-4B9F2A348A4B}" name="Column9111"/>
    <tableColumn id="9123" xr3:uid="{B437D609-CF99-459B-9C94-7CA5922538A0}" name="Column9112"/>
    <tableColumn id="9124" xr3:uid="{F5DB0BF1-B61C-474B-804E-896B9815D797}" name="Column9113"/>
    <tableColumn id="9125" xr3:uid="{98BF9C0E-83D8-4D8E-8EFE-1541ACFF91B7}" name="Column9114"/>
    <tableColumn id="9126" xr3:uid="{844357E2-9F0E-4B0D-B97E-4538659BF1F8}" name="Column9115"/>
    <tableColumn id="9127" xr3:uid="{17183939-FC22-4346-A458-60201EFC6A20}" name="Column9116"/>
    <tableColumn id="9128" xr3:uid="{3D614E03-F9EE-4F63-8948-B15C3720AE66}" name="Column9117"/>
    <tableColumn id="9129" xr3:uid="{D7B76DA1-30D1-420F-9584-349C52AB2491}" name="Column9118"/>
    <tableColumn id="9130" xr3:uid="{E9268664-092D-4538-B81E-62BD366D9D7D}" name="Column9119"/>
    <tableColumn id="9131" xr3:uid="{F48FD525-0F4D-43B7-B003-0779CDD19D86}" name="Column9120"/>
    <tableColumn id="9132" xr3:uid="{51DE1ADA-FB1F-4467-9C89-71392F2E78FE}" name="Column9121"/>
    <tableColumn id="9133" xr3:uid="{44B8D6BD-2F6A-46AA-A38F-1B3C7714C4BE}" name="Column9122"/>
    <tableColumn id="9134" xr3:uid="{64EF297B-CABB-4DDF-98E3-570E99A75CB7}" name="Column9123"/>
    <tableColumn id="9135" xr3:uid="{6CD18E7C-162B-4C17-8143-296F116E366D}" name="Column9124"/>
    <tableColumn id="9136" xr3:uid="{0F2A8FA2-59F7-47CF-87CE-3701C1DB7DCB}" name="Column9125"/>
    <tableColumn id="9137" xr3:uid="{B8C6A8B0-ED53-4C78-8698-1CA8AEA07936}" name="Column9126"/>
    <tableColumn id="9138" xr3:uid="{F1A8F3DC-19E2-4BDD-8C3E-AAC74A7316EF}" name="Column9127"/>
    <tableColumn id="9139" xr3:uid="{EAE3333B-E54A-4535-93B5-1C0426C6F80D}" name="Column9128"/>
    <tableColumn id="9140" xr3:uid="{8BEBD2AB-245B-4D26-8040-BF0EB59D977B}" name="Column9129"/>
    <tableColumn id="9141" xr3:uid="{0ED20F7A-30C6-4D6E-BF9F-A1EF7EA68BFA}" name="Column9130"/>
    <tableColumn id="9142" xr3:uid="{E77DA4F8-4FEB-4E51-83A2-AE22C4F2BA3F}" name="Column9131"/>
    <tableColumn id="9143" xr3:uid="{99374F1F-D62C-43DA-A017-25F5DF423727}" name="Column9132"/>
    <tableColumn id="9144" xr3:uid="{E20C7F3C-7BDF-4721-B864-819E72EA2275}" name="Column9133"/>
    <tableColumn id="9145" xr3:uid="{9CF8D4D1-4484-42FB-92A1-27238C91B56A}" name="Column9134"/>
    <tableColumn id="9146" xr3:uid="{3AE66BE4-1668-4094-89AA-96B97CEC1A47}" name="Column9135"/>
    <tableColumn id="9147" xr3:uid="{C5957AEF-5240-49FE-B046-F1AE700CD820}" name="Column9136"/>
    <tableColumn id="9148" xr3:uid="{E9E0EA16-65A5-4878-A03C-F10A47052B05}" name="Column9137"/>
    <tableColumn id="9149" xr3:uid="{41AAC50B-B081-441C-BB5B-8489A8EABF70}" name="Column9138"/>
    <tableColumn id="9150" xr3:uid="{E92B3CB0-AEE8-4CA6-9C6F-A06D06407233}" name="Column9139"/>
    <tableColumn id="9151" xr3:uid="{D460553C-66E0-4F5F-A014-9A5E53EDA735}" name="Column9140"/>
    <tableColumn id="9152" xr3:uid="{135F8941-DE98-4097-B424-F296604EC668}" name="Column9141"/>
    <tableColumn id="9153" xr3:uid="{E5ADC667-4D44-41ED-8467-405F1FC6D5BE}" name="Column9142"/>
    <tableColumn id="9154" xr3:uid="{0648FBF5-E079-4923-A166-456CF4252692}" name="Column9143"/>
    <tableColumn id="9155" xr3:uid="{DD8E9FD6-09D4-4CD2-8D22-043A6EFC27D2}" name="Column9144"/>
    <tableColumn id="9156" xr3:uid="{EF0FEA20-5891-4FA5-9EE9-F430CC2AFB57}" name="Column9145"/>
    <tableColumn id="9157" xr3:uid="{1D1FF7BC-D872-49D5-B837-C9004220E374}" name="Column9146"/>
    <tableColumn id="9158" xr3:uid="{7A791DF3-13C1-4684-968D-9B6A65FF9C86}" name="Column9147"/>
    <tableColumn id="9159" xr3:uid="{11106EE2-E9D6-4035-B12D-63E92AA752C2}" name="Column9148"/>
    <tableColumn id="9160" xr3:uid="{B75A6CDC-1E17-439D-9F80-580572EACADF}" name="Column9149"/>
    <tableColumn id="9161" xr3:uid="{9E229F79-6386-4C8B-87E3-F008E5306BC0}" name="Column9150"/>
    <tableColumn id="9162" xr3:uid="{FB5DED1B-40B3-444A-A9AC-9DEEA3B159BF}" name="Column9151"/>
    <tableColumn id="9163" xr3:uid="{6F369216-377C-4AD1-8CFD-314C3CDB1CCA}" name="Column9152"/>
    <tableColumn id="9164" xr3:uid="{7F9BBDBD-4D39-4D8D-A595-0EB793B15C8E}" name="Column9153"/>
    <tableColumn id="9165" xr3:uid="{2DAE3F26-2282-4335-8779-88FD839AA9E1}" name="Column9154"/>
    <tableColumn id="9166" xr3:uid="{0A37E544-3EA3-4BD0-8126-A5A99751CC82}" name="Column9155"/>
    <tableColumn id="9167" xr3:uid="{B8FFBEE4-FE06-4E73-8BAA-1AF7813DCA65}" name="Column9156"/>
    <tableColumn id="9168" xr3:uid="{F69B7455-3032-478D-99BC-83D5FA06DA22}" name="Column9157"/>
    <tableColumn id="9169" xr3:uid="{AB1B3798-932E-4B3B-9D87-24CCA4C6270E}" name="Column9158"/>
    <tableColumn id="9170" xr3:uid="{973FBCC8-6A11-49D6-B7F8-46D669E3DF93}" name="Column9159"/>
    <tableColumn id="9171" xr3:uid="{CFA29D4C-8472-4088-A204-159517378066}" name="Column9160"/>
    <tableColumn id="9172" xr3:uid="{6FA858CF-3256-44A4-955B-BE5EE038784D}" name="Column9161"/>
    <tableColumn id="9173" xr3:uid="{33D18421-ABAF-4960-8812-2B5871A4316B}" name="Column9162"/>
    <tableColumn id="9174" xr3:uid="{4ECECE9D-4E8F-4340-91A9-8428DFE62FA5}" name="Column9163"/>
    <tableColumn id="9175" xr3:uid="{F0C33AB6-3FEC-4797-BED0-C87DED9F8F56}" name="Column9164"/>
    <tableColumn id="9176" xr3:uid="{FA56A1BA-273E-4B5A-B4CE-D5F8825AB49F}" name="Column9165"/>
    <tableColumn id="9177" xr3:uid="{36DA2B0E-AB5F-4050-8415-918A5D77C951}" name="Column9166"/>
    <tableColumn id="9178" xr3:uid="{F77B2322-5758-406E-A462-47A340D9ACA5}" name="Column9167"/>
    <tableColumn id="9179" xr3:uid="{8E0DC512-05F4-4B7B-9BD0-3739BD14F4DB}" name="Column9168"/>
    <tableColumn id="9180" xr3:uid="{2876E50D-032F-4F8E-B8A9-4C26900E40D1}" name="Column9169"/>
    <tableColumn id="9181" xr3:uid="{CFA92739-5EE2-4982-A1DC-8449A88AADAE}" name="Column9170"/>
    <tableColumn id="9182" xr3:uid="{5B21BBD4-CED2-4C1D-B4C4-5ACA34A19D43}" name="Column9171"/>
    <tableColumn id="9183" xr3:uid="{307F024F-F9D6-4433-B390-0D3A9EC01CDB}" name="Column9172"/>
    <tableColumn id="9184" xr3:uid="{A0F4A364-C826-41FD-BB9F-679F71DE088B}" name="Column9173"/>
    <tableColumn id="9185" xr3:uid="{BEC66C7D-7664-4086-8E62-3F031E37B112}" name="Column9174"/>
    <tableColumn id="9186" xr3:uid="{62BBB33E-A845-43CB-82AA-84134AEA58F0}" name="Column9175"/>
    <tableColumn id="9187" xr3:uid="{E27ED879-E828-4CBB-A6CA-779BDD65953B}" name="Column9176"/>
    <tableColumn id="9188" xr3:uid="{ECF15ADF-D56A-401C-BC43-27E8A0BF95E4}" name="Column9177"/>
    <tableColumn id="9189" xr3:uid="{7D753B12-B2DF-4F56-9BB2-CCF0E68A47F8}" name="Column9178"/>
    <tableColumn id="9190" xr3:uid="{EFEE64E9-88BA-443F-A77B-CEB00B41D242}" name="Column9179"/>
    <tableColumn id="9191" xr3:uid="{450BEA31-C0E0-4411-ADF5-FF5594D6F2C4}" name="Column9180"/>
    <tableColumn id="9192" xr3:uid="{DB537819-09D6-4D39-BFA4-8B5AD2C9D85B}" name="Column9181"/>
    <tableColumn id="9193" xr3:uid="{8C64D346-1364-4AF0-8229-ACB8D31E610D}" name="Column9182"/>
    <tableColumn id="9194" xr3:uid="{7A3A7D71-F63D-4FAF-86C0-148BEA67C2A4}" name="Column9183"/>
    <tableColumn id="9195" xr3:uid="{479C7A05-CE45-4643-87F8-22CCDFF7DBEF}" name="Column9184"/>
    <tableColumn id="9196" xr3:uid="{EA6961F9-A91F-4D01-9FBF-F4FBF82D7E54}" name="Column9185"/>
    <tableColumn id="9197" xr3:uid="{DA422F34-6781-4C05-B3B9-09154A786B63}" name="Column9186"/>
    <tableColumn id="9198" xr3:uid="{E9DEEA2A-8EA7-4A86-BB14-ED013CC3EA3A}" name="Column9187"/>
    <tableColumn id="9199" xr3:uid="{E505895D-36D6-47EC-8DE6-FF69CB075F9B}" name="Column9188"/>
    <tableColumn id="9200" xr3:uid="{8991BA3B-ABB4-43E2-BF66-84152D6835E2}" name="Column9189"/>
    <tableColumn id="9201" xr3:uid="{3B0A5512-F701-454A-8942-7ECDAACE7A66}" name="Column9190"/>
    <tableColumn id="9202" xr3:uid="{96D1B2AB-DCF7-46DD-8ECA-0BED91B827D3}" name="Column9191"/>
    <tableColumn id="9203" xr3:uid="{02FC7928-CB13-4735-B6B3-A2A8D0781589}" name="Column9192"/>
    <tableColumn id="9204" xr3:uid="{816881CF-CADA-46B3-A6FF-8718E9F8A1D5}" name="Column9193"/>
    <tableColumn id="9205" xr3:uid="{3EB74AF2-2688-4D58-B430-48A0F0FADEDE}" name="Column9194"/>
    <tableColumn id="9206" xr3:uid="{5798CA2C-DBE1-4FFA-904B-8EB9A07502CB}" name="Column9195"/>
    <tableColumn id="9207" xr3:uid="{2F88F69D-6D42-4114-B531-A7FF9934A78E}" name="Column9196"/>
    <tableColumn id="9208" xr3:uid="{7594F0C5-C7EA-4583-B78A-5FA6A9CB693C}" name="Column9197"/>
    <tableColumn id="9209" xr3:uid="{87E05CFC-8B7A-47E7-8278-36388E1F41FF}" name="Column9198"/>
    <tableColumn id="9210" xr3:uid="{4F36A649-2EE4-4B19-9599-D34EBAE8528D}" name="Column9199"/>
    <tableColumn id="9211" xr3:uid="{8C3EF168-C007-4BC3-8286-0FFC12DAE811}" name="Column9200"/>
    <tableColumn id="9212" xr3:uid="{775CA69E-C7FA-4565-8817-4344E4805972}" name="Column9201"/>
    <tableColumn id="9213" xr3:uid="{D289ACC9-81BC-48FC-9937-5B7ADEC2A665}" name="Column9202"/>
    <tableColumn id="9214" xr3:uid="{01C74EAA-3CCB-401C-9117-6438766BCBE2}" name="Column9203"/>
    <tableColumn id="9215" xr3:uid="{B7DAA9C0-DFF7-44AE-B09B-8885F625CE42}" name="Column9204"/>
    <tableColumn id="9216" xr3:uid="{1E8CEE98-6763-4BBD-9120-052F7689C66B}" name="Column9205"/>
    <tableColumn id="9217" xr3:uid="{2AC1BF5B-180E-4CDA-80F7-07587A9DDED4}" name="Column9206"/>
    <tableColumn id="9218" xr3:uid="{527D1172-3042-4704-8FDA-98D7308640F2}" name="Column9207"/>
    <tableColumn id="9219" xr3:uid="{55CB05EF-29AA-4F15-B4C7-7969CA4DBB29}" name="Column9208"/>
    <tableColumn id="9220" xr3:uid="{94063C88-3305-48A9-B6F2-6B8C6268AEF3}" name="Column9209"/>
    <tableColumn id="9221" xr3:uid="{9F67862E-C28E-4599-A9EF-50B676F26AB5}" name="Column9210"/>
    <tableColumn id="9222" xr3:uid="{2CAC598D-DEE8-4FDF-AA0A-93EFC1E50D31}" name="Column9211"/>
    <tableColumn id="9223" xr3:uid="{4E2655FF-D4C2-4A94-8C17-36314578AA15}" name="Column9212"/>
    <tableColumn id="9224" xr3:uid="{7EB72117-A74B-4956-AEE9-C236D14715C8}" name="Column9213"/>
    <tableColumn id="9225" xr3:uid="{A8B68E4E-BBD0-4A76-A584-27F8B5829119}" name="Column9214"/>
    <tableColumn id="9226" xr3:uid="{ED654620-39F1-4B68-8CC6-E8CD9142EB07}" name="Column9215"/>
    <tableColumn id="9227" xr3:uid="{AC28C7EC-139E-4725-B30D-3591CB3290F0}" name="Column9216"/>
    <tableColumn id="9228" xr3:uid="{6B7D5C33-487B-4014-986D-B8054079B230}" name="Column9217"/>
    <tableColumn id="9229" xr3:uid="{18A758C2-6B26-4844-9EA6-9F1008D76181}" name="Column9218"/>
    <tableColumn id="9230" xr3:uid="{98159572-5AE5-47F8-9065-071C24D60B50}" name="Column9219"/>
    <tableColumn id="9231" xr3:uid="{CDDFEB53-C91F-4736-BCED-85BC1DD28E14}" name="Column9220"/>
    <tableColumn id="9232" xr3:uid="{5561ECAD-74F7-442E-8F20-182702F752DF}" name="Column9221"/>
    <tableColumn id="9233" xr3:uid="{7953F379-0DE2-4183-BB89-9AE7A8F26BBA}" name="Column9222"/>
    <tableColumn id="9234" xr3:uid="{3634C9FC-7CFB-4CFA-9E6C-F65CB2111E80}" name="Column9223"/>
    <tableColumn id="9235" xr3:uid="{A7AC1088-5825-49D6-8B45-73E0A837D599}" name="Column9224"/>
    <tableColumn id="9236" xr3:uid="{038247FC-CC12-4FA7-90E7-A35989E4CF26}" name="Column9225"/>
    <tableColumn id="9237" xr3:uid="{6DC7E58C-AAD8-41EC-B73C-1CFF7DB362DD}" name="Column9226"/>
    <tableColumn id="9238" xr3:uid="{A1B00F77-D08D-46B8-A40E-F616AAA70B03}" name="Column9227"/>
    <tableColumn id="9239" xr3:uid="{A4FD054E-716A-4308-A30A-89E74BA8A6AF}" name="Column9228"/>
    <tableColumn id="9240" xr3:uid="{B01AD942-9DD2-439A-9BED-F625054D0B94}" name="Column9229"/>
    <tableColumn id="9241" xr3:uid="{3FF280A3-50E2-4BA3-98CE-6FA3654E7103}" name="Column9230"/>
    <tableColumn id="9242" xr3:uid="{A33915E3-E0AC-4D65-ACCA-918B1E774D46}" name="Column9231"/>
    <tableColumn id="9243" xr3:uid="{F29B0F23-BBC6-41ED-BF98-23C0684C154C}" name="Column9232"/>
    <tableColumn id="9244" xr3:uid="{C84434F6-31D9-4114-8E9C-58B29EB8D2A8}" name="Column9233"/>
    <tableColumn id="9245" xr3:uid="{D0CCEA88-BA26-43E0-BD6F-DD4B4F7A45CD}" name="Column9234"/>
    <tableColumn id="9246" xr3:uid="{C4EDA2A4-E3FF-4309-95F3-7300FB5C6EBF}" name="Column9235"/>
    <tableColumn id="9247" xr3:uid="{A344A04C-6600-4413-A217-E5E4C38D0212}" name="Column9236"/>
    <tableColumn id="9248" xr3:uid="{37A0A49C-2552-4F61-9CB4-6AA39D80881D}" name="Column9237"/>
    <tableColumn id="9249" xr3:uid="{4213B7F4-289A-4688-9CD0-E79D4F1F9677}" name="Column9238"/>
    <tableColumn id="9250" xr3:uid="{1E1D9E0A-C070-4DFD-B43C-567992317BA2}" name="Column9239"/>
    <tableColumn id="9251" xr3:uid="{A28F4A96-CA5B-44BB-B775-909A3CCA54EB}" name="Column9240"/>
    <tableColumn id="9252" xr3:uid="{13997808-20CD-443E-9F03-0FB7E87C6255}" name="Column9241"/>
    <tableColumn id="9253" xr3:uid="{453B5F9E-C9A4-4C20-AC30-66B578EE8B1C}" name="Column9242"/>
    <tableColumn id="9254" xr3:uid="{372C1C08-02CF-4596-B12F-6B92FD4A778B}" name="Column9243"/>
    <tableColumn id="9255" xr3:uid="{6D857E5E-702C-4449-97AD-D721D5CAAD5B}" name="Column9244"/>
    <tableColumn id="9256" xr3:uid="{6C094B22-4544-40D0-BA11-24E6279681D5}" name="Column9245"/>
    <tableColumn id="9257" xr3:uid="{D9A53EE2-441D-41F4-9226-F12B1B97B353}" name="Column9246"/>
    <tableColumn id="9258" xr3:uid="{9977C785-F40B-4689-9F73-011A623FE182}" name="Column9247"/>
    <tableColumn id="9259" xr3:uid="{1DC4BD4C-2FFF-4E1C-B588-2F5301C9E8FC}" name="Column9248"/>
    <tableColumn id="9260" xr3:uid="{8601494A-9F1A-4F15-AD00-6EFBC7AFC617}" name="Column9249"/>
    <tableColumn id="9261" xr3:uid="{8FCC9722-5E4E-4D15-83E3-2165C6EAD1B1}" name="Column9250"/>
    <tableColumn id="9262" xr3:uid="{06FDB9D3-3490-4DF1-B883-788E697214D6}" name="Column9251"/>
    <tableColumn id="9263" xr3:uid="{F1DE6A4C-D617-44EE-8761-0993FCB368A4}" name="Column9252"/>
    <tableColumn id="9264" xr3:uid="{50A20195-1731-49C2-8067-C0C94EB270C3}" name="Column9253"/>
    <tableColumn id="9265" xr3:uid="{E2FC17B3-8640-42F1-88F1-FBADEBF9B82C}" name="Column9254"/>
    <tableColumn id="9266" xr3:uid="{243EC0C1-31D9-4467-8117-19D7D246D53F}" name="Column9255"/>
    <tableColumn id="9267" xr3:uid="{AA59BDB3-543F-40C7-ADAB-043BE15BEE4F}" name="Column9256"/>
    <tableColumn id="9268" xr3:uid="{FAAE3B04-DD62-473B-8891-899146B4B5FE}" name="Column9257"/>
    <tableColumn id="9269" xr3:uid="{98AE5878-B70B-478C-956E-AEACCC93B154}" name="Column9258"/>
    <tableColumn id="9270" xr3:uid="{E2BC7B47-5081-4FD6-BFC9-BC8C7CD7CBE7}" name="Column9259"/>
    <tableColumn id="9271" xr3:uid="{6E6DFAA7-2F75-43E0-844E-8B54D4574E1E}" name="Column9260"/>
    <tableColumn id="9272" xr3:uid="{5C15DA9F-4FBC-407A-B20A-D378EE53890F}" name="Column9261"/>
    <tableColumn id="9273" xr3:uid="{B9ABAC93-0D1E-4807-9B4B-1208AC27D6D9}" name="Column9262"/>
    <tableColumn id="9274" xr3:uid="{838381AB-B212-4BE4-A586-63F1789ECF30}" name="Column9263"/>
    <tableColumn id="9275" xr3:uid="{85F001FD-720F-4187-8C92-239AF5FD86C1}" name="Column9264"/>
    <tableColumn id="9276" xr3:uid="{A9F846CD-C6C6-47B3-B278-91EA0351D8CE}" name="Column9265"/>
    <tableColumn id="9277" xr3:uid="{E271B6AF-935B-4854-A006-0B4432D4AE8F}" name="Column9266"/>
    <tableColumn id="9278" xr3:uid="{81E2881D-F79A-40AA-AD9E-7B2EA4222EE7}" name="Column9267"/>
    <tableColumn id="9279" xr3:uid="{3E67272A-7CA9-48AC-96CD-9C7E8715E0D2}" name="Column9268"/>
    <tableColumn id="9280" xr3:uid="{0B990D4D-9154-4969-9D1E-9A7AE2DB5511}" name="Column9269"/>
    <tableColumn id="9281" xr3:uid="{16703673-016A-4913-8DEC-D5086E81E2A8}" name="Column9270"/>
    <tableColumn id="9282" xr3:uid="{9CE4435C-A638-4286-994C-994A90B47071}" name="Column9271"/>
    <tableColumn id="9283" xr3:uid="{839B6114-4FE8-4445-A26C-A2C2F94AA89C}" name="Column9272"/>
    <tableColumn id="9284" xr3:uid="{3089C72D-9E93-4361-B4B6-84EED912B4F7}" name="Column9273"/>
    <tableColumn id="9285" xr3:uid="{60C2D9A4-F579-4A8A-974A-AB36324F2B14}" name="Column9274"/>
    <tableColumn id="9286" xr3:uid="{9423733A-07A1-4155-AA43-D06D44996CF1}" name="Column9275"/>
    <tableColumn id="9287" xr3:uid="{81F25E6F-1CA9-4307-866C-8B8949C4548C}" name="Column9276"/>
    <tableColumn id="9288" xr3:uid="{941A1ACD-DD04-4AE4-A602-CB9130FFC9C0}" name="Column9277"/>
    <tableColumn id="9289" xr3:uid="{987348CB-FBD5-401E-BBCD-241C16836052}" name="Column9278"/>
    <tableColumn id="9290" xr3:uid="{AC9E2ECE-3A6B-4B75-B495-4C071BE0155D}" name="Column9279"/>
    <tableColumn id="9291" xr3:uid="{FD6CBA0E-3FD6-430C-BE13-0AC480698666}" name="Column9280"/>
    <tableColumn id="9292" xr3:uid="{FD3BDA2A-8EDB-4F4B-ADB3-7704D4C5E745}" name="Column9281"/>
    <tableColumn id="9293" xr3:uid="{91F1ACF6-334A-422D-B3A3-258D36CBFD16}" name="Column9282"/>
    <tableColumn id="9294" xr3:uid="{286A02A7-3BC1-4AB2-813A-D12AE4749700}" name="Column9283"/>
    <tableColumn id="9295" xr3:uid="{46E03DA8-A20D-4334-AA1E-C1E94C2F1EB7}" name="Column9284"/>
    <tableColumn id="9296" xr3:uid="{2EF49D75-AD26-4920-9541-77B53171870F}" name="Column9285"/>
    <tableColumn id="9297" xr3:uid="{49A6BF80-BD04-4561-98F9-506FCA53DE36}" name="Column9286"/>
    <tableColumn id="9298" xr3:uid="{D7E5F1A0-458F-46E2-9097-1FEF3901D39D}" name="Column9287"/>
    <tableColumn id="9299" xr3:uid="{5D6C6C04-D2B9-47C3-B41D-2193B817F727}" name="Column9288"/>
    <tableColumn id="9300" xr3:uid="{64FCCB5C-B023-4E08-B859-32B7A6F1FE31}" name="Column9289"/>
    <tableColumn id="9301" xr3:uid="{47A69C58-48A0-4E5C-A231-24D33944DB77}" name="Column9290"/>
    <tableColumn id="9302" xr3:uid="{B36753E7-0F81-47CF-9DB8-44C7D7912E95}" name="Column9291"/>
    <tableColumn id="9303" xr3:uid="{A6FA59F8-A9E9-4448-A1CC-CF9EFB7F6BAA}" name="Column9292"/>
    <tableColumn id="9304" xr3:uid="{3EB9AEBC-BCFA-4FAE-AFAF-3D784C10DC58}" name="Column9293"/>
    <tableColumn id="9305" xr3:uid="{F9A90DFF-A7AA-4227-8592-971CD9F4D109}" name="Column9294"/>
    <tableColumn id="9306" xr3:uid="{67CD61F7-1653-4749-84A8-37189ED8E0D6}" name="Column9295"/>
    <tableColumn id="9307" xr3:uid="{DFA2718D-A563-4287-AC72-A2F70BA44662}" name="Column9296"/>
    <tableColumn id="9308" xr3:uid="{B993B1FA-5F5F-48D2-A329-6A68AD35975E}" name="Column9297"/>
    <tableColumn id="9309" xr3:uid="{0E42FBDC-4EA8-4A2B-AF89-1CFBF5F337BE}" name="Column9298"/>
    <tableColumn id="9310" xr3:uid="{B77A4DBC-B1BC-40F2-8066-CC2D976A16DD}" name="Column9299"/>
    <tableColumn id="9311" xr3:uid="{2F9F2FC7-4D9C-4C71-BD46-7F679EC1D6C0}" name="Column9300"/>
    <tableColumn id="9312" xr3:uid="{FA5CA0FC-5D1F-475A-9B97-7BD2261F6F48}" name="Column9301"/>
    <tableColumn id="9313" xr3:uid="{4B25E62E-733A-43DA-8F35-115D3928C83E}" name="Column9302"/>
    <tableColumn id="9314" xr3:uid="{5EC5A33A-227E-4AD3-BC4B-7266460D3306}" name="Column9303"/>
    <tableColumn id="9315" xr3:uid="{6CBFCDE1-DB92-4D35-9FC7-4FF6314273C3}" name="Column9304"/>
    <tableColumn id="9316" xr3:uid="{3593FB64-28C4-49A5-86B2-9DA084F593A9}" name="Column9305"/>
    <tableColumn id="9317" xr3:uid="{CDE87B19-73D8-438D-A696-5429BD523278}" name="Column9306"/>
    <tableColumn id="9318" xr3:uid="{A11F9406-E39A-4FB8-8396-8395521699DB}" name="Column9307"/>
    <tableColumn id="9319" xr3:uid="{44458EC7-A9C0-45F7-AE2E-22C6FDFB9FF9}" name="Column9308"/>
    <tableColumn id="9320" xr3:uid="{10A3BD99-52F7-474D-AD72-E3407BA493E0}" name="Column9309"/>
    <tableColumn id="9321" xr3:uid="{C53A637B-EB6A-4B50-8908-D6D1C09EBF40}" name="Column9310"/>
    <tableColumn id="9322" xr3:uid="{983A2FD1-DEE8-4B61-88E2-AF15E42E155A}" name="Column9311"/>
    <tableColumn id="9323" xr3:uid="{5282F0F3-5737-4D63-9E24-1799C23BC275}" name="Column9312"/>
    <tableColumn id="9324" xr3:uid="{EEB912B6-6283-4FBB-9645-89BBBDF723E8}" name="Column9313"/>
    <tableColumn id="9325" xr3:uid="{D0433FAF-BFC9-4B6C-A324-8A4AC1C9C984}" name="Column9314"/>
    <tableColumn id="9326" xr3:uid="{4CE1A0B4-33BD-4FF6-8AAD-B76698B08F22}" name="Column9315"/>
    <tableColumn id="9327" xr3:uid="{BC9F9518-EF04-4939-AEEA-B12F66B5AE77}" name="Column9316"/>
    <tableColumn id="9328" xr3:uid="{A20CE856-BBCD-4FC9-B451-84DD1644B424}" name="Column9317"/>
    <tableColumn id="9329" xr3:uid="{2F7370F0-AFFB-44D7-BD4E-FF6DC37A0568}" name="Column9318"/>
    <tableColumn id="9330" xr3:uid="{ADB5B958-A2AB-4476-B7CF-83B2DCA14516}" name="Column9319"/>
    <tableColumn id="9331" xr3:uid="{15C44C49-9828-4F5A-9CDF-EDC8EA495CD6}" name="Column9320"/>
    <tableColumn id="9332" xr3:uid="{1F3DCCFD-ADDF-47B4-A8A3-F59F0D7B789C}" name="Column9321"/>
    <tableColumn id="9333" xr3:uid="{FEF540FE-2066-4721-B52B-46041CBD7F4C}" name="Column9322"/>
    <tableColumn id="9334" xr3:uid="{CD3B8C07-34B2-4C0C-8731-E9EBABDCAA84}" name="Column9323"/>
    <tableColumn id="9335" xr3:uid="{B463B62F-567B-4575-9211-8AA1CF4AE574}" name="Column9324"/>
    <tableColumn id="9336" xr3:uid="{FCA1B77E-00BB-41C9-84B0-F79F10FBD890}" name="Column9325"/>
    <tableColumn id="9337" xr3:uid="{2F504572-48F4-4BA2-81EF-78674CFE2339}" name="Column9326"/>
    <tableColumn id="9338" xr3:uid="{2BF2F5DD-6F15-4506-BC28-C4E38A0739C4}" name="Column9327"/>
    <tableColumn id="9339" xr3:uid="{47B856D5-12B8-4615-8843-D621A6680C82}" name="Column9328"/>
    <tableColumn id="9340" xr3:uid="{4D3FD59B-089E-482F-98A4-28568BAEDCE8}" name="Column9329"/>
    <tableColumn id="9341" xr3:uid="{A6687216-8D7E-44CD-9166-9A5EDFD874AE}" name="Column9330"/>
    <tableColumn id="9342" xr3:uid="{083C52F2-F762-4AA1-81A1-91DB678AAAF1}" name="Column9331"/>
    <tableColumn id="9343" xr3:uid="{3B91FD8D-1422-4372-8326-6514F3AFED71}" name="Column9332"/>
    <tableColumn id="9344" xr3:uid="{ED449AF8-AC98-4D9B-95BD-43463847653F}" name="Column9333"/>
    <tableColumn id="9345" xr3:uid="{8B12F21A-D63E-454E-B292-34EE8280C37A}" name="Column9334"/>
    <tableColumn id="9346" xr3:uid="{270B397D-F563-4C8A-A022-FA0703B1A340}" name="Column9335"/>
    <tableColumn id="9347" xr3:uid="{447AD671-D964-4D00-95B7-221267F8766E}" name="Column9336"/>
    <tableColumn id="9348" xr3:uid="{9CB679F8-C589-4DBB-B567-274E0C42495E}" name="Column9337"/>
    <tableColumn id="9349" xr3:uid="{04FBC140-C108-43DE-97E6-F827D6B0D4F1}" name="Column9338"/>
    <tableColumn id="9350" xr3:uid="{31819EFF-CC1C-42DC-85A7-421E942A933D}" name="Column9339"/>
    <tableColumn id="9351" xr3:uid="{1474BF09-06A5-4DC6-BDD6-F08EA60981FD}" name="Column9340"/>
    <tableColumn id="9352" xr3:uid="{237AAC9F-C267-45DD-BE52-D21A77CC5585}" name="Column9341"/>
    <tableColumn id="9353" xr3:uid="{B95D813A-D4A7-4430-91F3-AA7F7FDDD87C}" name="Column9342"/>
    <tableColumn id="9354" xr3:uid="{38FE3A00-1439-476C-B392-B6913B3EA672}" name="Column9343"/>
    <tableColumn id="9355" xr3:uid="{F26750A8-15CD-4184-A770-0FE2FA16774A}" name="Column9344"/>
    <tableColumn id="9356" xr3:uid="{90A91E74-074F-4234-BC9A-9FD916997356}" name="Column9345"/>
    <tableColumn id="9357" xr3:uid="{5573BFE5-CBD5-4B4D-B8C2-76BA14CBBC24}" name="Column9346"/>
    <tableColumn id="9358" xr3:uid="{A7266ED5-A026-4AC7-9600-558D2AAB16B7}" name="Column9347"/>
    <tableColumn id="9359" xr3:uid="{AD743BBD-CE5C-43D3-BC35-1E8B8761DADE}" name="Column9348"/>
    <tableColumn id="9360" xr3:uid="{E7E1ACFB-E69D-4BE4-AF9C-FCC5C73F758E}" name="Column9349"/>
    <tableColumn id="9361" xr3:uid="{534CFA7F-30F1-4068-AA76-BB135C74181C}" name="Column9350"/>
    <tableColumn id="9362" xr3:uid="{4C3F4503-D22C-4051-B9DC-8115A8429282}" name="Column9351"/>
    <tableColumn id="9363" xr3:uid="{B031CB39-EEAD-42BD-83D8-0DA4A3524919}" name="Column9352"/>
    <tableColumn id="9364" xr3:uid="{11587AC4-947E-4EF8-886D-5BE96D4FB731}" name="Column9353"/>
    <tableColumn id="9365" xr3:uid="{71E7F80A-C42A-4871-9E61-C90ABE497468}" name="Column9354"/>
    <tableColumn id="9366" xr3:uid="{3A6E8C28-96F6-43CB-B4CD-FB84FC0D803D}" name="Column9355"/>
    <tableColumn id="9367" xr3:uid="{4A1C953B-5310-4E71-9DAA-A2806DC66A03}" name="Column9356"/>
    <tableColumn id="9368" xr3:uid="{EE354347-4665-4BBF-999C-F02139EB8A8A}" name="Column9357"/>
    <tableColumn id="9369" xr3:uid="{6D9ABCF0-4C31-4E5C-8A0B-D6E2CDDDA2B8}" name="Column9358"/>
    <tableColumn id="9370" xr3:uid="{AE109E52-1758-415C-9272-A9096142D6E0}" name="Column9359"/>
    <tableColumn id="9371" xr3:uid="{F79E6E7C-79C3-4423-9E3F-2880E2327A58}" name="Column9360"/>
    <tableColumn id="9372" xr3:uid="{C3443CEA-BC7D-4726-93BA-748FCA8E6246}" name="Column9361"/>
    <tableColumn id="9373" xr3:uid="{5549B5BD-F5D8-4CF2-8758-5FA627E7E4E0}" name="Column9362"/>
    <tableColumn id="9374" xr3:uid="{BB5E23E0-ECF8-4B3D-A73D-C9AA9D8DC879}" name="Column9363"/>
    <tableColumn id="9375" xr3:uid="{71DEEE9A-017E-480B-8A42-E888AB7F3E70}" name="Column9364"/>
    <tableColumn id="9376" xr3:uid="{88E97B99-2CC6-455C-8E85-36B1FFDE3897}" name="Column9365"/>
    <tableColumn id="9377" xr3:uid="{BDCACB7A-A89D-4046-8E38-E083D652E22C}" name="Column9366"/>
    <tableColumn id="9378" xr3:uid="{9A34F9C4-3432-44C5-BA7B-05687EDEE060}" name="Column9367"/>
    <tableColumn id="9379" xr3:uid="{B71C31A9-1A26-470C-BC2A-6A760816E636}" name="Column9368"/>
    <tableColumn id="9380" xr3:uid="{93BB95D2-B394-4ED7-954C-FD10F762F033}" name="Column9369"/>
    <tableColumn id="9381" xr3:uid="{0D651C2B-4EAA-4F19-BC2A-F17D23484214}" name="Column9370"/>
    <tableColumn id="9382" xr3:uid="{6058203A-8796-49C8-8741-D0103B9C6785}" name="Column9371"/>
    <tableColumn id="9383" xr3:uid="{877671BB-7FF3-4BA8-9EAD-AB143C9424AE}" name="Column9372"/>
    <tableColumn id="9384" xr3:uid="{F601BC8A-7923-4BA7-A5E0-99DD2885E575}" name="Column9373"/>
    <tableColumn id="9385" xr3:uid="{1E7F74F9-8667-4E99-9554-56CDCEF074A1}" name="Column9374"/>
    <tableColumn id="9386" xr3:uid="{B53601F1-70E4-4BDF-B254-4E2B7277CEE2}" name="Column9375"/>
    <tableColumn id="9387" xr3:uid="{39148152-B5C8-460A-920F-8CB064B11D91}" name="Column9376"/>
    <tableColumn id="9388" xr3:uid="{93CBB315-ED3A-49DA-8F27-CA4BFFC802E6}" name="Column9377"/>
    <tableColumn id="9389" xr3:uid="{9DC9824C-F48F-4596-BC95-68A0D4140191}" name="Column9378"/>
    <tableColumn id="9390" xr3:uid="{598C0CD2-F332-47AD-974C-E1D0115A53C7}" name="Column9379"/>
    <tableColumn id="9391" xr3:uid="{103B53D1-CC52-4E9D-B534-CD0D3F7640E8}" name="Column9380"/>
    <tableColumn id="9392" xr3:uid="{F86A4038-D466-4AA9-AF85-BDE2BFF6BC90}" name="Column9381"/>
    <tableColumn id="9393" xr3:uid="{CE42FF5C-A1DD-448A-A40D-29DD4A35A940}" name="Column9382"/>
    <tableColumn id="9394" xr3:uid="{6212CC4F-BB34-4FC3-A862-86D0A3DF6AF6}" name="Column9383"/>
    <tableColumn id="9395" xr3:uid="{BFE8418A-4172-4100-995F-9C8BC1263E03}" name="Column9384"/>
    <tableColumn id="9396" xr3:uid="{3E65A5D7-199B-4645-B179-8A4EBBC16236}" name="Column9385"/>
    <tableColumn id="9397" xr3:uid="{A64B507E-E71C-41ED-BD48-EE9DAA9DFF0E}" name="Column9386"/>
    <tableColumn id="9398" xr3:uid="{1566BEEF-3B6F-401E-BEAD-CACA8E15BEE5}" name="Column9387"/>
    <tableColumn id="9399" xr3:uid="{49C848CC-13DB-47B8-9DCD-11B0FFBA0958}" name="Column9388"/>
    <tableColumn id="9400" xr3:uid="{2823DDE1-E01A-4609-B3AA-C2AD907545E9}" name="Column9389"/>
    <tableColumn id="9401" xr3:uid="{01FFFF90-F94D-4311-926C-794D27FDEAF1}" name="Column9390"/>
    <tableColumn id="9402" xr3:uid="{A96B3224-8200-4D58-A31B-4FC6F5065FEE}" name="Column9391"/>
    <tableColumn id="9403" xr3:uid="{86DDD58B-ED86-4E5B-8AB4-85455DCCC644}" name="Column9392"/>
    <tableColumn id="9404" xr3:uid="{6CF522C2-359E-49AA-BD33-20F82A7D59A8}" name="Column9393"/>
    <tableColumn id="9405" xr3:uid="{FE11E2A7-AE10-4EE9-BCE8-813A0C74809F}" name="Column9394"/>
    <tableColumn id="9406" xr3:uid="{F8325608-2B52-46E9-9A2D-81C693E09457}" name="Column9395"/>
    <tableColumn id="9407" xr3:uid="{988E2863-E633-4EF1-9D43-66669FF979AD}" name="Column9396"/>
    <tableColumn id="9408" xr3:uid="{E8DF01B9-7C73-4ED9-90B2-1F3D68DF6056}" name="Column9397"/>
    <tableColumn id="9409" xr3:uid="{BAF08839-F7B3-4649-BD10-81634F8E5B75}" name="Column9398"/>
    <tableColumn id="9410" xr3:uid="{7435944B-F50E-4B51-93C9-C30DEEFBF680}" name="Column9399"/>
    <tableColumn id="9411" xr3:uid="{80ED951D-29E5-423F-A5C1-CEF0251134D4}" name="Column9400"/>
    <tableColumn id="9412" xr3:uid="{F3B91F3F-F83B-4BA4-9A79-CABD5B172EB4}" name="Column9401"/>
    <tableColumn id="9413" xr3:uid="{9AC02792-0D1D-4753-857B-A7754ABA4FF4}" name="Column9402"/>
    <tableColumn id="9414" xr3:uid="{1636540B-D4FC-47FE-A0A6-2D2EC55CD382}" name="Column9403"/>
    <tableColumn id="9415" xr3:uid="{59443AF8-9C35-4AC5-8D34-B1F0FC09211C}" name="Column9404"/>
    <tableColumn id="9416" xr3:uid="{135B8EA6-81D6-4945-BCF8-7166FB7527D0}" name="Column9405"/>
    <tableColumn id="9417" xr3:uid="{2FF08433-FD22-4077-9C07-94FE92A592F7}" name="Column9406"/>
    <tableColumn id="9418" xr3:uid="{4149FF11-8C2B-4D05-BD1D-87392437ADF5}" name="Column9407"/>
    <tableColumn id="9419" xr3:uid="{9E27D7E4-43AF-4AC0-A0F0-CD35E6BFAAF4}" name="Column9408"/>
    <tableColumn id="9420" xr3:uid="{AD708E09-D837-4F25-80DF-9013F4B85FFF}" name="Column9409"/>
    <tableColumn id="9421" xr3:uid="{050D9BCD-A6F9-4910-B47A-EFFD502ECD80}" name="Column9410"/>
    <tableColumn id="9422" xr3:uid="{2468D46A-3245-4446-8CD2-CB9CE2CF774A}" name="Column9411"/>
    <tableColumn id="9423" xr3:uid="{9B5AD25A-F9B7-427D-A511-1E0C5019248C}" name="Column9412"/>
    <tableColumn id="9424" xr3:uid="{3F7CE551-0A84-45D3-B0BC-E616EA893E89}" name="Column9413"/>
    <tableColumn id="9425" xr3:uid="{362C7B7F-66B8-4986-860D-7F1682500FCB}" name="Column9414"/>
    <tableColumn id="9426" xr3:uid="{6B5A2549-7640-422A-BA82-8E25411CFD4F}" name="Column9415"/>
    <tableColumn id="9427" xr3:uid="{B1AAC988-6BB9-4104-9EBF-51AF01E313F2}" name="Column9416"/>
    <tableColumn id="9428" xr3:uid="{F98CBCAC-8BAE-4A4D-B528-F9B55967C3D8}" name="Column9417"/>
    <tableColumn id="9429" xr3:uid="{FD0D2752-B3DA-405F-ACF3-82D7B7E663A9}" name="Column9418"/>
    <tableColumn id="9430" xr3:uid="{6469948C-ED46-486E-B53A-CFBBD6B662E0}" name="Column9419"/>
    <tableColumn id="9431" xr3:uid="{42493EB8-FFD0-40CB-B692-D10B8E7E5BA0}" name="Column9420"/>
    <tableColumn id="9432" xr3:uid="{77722F23-845A-4C87-ACE8-E893910B32D9}" name="Column9421"/>
    <tableColumn id="9433" xr3:uid="{23F53EFA-E3D6-437E-A49C-D799542FAD53}" name="Column9422"/>
    <tableColumn id="9434" xr3:uid="{08EE36A3-B6B3-4EF4-8022-F80A62E6AB8D}" name="Column9423"/>
    <tableColumn id="9435" xr3:uid="{BBF76B39-4FB5-4249-981C-502BBA458436}" name="Column9424"/>
    <tableColumn id="9436" xr3:uid="{47B899F8-A1EF-48B7-ABD1-3A8B3ABDAC91}" name="Column9425"/>
    <tableColumn id="9437" xr3:uid="{360A8493-E697-41EE-A942-4A6F6C8C551F}" name="Column9426"/>
    <tableColumn id="9438" xr3:uid="{5030A285-0A5F-431E-9A8A-FFA6D3D58D03}" name="Column9427"/>
    <tableColumn id="9439" xr3:uid="{7C5F9F02-102C-40F6-A917-C283D9AD9FE7}" name="Column9428"/>
    <tableColumn id="9440" xr3:uid="{9703F10D-842F-47FA-8E24-7065C710EE93}" name="Column9429"/>
    <tableColumn id="9441" xr3:uid="{EDF9AF27-6901-4D6B-A181-BF9A2122D844}" name="Column9430"/>
    <tableColumn id="9442" xr3:uid="{580D7E61-E599-4DBD-B795-7348DEED9CF7}" name="Column9431"/>
    <tableColumn id="9443" xr3:uid="{2DAC2B1E-0B9F-417A-87BA-9030CD1A6DF1}" name="Column9432"/>
    <tableColumn id="9444" xr3:uid="{A5AB19C3-CB4F-4573-8621-12D573293032}" name="Column9433"/>
    <tableColumn id="9445" xr3:uid="{155CA8AA-C497-4EC5-9A70-F71C646F185B}" name="Column9434"/>
    <tableColumn id="9446" xr3:uid="{AA06FF94-DC1E-4C83-80BE-A00189C93025}" name="Column9435"/>
    <tableColumn id="9447" xr3:uid="{B8CD881C-1CBE-48E3-989B-16A62E3FB7AA}" name="Column9436"/>
    <tableColumn id="9448" xr3:uid="{0C7E138C-7678-4B51-B916-D3B0FE0C4EBE}" name="Column9437"/>
    <tableColumn id="9449" xr3:uid="{516FFAA6-CDE3-496B-A045-3B903BF258F4}" name="Column9438"/>
    <tableColumn id="9450" xr3:uid="{36D4D80C-FFA7-4FD7-85B2-470B20E3C0CF}" name="Column9439"/>
    <tableColumn id="9451" xr3:uid="{BDFD5F16-4FF3-4B87-B9CD-00C0F5B9B3E6}" name="Column9440"/>
    <tableColumn id="9452" xr3:uid="{DB4EC6D9-E0F6-471C-8C6C-C336D9A6D695}" name="Column9441"/>
    <tableColumn id="9453" xr3:uid="{808715C5-C8CD-41D6-98D2-4BD16A4D3A38}" name="Column9442"/>
    <tableColumn id="9454" xr3:uid="{715D3D9C-5A71-4977-AAB2-4EEB1E503E5C}" name="Column9443"/>
    <tableColumn id="9455" xr3:uid="{AF87BA93-77C7-4A7D-947A-D26FA230FDBA}" name="Column9444"/>
    <tableColumn id="9456" xr3:uid="{8E7360FE-2D3A-49B1-A2EE-FD0762274DCA}" name="Column9445"/>
    <tableColumn id="9457" xr3:uid="{0D9E6D57-7590-49E1-8593-F892407DC7F5}" name="Column9446"/>
    <tableColumn id="9458" xr3:uid="{411188C4-F9A7-4F91-949D-8C6ABA2BFD81}" name="Column9447"/>
    <tableColumn id="9459" xr3:uid="{B119D35B-FF3C-4502-ADBA-85C9A1AE05E8}" name="Column9448"/>
    <tableColumn id="9460" xr3:uid="{6566BDE9-BF22-4AFC-A53D-A8FCA093ED03}" name="Column9449"/>
    <tableColumn id="9461" xr3:uid="{A1359B6B-9BD1-45B2-809E-F2DF0A381456}" name="Column9450"/>
    <tableColumn id="9462" xr3:uid="{38F7B436-9FE5-47F6-9D49-E67340314CB9}" name="Column9451"/>
    <tableColumn id="9463" xr3:uid="{AE93C43E-9F52-441B-A51D-EC447EF622B2}" name="Column9452"/>
    <tableColumn id="9464" xr3:uid="{64672A80-876A-4A8F-B22C-092D3F2F3C34}" name="Column9453"/>
    <tableColumn id="9465" xr3:uid="{B3DDB52F-D5B8-4EF8-809B-E431275F73D9}" name="Column9454"/>
    <tableColumn id="9466" xr3:uid="{77126DD0-EDF9-46C6-AE68-57290346FC97}" name="Column9455"/>
    <tableColumn id="9467" xr3:uid="{20ACF26A-1E32-4032-B31D-942210D853C8}" name="Column9456"/>
    <tableColumn id="9468" xr3:uid="{33AB2ED7-9820-42D7-B66C-E206553845F1}" name="Column9457"/>
    <tableColumn id="9469" xr3:uid="{FF2F4598-B584-4CD3-85B8-E5B64EA200BD}" name="Column9458"/>
    <tableColumn id="9470" xr3:uid="{F3124491-A70B-48A9-8AA7-3F2832387121}" name="Column9459"/>
    <tableColumn id="9471" xr3:uid="{7B987E6A-B247-4395-ADD7-D94A0991581E}" name="Column9460"/>
    <tableColumn id="9472" xr3:uid="{4DBFDC9C-1089-4C09-B048-37162F73B74F}" name="Column9461"/>
    <tableColumn id="9473" xr3:uid="{235B997E-62A8-4D19-A01D-4CAAB80EE78B}" name="Column9462"/>
    <tableColumn id="9474" xr3:uid="{A674A5E2-5BE0-44FB-BA55-1FC518D3AB82}" name="Column9463"/>
    <tableColumn id="9475" xr3:uid="{1C8073E5-D3B6-4F35-85BE-244588C1F9F2}" name="Column9464"/>
    <tableColumn id="9476" xr3:uid="{B719CDE0-D456-453E-A943-128574C7B7AC}" name="Column9465"/>
    <tableColumn id="9477" xr3:uid="{025F3DBE-8625-415E-8AE1-7467C8C8F4FD}" name="Column9466"/>
    <tableColumn id="9478" xr3:uid="{3121F501-40D7-4E1B-934D-AB08DC59A013}" name="Column9467"/>
    <tableColumn id="9479" xr3:uid="{F270AD0F-490A-4112-8B31-CCDB48676E6D}" name="Column9468"/>
    <tableColumn id="9480" xr3:uid="{2FF6493C-8269-473C-B270-F0DE91B10153}" name="Column9469"/>
    <tableColumn id="9481" xr3:uid="{854056BE-6F6A-42BF-980F-5A617E99EECA}" name="Column9470"/>
    <tableColumn id="9482" xr3:uid="{048252BB-C35D-421F-BEE3-41B0174CA620}" name="Column9471"/>
    <tableColumn id="9483" xr3:uid="{25ED95A7-AE1F-4859-BF2F-519AE221A5E9}" name="Column9472"/>
    <tableColumn id="9484" xr3:uid="{F67FBC82-5E00-45DE-84C9-76616F02BB68}" name="Column9473"/>
    <tableColumn id="9485" xr3:uid="{FB3E615C-1FFA-4F74-8E5E-2DF235680D0C}" name="Column9474"/>
    <tableColumn id="9486" xr3:uid="{094C418B-98F4-40F1-9BC6-BE88D20DCEF4}" name="Column9475"/>
    <tableColumn id="9487" xr3:uid="{288D4BA0-929E-46AF-A0ED-C2552CCCE595}" name="Column9476"/>
    <tableColumn id="9488" xr3:uid="{0ABBB3C2-AD0E-420C-8DEB-9A2DC1576B41}" name="Column9477"/>
    <tableColumn id="9489" xr3:uid="{6CC69233-4572-491A-91EC-F45ED3A1704A}" name="Column9478"/>
    <tableColumn id="9490" xr3:uid="{327A1D1D-A1C0-4495-B2C6-B5ADFD48C9CC}" name="Column9479"/>
    <tableColumn id="9491" xr3:uid="{8D30965D-B2D2-4DFA-A5D6-AFA4668588FB}" name="Column9480"/>
    <tableColumn id="9492" xr3:uid="{E358B2BD-5263-43D8-A5BB-C57B8566FF89}" name="Column9481"/>
    <tableColumn id="9493" xr3:uid="{1E763BAF-62D7-4A7B-A56F-80D67C0CCA07}" name="Column9482"/>
    <tableColumn id="9494" xr3:uid="{088C93A4-6510-4100-A816-1D2135C0F462}" name="Column9483"/>
    <tableColumn id="9495" xr3:uid="{9438ED35-C6E4-4B04-A122-49866542E4F3}" name="Column9484"/>
    <tableColumn id="9496" xr3:uid="{BF2CB023-6575-4482-9741-DC6A4236431C}" name="Column9485"/>
    <tableColumn id="9497" xr3:uid="{981F5191-AD76-4187-8983-BCA6AF542D11}" name="Column9486"/>
    <tableColumn id="9498" xr3:uid="{8EBCC597-A0F8-406D-80CD-5C90591E343A}" name="Column9487"/>
    <tableColumn id="9499" xr3:uid="{82A2424C-CC3A-4AB9-B096-25530F666ACB}" name="Column9488"/>
    <tableColumn id="9500" xr3:uid="{F6AB4432-D1B0-4927-BC21-928F3C2B61BF}" name="Column9489"/>
    <tableColumn id="9501" xr3:uid="{A6577B9B-1FD9-48E8-B10A-809DD52F3C8B}" name="Column9490"/>
    <tableColumn id="9502" xr3:uid="{02E641D5-E1F6-468D-A903-0215BF18FFAB}" name="Column9491"/>
    <tableColumn id="9503" xr3:uid="{11C1F651-633F-4085-96B9-F7DB8FDAAB47}" name="Column9492"/>
    <tableColumn id="9504" xr3:uid="{4A533C04-E315-45D5-AA76-7103BCCB537C}" name="Column9493"/>
    <tableColumn id="9505" xr3:uid="{6323911A-65F1-4E37-BF18-882C3C27C87D}" name="Column9494"/>
    <tableColumn id="9506" xr3:uid="{16F240DD-D8AF-42C2-8E7A-C8EFC4D5603E}" name="Column9495"/>
    <tableColumn id="9507" xr3:uid="{7DB57F1B-CD24-4412-B8A5-7081A8CEBA0E}" name="Column9496"/>
    <tableColumn id="9508" xr3:uid="{5D8F1C94-A97B-4F60-87B6-AF02CD52BA1B}" name="Column9497"/>
    <tableColumn id="9509" xr3:uid="{B4001ED5-DBC1-4034-9DF6-BB8AFDEC58F9}" name="Column9498"/>
    <tableColumn id="9510" xr3:uid="{C81DCC7F-D4D4-434C-A8CB-DF8F0EE4AA8A}" name="Column9499"/>
    <tableColumn id="9511" xr3:uid="{00AF55C3-8EF5-43E6-87E4-3115F126C93A}" name="Column9500"/>
    <tableColumn id="9512" xr3:uid="{59FA4C3C-8616-4A62-8901-5AA1FFD16F3C}" name="Column9501"/>
    <tableColumn id="9513" xr3:uid="{8DF2BC1F-28DA-46E3-881D-27AC2A1BF064}" name="Column9502"/>
    <tableColumn id="9514" xr3:uid="{3DEAA2C6-A847-402B-AA50-02BC70B83B07}" name="Column9503"/>
    <tableColumn id="9515" xr3:uid="{675DA5A8-ED5E-4AE3-806E-B85CA129F2F3}" name="Column9504"/>
    <tableColumn id="9516" xr3:uid="{B260FA67-7D03-4487-8EED-A8CE6A7E0059}" name="Column9505"/>
    <tableColumn id="9517" xr3:uid="{8389E72F-E4B3-4FB2-ABB6-807633A512C3}" name="Column9506"/>
    <tableColumn id="9518" xr3:uid="{905B744F-C5C9-43E3-9C5A-1BF0DCDFFF09}" name="Column9507"/>
    <tableColumn id="9519" xr3:uid="{47C5F28C-3DBF-4DAF-9212-9C8C68DB9984}" name="Column9508"/>
    <tableColumn id="9520" xr3:uid="{92DA64AB-E54A-4468-A641-22531074394F}" name="Column9509"/>
    <tableColumn id="9521" xr3:uid="{A8218B6C-3B54-4BA4-8F97-05E3E74D1B1E}" name="Column9510"/>
    <tableColumn id="9522" xr3:uid="{B91C76D6-9E1F-4C7E-AE33-3C481B77C38D}" name="Column9511"/>
    <tableColumn id="9523" xr3:uid="{C0B1857D-11A0-42E8-BAA8-DD4AC4BB8C6E}" name="Column9512"/>
    <tableColumn id="9524" xr3:uid="{2DC6E014-2322-4CC0-8D84-7C028C0E0A87}" name="Column9513"/>
    <tableColumn id="9525" xr3:uid="{010867B9-CBA6-4D82-A216-068E32BFF878}" name="Column9514"/>
    <tableColumn id="9526" xr3:uid="{A8CDF914-BE3D-47BE-AF95-51FD934FD33D}" name="Column9515"/>
    <tableColumn id="9527" xr3:uid="{15079EF5-9F20-4F69-8FC6-921CEEE37094}" name="Column9516"/>
    <tableColumn id="9528" xr3:uid="{8556C20E-5501-409B-9473-328F6BAD5371}" name="Column9517"/>
    <tableColumn id="9529" xr3:uid="{83C0C58E-8B9D-4850-AA03-C472C0E7BA4B}" name="Column9518"/>
    <tableColumn id="9530" xr3:uid="{286BF9C1-697A-45A8-9AED-AFAF7DBE8DD0}" name="Column9519"/>
    <tableColumn id="9531" xr3:uid="{A54A3122-0AC1-4F76-9ACA-EA7D1F9880AA}" name="Column9520"/>
    <tableColumn id="9532" xr3:uid="{2963259B-17BD-4826-917F-C27F30AA810C}" name="Column9521"/>
    <tableColumn id="9533" xr3:uid="{BBDA7778-BFCF-48E7-8C39-352B978AC98B}" name="Column9522"/>
    <tableColumn id="9534" xr3:uid="{62A95D53-0CC3-4AE5-851C-B08B3E57872F}" name="Column9523"/>
    <tableColumn id="9535" xr3:uid="{B5F86F3E-264A-45C0-A7FD-152B8CC1206E}" name="Column9524"/>
    <tableColumn id="9536" xr3:uid="{CB58653A-11CC-4C13-A939-C7184B497A34}" name="Column9525"/>
    <tableColumn id="9537" xr3:uid="{5BE523A7-FC57-49B8-8746-840AAB57C70F}" name="Column9526"/>
    <tableColumn id="9538" xr3:uid="{0086B25B-A8F2-4996-866D-73E793A81FFA}" name="Column9527"/>
    <tableColumn id="9539" xr3:uid="{D26F52A9-7D63-4641-AC77-A695AEAFD2A8}" name="Column9528"/>
    <tableColumn id="9540" xr3:uid="{B3C2A646-124B-48ED-AA1E-09776A931544}" name="Column9529"/>
    <tableColumn id="9541" xr3:uid="{27AB2927-C38A-49E6-B70F-A78773502F34}" name="Column9530"/>
    <tableColumn id="9542" xr3:uid="{A8F7D6AE-06A0-4444-82DE-6BF664B00E9C}" name="Column9531"/>
    <tableColumn id="9543" xr3:uid="{99E739B5-E5C5-48B5-A23C-EC255A29B6D6}" name="Column9532"/>
    <tableColumn id="9544" xr3:uid="{774B129B-935F-4B7B-8618-6E5767309B85}" name="Column9533"/>
    <tableColumn id="9545" xr3:uid="{BFC5DF28-0BFA-4C0D-BAFF-AFC6C2606B74}" name="Column9534"/>
    <tableColumn id="9546" xr3:uid="{6C2B9C4F-060A-4493-AEAF-CC54975DA8F4}" name="Column9535"/>
    <tableColumn id="9547" xr3:uid="{8A973EA8-F877-4ACA-81BF-40E9D6C46BD6}" name="Column9536"/>
    <tableColumn id="9548" xr3:uid="{89C83445-C455-4EC2-A591-812BC5267929}" name="Column9537"/>
    <tableColumn id="9549" xr3:uid="{0EF45903-4FAA-44AA-B6F4-C87B12320146}" name="Column9538"/>
    <tableColumn id="9550" xr3:uid="{2597404B-D3B3-4EE5-8CFF-017B2FE4AA34}" name="Column9539"/>
    <tableColumn id="9551" xr3:uid="{5B7BFE4C-F714-4B1B-8BE7-2D512A6C7C76}" name="Column9540"/>
    <tableColumn id="9552" xr3:uid="{45A2B8BA-6522-458C-946A-1089D010531D}" name="Column9541"/>
    <tableColumn id="9553" xr3:uid="{677ABD1D-F483-4E60-9C19-777358A66B17}" name="Column9542"/>
    <tableColumn id="9554" xr3:uid="{16A32131-57ED-4E88-BCDB-24B1D4145F54}" name="Column9543"/>
    <tableColumn id="9555" xr3:uid="{BF92694E-C98D-4E5D-A241-0D8573FBDF9E}" name="Column9544"/>
    <tableColumn id="9556" xr3:uid="{5A7FDF2C-8491-429F-A0E2-BA326A7CECF1}" name="Column9545"/>
    <tableColumn id="9557" xr3:uid="{2B5A9A0C-F408-48FE-AE98-7862A2B13E17}" name="Column9546"/>
    <tableColumn id="9558" xr3:uid="{A3AAF5E5-E89F-4CE0-82DE-1C0418687440}" name="Column9547"/>
    <tableColumn id="9559" xr3:uid="{CDA7A2BB-F8B2-45B6-A75A-8FE8EF4F5E75}" name="Column9548"/>
    <tableColumn id="9560" xr3:uid="{B56F0A9A-C5CE-4198-B0E3-1BBC41984072}" name="Column9549"/>
    <tableColumn id="9561" xr3:uid="{2C46C665-A044-48C7-A51D-A4DC889D319F}" name="Column9550"/>
    <tableColumn id="9562" xr3:uid="{7FA323C1-1376-4F59-A1C6-615CFBF8244A}" name="Column9551"/>
    <tableColumn id="9563" xr3:uid="{9A023B66-0092-49C6-B970-9CE4D85BBDA3}" name="Column9552"/>
    <tableColumn id="9564" xr3:uid="{83727F06-987C-432C-A27A-49610465AA01}" name="Column9553"/>
    <tableColumn id="9565" xr3:uid="{EF39CB31-5974-4DDB-9F67-AEA184FBCFBA}" name="Column9554"/>
    <tableColumn id="9566" xr3:uid="{F56ABDEE-8141-429A-B1B6-1D7371F08F9D}" name="Column9555"/>
    <tableColumn id="9567" xr3:uid="{63B00602-930C-4C4A-932D-128EB1AD42C2}" name="Column9556"/>
    <tableColumn id="9568" xr3:uid="{1C1C9C13-6ED7-46D0-874E-1C5086D0F2A1}" name="Column9557"/>
    <tableColumn id="9569" xr3:uid="{A88CDEB2-1BCD-4B67-982F-4EAE3CB51BB1}" name="Column9558"/>
    <tableColumn id="9570" xr3:uid="{4D4306DE-950B-4ED1-BBB6-7C06027271ED}" name="Column9559"/>
    <tableColumn id="9571" xr3:uid="{5E7B9600-3E72-45FB-BC1F-92B0EF213476}" name="Column9560"/>
    <tableColumn id="9572" xr3:uid="{616481AF-D1E8-4394-B9D2-0BA0EE3E25C5}" name="Column9561"/>
    <tableColumn id="9573" xr3:uid="{1914BB6E-1B5E-4B63-A593-2819A21B7895}" name="Column9562"/>
    <tableColumn id="9574" xr3:uid="{92F3E7B6-C2AC-4C3F-BC6B-22AE1FD16BC4}" name="Column9563"/>
    <tableColumn id="9575" xr3:uid="{DD5DF832-0358-4828-9F18-D23713483FC7}" name="Column9564"/>
    <tableColumn id="9576" xr3:uid="{3117AB61-A929-44D0-B4D0-134DF7B60DD5}" name="Column9565"/>
    <tableColumn id="9577" xr3:uid="{460661E9-8456-40B5-95D4-FE98E142974C}" name="Column9566"/>
    <tableColumn id="9578" xr3:uid="{76A6BD07-E1D3-4097-BD32-E920A5A7777B}" name="Column9567"/>
    <tableColumn id="9579" xr3:uid="{99D97563-EEC1-4B92-81BE-865B86C718B1}" name="Column9568"/>
    <tableColumn id="9580" xr3:uid="{C845ED51-C627-4159-86FF-E52D84F51CCC}" name="Column9569"/>
    <tableColumn id="9581" xr3:uid="{37BE30A9-CC75-4FF8-B6E5-50A83A1D07F5}" name="Column9570"/>
    <tableColumn id="9582" xr3:uid="{9EF8DF0F-CA20-4C6F-BFF7-3E0EC6AF94F1}" name="Column9571"/>
    <tableColumn id="9583" xr3:uid="{AF901781-86C5-49F6-92FB-BDCEF3FE40D1}" name="Column9572"/>
    <tableColumn id="9584" xr3:uid="{6058F122-F491-426D-9D69-3D4F369B2CB4}" name="Column9573"/>
    <tableColumn id="9585" xr3:uid="{5AA55354-8152-4FA0-A9A3-DBEA3A258258}" name="Column9574"/>
    <tableColumn id="9586" xr3:uid="{93463D11-01A3-4EE0-B187-3B9E60472369}" name="Column9575"/>
    <tableColumn id="9587" xr3:uid="{445ED6D9-6B7B-457F-BCDE-401C5B68DC8F}" name="Column9576"/>
    <tableColumn id="9588" xr3:uid="{62707DF7-AD4E-4174-B2F8-6D5FE88018E5}" name="Column9577"/>
    <tableColumn id="9589" xr3:uid="{435B2FD5-F61A-4B19-8782-011AEF6BC13C}" name="Column9578"/>
    <tableColumn id="9590" xr3:uid="{D98EF9B8-9A83-40C8-A4E3-104A7AD5715D}" name="Column9579"/>
    <tableColumn id="9591" xr3:uid="{35650037-99AC-4F70-9271-A3D90629468C}" name="Column9580"/>
    <tableColumn id="9592" xr3:uid="{83CC06FA-7A0C-4130-B57A-0856FB6EF098}" name="Column9581"/>
    <tableColumn id="9593" xr3:uid="{7C53343E-67A8-4600-91F2-EF8A9FEFFD57}" name="Column9582"/>
    <tableColumn id="9594" xr3:uid="{C418D111-1482-4529-BF3D-CA83D8D7E2F8}" name="Column9583"/>
    <tableColumn id="9595" xr3:uid="{AC526550-D7F9-40DB-B715-5F96F21B6BD0}" name="Column9584"/>
    <tableColumn id="9596" xr3:uid="{7A3F01D5-A0E6-4B51-8249-EDB20CAB3944}" name="Column9585"/>
    <tableColumn id="9597" xr3:uid="{6FC6BE84-9BEB-4D0F-BE7C-B7CE6272589B}" name="Column9586"/>
    <tableColumn id="9598" xr3:uid="{57F255B9-5D3C-4C14-A7D5-CBE4B87962BF}" name="Column9587"/>
    <tableColumn id="9599" xr3:uid="{7DCC7F28-128E-4C52-B344-583322B2AD21}" name="Column9588"/>
    <tableColumn id="9600" xr3:uid="{568665C6-8F9E-4022-B886-3051221FA18F}" name="Column9589"/>
    <tableColumn id="9601" xr3:uid="{3BD492A8-56CC-4315-A6F1-5A5E60FE2C1C}" name="Column9590"/>
    <tableColumn id="9602" xr3:uid="{4EA1C08C-674B-49B2-A2BA-3D485776B236}" name="Column9591"/>
    <tableColumn id="9603" xr3:uid="{07E8B50E-5A46-476A-8F19-96F72A72F50C}" name="Column9592"/>
    <tableColumn id="9604" xr3:uid="{C0C383F5-623F-4CC4-AC6A-76EECD1599EF}" name="Column9593"/>
    <tableColumn id="9605" xr3:uid="{F64F707F-228B-4B9C-A20A-FF7D6574F632}" name="Column9594"/>
    <tableColumn id="9606" xr3:uid="{5ED51631-EA65-4527-B52D-08BCEAA36095}" name="Column9595"/>
    <tableColumn id="9607" xr3:uid="{4409E7CF-D104-4FF3-8FDE-D309BC984F95}" name="Column9596"/>
    <tableColumn id="9608" xr3:uid="{887C9755-B9FD-4126-8DC7-96D120AD0E7E}" name="Column9597"/>
    <tableColumn id="9609" xr3:uid="{5CDBA608-684D-4356-B71C-87FB6B7EED85}" name="Column9598"/>
    <tableColumn id="9610" xr3:uid="{ACAFC164-66CB-4A2C-9DDD-F10F62F8317B}" name="Column9599"/>
    <tableColumn id="9611" xr3:uid="{AD454736-E33C-4DE7-A3D6-FBC625DB66B2}" name="Column9600"/>
    <tableColumn id="9612" xr3:uid="{CC7AB81F-B6FE-4200-AAAA-B3E809B177AA}" name="Column9601"/>
    <tableColumn id="9613" xr3:uid="{5EAEDA74-CACF-4BA0-ACA2-5F251F4DD56D}" name="Column9602"/>
    <tableColumn id="9614" xr3:uid="{D41732DC-0BFA-4283-BE31-924A9D971598}" name="Column9603"/>
    <tableColumn id="9615" xr3:uid="{4972BAED-A4C1-4D37-8062-B2C049744E96}" name="Column9604"/>
    <tableColumn id="9616" xr3:uid="{E673BD83-9975-4473-BD6E-A40626FBE469}" name="Column9605"/>
    <tableColumn id="9617" xr3:uid="{BF90C427-DD15-4C26-B4BF-C4CCD2EC5590}" name="Column9606"/>
    <tableColumn id="9618" xr3:uid="{E96708EE-DC1A-4A1F-98E8-341E76D638D3}" name="Column9607"/>
    <tableColumn id="9619" xr3:uid="{250C5B35-741E-4424-8CBF-A6AE860AF383}" name="Column9608"/>
    <tableColumn id="9620" xr3:uid="{62A7C1F1-1CD5-4C9C-BC8C-12B1F677BC7A}" name="Column9609"/>
    <tableColumn id="9621" xr3:uid="{F40DCB77-13CB-4E7F-ABC8-86D668E446BC}" name="Column9610"/>
    <tableColumn id="9622" xr3:uid="{D53E8F0D-6033-42DC-84C8-5E5EAF4DBE22}" name="Column9611"/>
    <tableColumn id="9623" xr3:uid="{23F4E1B9-D216-4099-BEFC-54E67FC2D4BA}" name="Column9612"/>
    <tableColumn id="9624" xr3:uid="{12F85B1A-1A54-482E-BD0C-DF193FAE5EE7}" name="Column9613"/>
    <tableColumn id="9625" xr3:uid="{8F9850C3-B3EA-4107-9F12-59D9657A562D}" name="Column9614"/>
    <tableColumn id="9626" xr3:uid="{5B589ED1-0EFB-437B-B585-D4ED76ABC725}" name="Column9615"/>
    <tableColumn id="9627" xr3:uid="{8D076FE3-93E1-450A-8597-6A608106D9F9}" name="Column9616"/>
    <tableColumn id="9628" xr3:uid="{2B4E8467-7769-45E5-965F-E2CC8C55FB80}" name="Column9617"/>
    <tableColumn id="9629" xr3:uid="{C5F09FEC-05C4-4162-B480-D11E80C9B871}" name="Column9618"/>
    <tableColumn id="9630" xr3:uid="{10DEC498-9F84-4335-A7FD-FDF11DF02A03}" name="Column9619"/>
    <tableColumn id="9631" xr3:uid="{7A29F166-BD26-4760-A37E-54147021A6AB}" name="Column9620"/>
    <tableColumn id="9632" xr3:uid="{42CC4D4A-F977-42C1-A56D-9E55C1F16FD3}" name="Column9621"/>
    <tableColumn id="9633" xr3:uid="{26D8F501-387A-44F6-BFCB-ADCBBCE46708}" name="Column9622"/>
    <tableColumn id="9634" xr3:uid="{B1EE4EB8-BBC9-44F6-BAF2-6C54B27883C8}" name="Column9623"/>
    <tableColumn id="9635" xr3:uid="{59310B48-E2F3-474D-821D-018A0F670B10}" name="Column9624"/>
    <tableColumn id="9636" xr3:uid="{E3471DF0-88CF-49CD-B491-A7CD47FDF595}" name="Column9625"/>
    <tableColumn id="9637" xr3:uid="{E26FF6D4-B627-443E-B7FC-C74266577F7E}" name="Column9626"/>
    <tableColumn id="9638" xr3:uid="{285C58AD-BAC2-41ED-AA30-1B649FBA25D9}" name="Column9627"/>
    <tableColumn id="9639" xr3:uid="{E91493F5-C522-4D16-B5D8-6E8909AE0FA9}" name="Column9628"/>
    <tableColumn id="9640" xr3:uid="{437F5746-A285-4FE0-AA68-86B1CCA295FC}" name="Column9629"/>
    <tableColumn id="9641" xr3:uid="{2DB7CDB1-0243-4B82-8621-2BA2310B0A97}" name="Column9630"/>
    <tableColumn id="9642" xr3:uid="{D2860C26-0E67-41DC-BF66-6B16CDF4AC06}" name="Column9631"/>
    <tableColumn id="9643" xr3:uid="{E952BAC6-6FBF-44F2-BFBC-D9D514C2A0ED}" name="Column9632"/>
    <tableColumn id="9644" xr3:uid="{D8C7D493-18CF-4DD2-B525-DD007949011E}" name="Column9633"/>
    <tableColumn id="9645" xr3:uid="{3822017F-C2D5-4D83-A022-5629B6511998}" name="Column9634"/>
    <tableColumn id="9646" xr3:uid="{C9C49621-E8A2-40FE-A8CC-16082D766BF0}" name="Column9635"/>
    <tableColumn id="9647" xr3:uid="{D27A8BEF-6FAC-42EC-9A79-1B2B8D0EA2E2}" name="Column9636"/>
    <tableColumn id="9648" xr3:uid="{FFAD5AFE-2F1F-4353-BD8A-ECCE1683F1CC}" name="Column9637"/>
    <tableColumn id="9649" xr3:uid="{C09CD5D4-A505-49C9-9FB4-926F9A8BF00B}" name="Column9638"/>
    <tableColumn id="9650" xr3:uid="{9237806D-0A88-4217-90DB-8EAA77D38142}" name="Column9639"/>
    <tableColumn id="9651" xr3:uid="{7734731E-E623-4F7B-AC45-63841A7BF799}" name="Column9640"/>
    <tableColumn id="9652" xr3:uid="{CE8BFC8E-2582-413E-A653-AD9E28E26382}" name="Column9641"/>
    <tableColumn id="9653" xr3:uid="{D7BB0D5A-9796-4D8B-BB4E-CF7411B6C487}" name="Column9642"/>
    <tableColumn id="9654" xr3:uid="{03D47028-CA52-4F49-8FAD-886584B1DE16}" name="Column9643"/>
    <tableColumn id="9655" xr3:uid="{309E0F37-6C3C-445D-A6B8-6DB713A66271}" name="Column9644"/>
    <tableColumn id="9656" xr3:uid="{F6A2396F-6E27-47C7-A17F-87F7687FFBF3}" name="Column9645"/>
    <tableColumn id="9657" xr3:uid="{23763E75-085D-4415-AEA7-BC4E03F8B5D8}" name="Column9646"/>
    <tableColumn id="9658" xr3:uid="{EAA6CD21-2CAA-4C6C-BB51-12623BD6A22A}" name="Column9647"/>
    <tableColumn id="9659" xr3:uid="{5E424F03-B092-4658-B161-548F65B2FE74}" name="Column9648"/>
    <tableColumn id="9660" xr3:uid="{D17CC28D-ABC3-4376-AD9B-34482FD83B82}" name="Column9649"/>
    <tableColumn id="9661" xr3:uid="{CF2463D7-727C-4FA7-867A-362F5123332A}" name="Column9650"/>
    <tableColumn id="9662" xr3:uid="{DCDCCCAD-A233-402A-8D96-DA64A2DBA34D}" name="Column9651"/>
    <tableColumn id="9663" xr3:uid="{79C50F51-AAA5-482A-A7C2-ED1A62A0F0D8}" name="Column9652"/>
    <tableColumn id="9664" xr3:uid="{BD37B07E-7DB3-49AA-AE0A-C2E7ACF645C4}" name="Column9653"/>
    <tableColumn id="9665" xr3:uid="{EEF6F0D5-3252-44A3-B3DA-B9DB18C30B6A}" name="Column9654"/>
    <tableColumn id="9666" xr3:uid="{1808BEA1-95B0-4119-A374-D1C48FDA9C74}" name="Column9655"/>
    <tableColumn id="9667" xr3:uid="{4BE2A06B-7293-4F12-BA89-BEE4F5F1C1BA}" name="Column9656"/>
    <tableColumn id="9668" xr3:uid="{D60719B4-65D5-4538-BAE7-C81B8CE39AE1}" name="Column9657"/>
    <tableColumn id="9669" xr3:uid="{4A5B8D53-8AD2-4D6B-9035-CB60E785A598}" name="Column9658"/>
    <tableColumn id="9670" xr3:uid="{B0F9D7EE-D029-415B-A3C9-26E4A02DB4BE}" name="Column9659"/>
    <tableColumn id="9671" xr3:uid="{1A7FD326-7837-449D-9249-4100C697FB85}" name="Column9660"/>
    <tableColumn id="9672" xr3:uid="{DA5788A8-1B0D-458D-9447-DF27CBB0B15C}" name="Column9661"/>
    <tableColumn id="9673" xr3:uid="{64AA818A-0A9E-42A0-A365-6E4B806A4409}" name="Column9662"/>
    <tableColumn id="9674" xr3:uid="{A6DA2ABE-11FB-486B-8BD1-6BDEDB7CF97E}" name="Column9663"/>
    <tableColumn id="9675" xr3:uid="{3CF27E5F-56D5-4068-B887-971D37680F1F}" name="Column9664"/>
    <tableColumn id="9676" xr3:uid="{55C957BD-1B09-4A3D-BC76-330FADE990A7}" name="Column9665"/>
    <tableColumn id="9677" xr3:uid="{A73177C8-3968-49CD-B591-A91DE79C8C2A}" name="Column9666"/>
    <tableColumn id="9678" xr3:uid="{6A0DAF1C-071E-4EC6-9748-FD10B4080914}" name="Column9667"/>
    <tableColumn id="9679" xr3:uid="{8538ABA6-86A5-441E-9184-9333968627A2}" name="Column9668"/>
    <tableColumn id="9680" xr3:uid="{58EFF6E2-F93E-4439-A52D-7D70962BD596}" name="Column9669"/>
    <tableColumn id="9681" xr3:uid="{D347AE54-AD06-45C9-91C3-174D888D7D65}" name="Column9670"/>
    <tableColumn id="9682" xr3:uid="{58CD6E5A-F949-4665-B073-03E232271E8B}" name="Column9671"/>
    <tableColumn id="9683" xr3:uid="{3B44A472-08C6-42D0-86DA-FFF0790FCE57}" name="Column9672"/>
    <tableColumn id="9684" xr3:uid="{3F5D1C0A-67FF-4DD8-B0F0-3E4242D21BE3}" name="Column9673"/>
    <tableColumn id="9685" xr3:uid="{87671B54-AC82-4926-910D-AF3115FD28B7}" name="Column9674"/>
    <tableColumn id="9686" xr3:uid="{9F2B44FD-3A52-441D-8FE0-5205030890D5}" name="Column9675"/>
    <tableColumn id="9687" xr3:uid="{67DE9F93-BF18-4672-886E-0EBDD8941F1C}" name="Column9676"/>
    <tableColumn id="9688" xr3:uid="{25B402AA-ECA5-4340-AF20-624D87F3BA45}" name="Column9677"/>
    <tableColumn id="9689" xr3:uid="{CBC5AA26-65B1-4AD9-B657-3205CB2653E9}" name="Column9678"/>
    <tableColumn id="9690" xr3:uid="{F9B369F4-ED84-4217-8F50-49EFBB09EBE8}" name="Column9679"/>
    <tableColumn id="9691" xr3:uid="{C0A5CCCB-6E5C-4D6E-8653-AFC765353061}" name="Column9680"/>
    <tableColumn id="9692" xr3:uid="{A29A344E-9DCD-4F31-98BD-2C6372C371A9}" name="Column9681"/>
    <tableColumn id="9693" xr3:uid="{36A7C55E-E3D4-40FB-BAC5-8ADE0A7AA0B5}" name="Column9682"/>
    <tableColumn id="9694" xr3:uid="{B3589D13-8FB8-47B5-B2D9-944FBE83455F}" name="Column9683"/>
    <tableColumn id="9695" xr3:uid="{6BA3ACFD-ED03-447C-8A33-744A40BE232D}" name="Column9684"/>
    <tableColumn id="9696" xr3:uid="{344930D1-B6FB-48AB-B38F-D3064EFE2BC5}" name="Column9685"/>
    <tableColumn id="9697" xr3:uid="{00175498-C670-472F-AC0A-6F4C2B317D1A}" name="Column9686"/>
    <tableColumn id="9698" xr3:uid="{E3EF8192-F71E-4864-8773-B3C121A617C0}" name="Column9687"/>
    <tableColumn id="9699" xr3:uid="{ACF94186-EA0B-4363-AC00-333C1262010D}" name="Column9688"/>
    <tableColumn id="9700" xr3:uid="{9B97663B-0156-42AF-91EF-52728962A03B}" name="Column9689"/>
    <tableColumn id="9701" xr3:uid="{035386A5-45D0-4848-BD3F-4AC519B938DA}" name="Column9690"/>
    <tableColumn id="9702" xr3:uid="{1184B3E4-F35C-48D7-98F5-4ACF1AD6227C}" name="Column9691"/>
    <tableColumn id="9703" xr3:uid="{C3960D99-5334-4FB7-B0D0-DE8BA8AB6D68}" name="Column9692"/>
    <tableColumn id="9704" xr3:uid="{897B5678-9CD1-4B40-9185-D16C2661EC34}" name="Column9693"/>
    <tableColumn id="9705" xr3:uid="{5372B3FE-25A4-498A-8B9E-F633E14BA3EF}" name="Column9694"/>
    <tableColumn id="9706" xr3:uid="{92F841FE-004F-4CA3-884B-A14D9A6093CB}" name="Column9695"/>
    <tableColumn id="9707" xr3:uid="{CB53CA67-0F1A-4D5E-8030-3F9B62482493}" name="Column9696"/>
    <tableColumn id="9708" xr3:uid="{AA51E025-D2E7-48B8-B1E8-86897767A4A3}" name="Column9697"/>
    <tableColumn id="9709" xr3:uid="{E520FF1A-506A-49BC-9A2A-6429EB183E4F}" name="Column9698"/>
    <tableColumn id="9710" xr3:uid="{9F271AEF-4495-4C78-8122-B8B51873D48F}" name="Column9699"/>
    <tableColumn id="9711" xr3:uid="{987C31D4-9728-46C0-97ED-4C77B4771008}" name="Column9700"/>
    <tableColumn id="9712" xr3:uid="{81B6AF8A-82A2-43DC-BEA0-6A72254AEF6A}" name="Column9701"/>
    <tableColumn id="9713" xr3:uid="{CE5EB27F-35F3-40CB-BA26-57BE340EC252}" name="Column9702"/>
    <tableColumn id="9714" xr3:uid="{DA6A4A9E-C940-4698-A874-A73126FA3D8D}" name="Column9703"/>
    <tableColumn id="9715" xr3:uid="{80716AA8-A3A0-4457-826F-E9A47A5C9B11}" name="Column9704"/>
    <tableColumn id="9716" xr3:uid="{8AE2EC75-09E2-4CCD-BCDE-4FAD0AFC1565}" name="Column9705"/>
    <tableColumn id="9717" xr3:uid="{A8249282-993E-4E90-92C6-4D6C1D9C0CA0}" name="Column9706"/>
    <tableColumn id="9718" xr3:uid="{CEBBA88F-9A3D-46C2-BE53-31A25E8DB56F}" name="Column9707"/>
    <tableColumn id="9719" xr3:uid="{F7B7BBE2-288D-468D-B0B8-4A68180F854A}" name="Column9708"/>
    <tableColumn id="9720" xr3:uid="{4A913087-6027-4E48-9956-C309B4177866}" name="Column9709"/>
    <tableColumn id="9721" xr3:uid="{48C8C4C8-433A-47A8-8978-DF391B11934B}" name="Column9710"/>
    <tableColumn id="9722" xr3:uid="{FD21BE48-03C4-404F-87B0-0E0788B6B545}" name="Column9711"/>
    <tableColumn id="9723" xr3:uid="{639A6CB7-FB3C-4099-AF81-02CF33E113B7}" name="Column9712"/>
    <tableColumn id="9724" xr3:uid="{89795680-66A7-41FC-BA66-2A38CA337F4C}" name="Column9713"/>
    <tableColumn id="9725" xr3:uid="{AC470BC0-8DB8-4779-8BD4-42347796BB6E}" name="Column9714"/>
    <tableColumn id="9726" xr3:uid="{C91F85EA-9DBE-4A28-8AB5-1D7F2D36A760}" name="Column9715"/>
    <tableColumn id="9727" xr3:uid="{85F1E5A4-56E0-4391-84FF-E797D7A6BEE2}" name="Column9716"/>
    <tableColumn id="9728" xr3:uid="{90257FE3-9AF4-4177-A00D-F59DAB1336B4}" name="Column9717"/>
    <tableColumn id="9729" xr3:uid="{7A074AF1-F7FC-4D36-93AC-BADBD4394BA0}" name="Column9718"/>
    <tableColumn id="9730" xr3:uid="{62BCD3A4-A989-4D01-834F-88E1E93D923F}" name="Column9719"/>
    <tableColumn id="9731" xr3:uid="{41B1EE2C-94BB-4F7B-B328-AEB721112984}" name="Column9720"/>
    <tableColumn id="9732" xr3:uid="{BC9F8ABF-25B9-4BEF-B93E-812FF17B2789}" name="Column9721"/>
    <tableColumn id="9733" xr3:uid="{3B63EEF1-90D5-4E51-A3EE-31D9C98FA653}" name="Column9722"/>
    <tableColumn id="9734" xr3:uid="{8CC4C2B3-4423-41D2-AE20-F6B91AD6F52F}" name="Column9723"/>
    <tableColumn id="9735" xr3:uid="{86E3BCA6-1368-473B-98FC-D04787457C7C}" name="Column9724"/>
    <tableColumn id="9736" xr3:uid="{69254AD9-3817-4431-8D27-652EC3C0D9A0}" name="Column9725"/>
    <tableColumn id="9737" xr3:uid="{B7F04229-57C4-4ED4-995F-11536B03984A}" name="Column9726"/>
    <tableColumn id="9738" xr3:uid="{C5AE0CBC-EEBE-41F6-931B-B3A8F34340ED}" name="Column9727"/>
    <tableColumn id="9739" xr3:uid="{76FCC5C6-FBA5-4F53-884D-252D68E9280A}" name="Column9728"/>
    <tableColumn id="9740" xr3:uid="{EFB68CA1-1D19-4C75-A11C-E4D2D8A29DF2}" name="Column9729"/>
    <tableColumn id="9741" xr3:uid="{6DB1C988-8CC4-4155-8C44-E93CB6AF0273}" name="Column9730"/>
    <tableColumn id="9742" xr3:uid="{2B1FEE10-370D-437A-B854-D7450E7EE827}" name="Column9731"/>
    <tableColumn id="9743" xr3:uid="{10381C02-898C-47F3-9D5B-A1B3E876E33D}" name="Column9732"/>
    <tableColumn id="9744" xr3:uid="{D08C85DE-2B83-430A-978C-AC2E76D623CD}" name="Column9733"/>
    <tableColumn id="9745" xr3:uid="{592426D0-DBDC-4E1E-B211-D5449D39CCC0}" name="Column9734"/>
    <tableColumn id="9746" xr3:uid="{F98D926E-50DA-4684-82C4-2FA7A9EEC15F}" name="Column9735"/>
    <tableColumn id="9747" xr3:uid="{5D9CD341-C4C6-43B6-8729-CC17732EA70E}" name="Column9736"/>
    <tableColumn id="9748" xr3:uid="{8CF4350D-224D-4DA2-9BB2-FD24209407B9}" name="Column9737"/>
    <tableColumn id="9749" xr3:uid="{859F937E-870F-42A2-BE22-A111C89E78F5}" name="Column9738"/>
    <tableColumn id="9750" xr3:uid="{39F2DB5F-6C82-429B-9225-6F1042A6945A}" name="Column9739"/>
    <tableColumn id="9751" xr3:uid="{4DD23249-39C0-4ADA-B7AC-F7F2F272E5FF}" name="Column9740"/>
    <tableColumn id="9752" xr3:uid="{FB5C253F-FDF7-494F-B92C-15725A86160C}" name="Column9741"/>
    <tableColumn id="9753" xr3:uid="{21F9C7EE-C95F-489E-9771-14EE394E413B}" name="Column9742"/>
    <tableColumn id="9754" xr3:uid="{79D80E74-C110-499F-9294-C4A13D744D5F}" name="Column9743"/>
    <tableColumn id="9755" xr3:uid="{B5DE098A-2548-4477-BBB0-D41FD6E40C7A}" name="Column9744"/>
    <tableColumn id="9756" xr3:uid="{936837D4-BA40-4FDC-9D6C-DD589392D3A3}" name="Column9745"/>
    <tableColumn id="9757" xr3:uid="{54E28E69-EAFD-4C43-BF51-E0A18A5E2DBA}" name="Column9746"/>
    <tableColumn id="9758" xr3:uid="{0F576D70-60AB-400B-AF39-6AEA26EF6E2B}" name="Column9747"/>
    <tableColumn id="9759" xr3:uid="{5311B8D8-898E-4D61-9AAE-45E7EF862516}" name="Column9748"/>
    <tableColumn id="9760" xr3:uid="{27BE27D0-FC3B-4E0F-B3E9-4FF62EE76560}" name="Column9749"/>
    <tableColumn id="9761" xr3:uid="{F01F28E1-8B7F-44FC-ABC3-AAAB2912E9E6}" name="Column9750"/>
    <tableColumn id="9762" xr3:uid="{F291E720-10F1-442F-9318-A48D3E1A4354}" name="Column9751"/>
    <tableColumn id="9763" xr3:uid="{61E826B2-832F-4A1C-89C7-13FF73F13B7D}" name="Column9752"/>
    <tableColumn id="9764" xr3:uid="{3E002B10-6E28-4F96-86FF-05D8338B950A}" name="Column9753"/>
    <tableColumn id="9765" xr3:uid="{394DDC7F-21B3-4DD7-968B-F2F0E0B06D99}" name="Column9754"/>
    <tableColumn id="9766" xr3:uid="{A3564275-5B6D-4053-A085-BC984C83F72A}" name="Column9755"/>
    <tableColumn id="9767" xr3:uid="{5A3D7865-E86E-4938-8DF1-6C22A053B8D1}" name="Column9756"/>
    <tableColumn id="9768" xr3:uid="{08B0EB52-5A8B-4770-AA0D-479539F8C116}" name="Column9757"/>
    <tableColumn id="9769" xr3:uid="{92D91CAA-AE82-4857-AB84-895543E31A6D}" name="Column9758"/>
    <tableColumn id="9770" xr3:uid="{5A840539-638D-4D1B-B41F-96827DC1FD45}" name="Column9759"/>
    <tableColumn id="9771" xr3:uid="{3EC7FAE1-9569-458A-A6EF-6D5B9C3FB244}" name="Column9760"/>
    <tableColumn id="9772" xr3:uid="{67A05213-83DC-4B52-99BE-9FB34599E898}" name="Column9761"/>
    <tableColumn id="9773" xr3:uid="{79356371-BA45-4EAA-95BE-9FBEB0FF735C}" name="Column9762"/>
    <tableColumn id="9774" xr3:uid="{3D41C706-B536-4D0E-9597-36AEE44ED138}" name="Column9763"/>
    <tableColumn id="9775" xr3:uid="{F039DE55-BABC-47F9-B5A5-AD84AE3C0395}" name="Column9764"/>
    <tableColumn id="9776" xr3:uid="{EE157305-CE92-4381-8785-681558CD770B}" name="Column9765"/>
    <tableColumn id="9777" xr3:uid="{5EA15E5B-8A6A-4D40-97CB-1A55CECC67AC}" name="Column9766"/>
    <tableColumn id="9778" xr3:uid="{86A0E5DF-4D33-40CF-A8E4-F0FDE3C062D9}" name="Column9767"/>
    <tableColumn id="9779" xr3:uid="{0ED2860F-DBEA-4F85-9965-280852271C91}" name="Column9768"/>
    <tableColumn id="9780" xr3:uid="{3F9C18CD-984F-448B-A3C9-CFC46C59652F}" name="Column9769"/>
    <tableColumn id="9781" xr3:uid="{61DF3334-18C9-41BD-8137-88C96A3547F0}" name="Column9770"/>
    <tableColumn id="9782" xr3:uid="{6F7C1708-B7B4-4A70-A216-C53CE0B6835E}" name="Column9771"/>
    <tableColumn id="9783" xr3:uid="{A9F0DCD9-F1E3-4ACA-9E9A-749D0D44C0E7}" name="Column9772"/>
    <tableColumn id="9784" xr3:uid="{33C00135-CCA6-402E-A0E3-C6A1D5710B03}" name="Column9773"/>
    <tableColumn id="9785" xr3:uid="{040A2798-B8C5-42FF-B5B0-2CCB997BDF06}" name="Column9774"/>
    <tableColumn id="9786" xr3:uid="{4B57BF88-0707-4834-92BB-C743E869DE40}" name="Column9775"/>
    <tableColumn id="9787" xr3:uid="{D446BBDC-6146-4BD1-8745-FFB7C4FB535E}" name="Column9776"/>
    <tableColumn id="9788" xr3:uid="{86B59050-D016-4CE9-B478-73B3F9E5960F}" name="Column9777"/>
    <tableColumn id="9789" xr3:uid="{FC2964BC-481B-4ACC-90BE-F69480D93748}" name="Column9778"/>
    <tableColumn id="9790" xr3:uid="{4C7493AC-6275-4880-AE7F-CEDBE2B6C8B6}" name="Column9779"/>
    <tableColumn id="9791" xr3:uid="{8E3534CF-88BA-4F06-ABD2-460F0D108E90}" name="Column9780"/>
    <tableColumn id="9792" xr3:uid="{CE81C2BB-E0A8-49E9-852C-FE5C33579FE2}" name="Column9781"/>
    <tableColumn id="9793" xr3:uid="{3309267B-60C0-46A4-AEE7-7DD7929ADB4D}" name="Column9782"/>
    <tableColumn id="9794" xr3:uid="{A1C373CF-40EA-4AC7-84CC-533AAF9A576C}" name="Column9783"/>
    <tableColumn id="9795" xr3:uid="{45E0DD88-AADA-4E27-AA7B-ABB6EE64DEDB}" name="Column9784"/>
    <tableColumn id="9796" xr3:uid="{BB0CC827-2CF8-45FF-B184-151D3E0A5E39}" name="Column9785"/>
    <tableColumn id="9797" xr3:uid="{C3B5D2AC-9F37-4B48-AFB6-E49D171BA775}" name="Column9786"/>
    <tableColumn id="9798" xr3:uid="{6691C70B-A382-4C96-8D77-68A2D7D49498}" name="Column9787"/>
    <tableColumn id="9799" xr3:uid="{CF035FE2-E183-46BC-B840-63F17FB3669C}" name="Column9788"/>
    <tableColumn id="9800" xr3:uid="{59D75BEF-F06B-4DDD-B148-48F8AF214CC9}" name="Column9789"/>
    <tableColumn id="9801" xr3:uid="{991E91A2-FD6C-4EA6-8B3A-E0139152FD08}" name="Column9790"/>
    <tableColumn id="9802" xr3:uid="{31DB4662-4BD9-4BDA-BC9F-37810C01D751}" name="Column9791"/>
    <tableColumn id="9803" xr3:uid="{F05389B1-AC62-4FF6-9E6D-98E729279523}" name="Column9792"/>
    <tableColumn id="9804" xr3:uid="{87B1202D-C284-4ED1-932A-D9594DBC1F8F}" name="Column9793"/>
    <tableColumn id="9805" xr3:uid="{A32A8561-8A01-4FDC-8465-752F3A2303F3}" name="Column9794"/>
    <tableColumn id="9806" xr3:uid="{53E1F91B-080B-4FE0-ADE2-AECFE3CB4222}" name="Column9795"/>
    <tableColumn id="9807" xr3:uid="{AD90ACE1-B51E-43E8-B77A-E5B960945A82}" name="Column9796"/>
    <tableColumn id="9808" xr3:uid="{C9FE3104-8DA8-402D-AEA4-8894ECA05FD8}" name="Column9797"/>
    <tableColumn id="9809" xr3:uid="{D42E1034-265A-4B21-842D-04978C02A7D0}" name="Column9798"/>
    <tableColumn id="9810" xr3:uid="{60B655F4-0394-42F5-B5F9-913FB1831752}" name="Column9799"/>
    <tableColumn id="9811" xr3:uid="{429E35DC-DA8C-45F4-9C36-EA5CFE8F31C8}" name="Column9800"/>
    <tableColumn id="9812" xr3:uid="{F9C04065-EDFD-45CA-8D02-16B9A679E3A7}" name="Column9801"/>
    <tableColumn id="9813" xr3:uid="{E6735938-9B7B-4E4A-B7D7-497AB6A3F0B7}" name="Column9802"/>
    <tableColumn id="9814" xr3:uid="{716AB10A-BCA3-4381-951D-3D335455BA1B}" name="Column9803"/>
    <tableColumn id="9815" xr3:uid="{C2D797DE-9C50-41CC-A592-0B80FB9F083F}" name="Column9804"/>
    <tableColumn id="9816" xr3:uid="{B9205DBF-28DC-4C02-BEB5-6585F1D0EBC1}" name="Column9805"/>
    <tableColumn id="9817" xr3:uid="{14CC5EF2-621A-47AF-B141-F603603D97D7}" name="Column9806"/>
    <tableColumn id="9818" xr3:uid="{06231E0F-9231-4711-91D7-7B9004BA2AD0}" name="Column9807"/>
    <tableColumn id="9819" xr3:uid="{D8B3B8FE-1D3F-4C14-B20D-6E7321AD67D9}" name="Column9808"/>
    <tableColumn id="9820" xr3:uid="{B928F6AD-EF0F-4D1B-984F-9BDC1777CAD1}" name="Column9809"/>
    <tableColumn id="9821" xr3:uid="{C5197C74-FC6D-4697-A38D-60EB9370886E}" name="Column9810"/>
    <tableColumn id="9822" xr3:uid="{632981F1-384F-4B1E-9088-54ACDF9AB2D9}" name="Column9811"/>
    <tableColumn id="9823" xr3:uid="{1F3D2120-BE1B-49B5-85CC-72C2375444C6}" name="Column9812"/>
    <tableColumn id="9824" xr3:uid="{63791621-60D9-416A-B73E-E2B020CE3B32}" name="Column9813"/>
    <tableColumn id="9825" xr3:uid="{83304D33-530D-4E88-BBE3-9225FDE2BB54}" name="Column9814"/>
    <tableColumn id="9826" xr3:uid="{EC3354BB-1985-47F6-ADE9-1B2636267E37}" name="Column9815"/>
    <tableColumn id="9827" xr3:uid="{4863FC2E-A64F-4E86-80E8-3FF88D4E6F0D}" name="Column9816"/>
    <tableColumn id="9828" xr3:uid="{7D984B2F-1938-4680-9266-E9D9D48ED999}" name="Column9817"/>
    <tableColumn id="9829" xr3:uid="{BF7A3E14-B44E-45A2-8B67-350A17053E1E}" name="Column9818"/>
    <tableColumn id="9830" xr3:uid="{654A3EED-5D22-40C4-B607-F25DA503DBFC}" name="Column9819"/>
    <tableColumn id="9831" xr3:uid="{2C6FAFC2-3817-4BC1-B682-79E7127615A2}" name="Column9820"/>
    <tableColumn id="9832" xr3:uid="{C65840A1-182B-486C-8A7D-EF7D80B1C9F2}" name="Column9821"/>
    <tableColumn id="9833" xr3:uid="{39E6F37B-AC6B-4D48-8844-1122F3D749D9}" name="Column9822"/>
    <tableColumn id="9834" xr3:uid="{999CCC44-49D9-4F31-BF84-13E55588B6EB}" name="Column9823"/>
    <tableColumn id="9835" xr3:uid="{09046987-3CE6-4507-B505-1BB1B9E7EFF5}" name="Column9824"/>
    <tableColumn id="9836" xr3:uid="{18947929-0CDD-426F-BC6C-98F015E38773}" name="Column9825"/>
    <tableColumn id="9837" xr3:uid="{65632F5A-57F9-4D81-8BC1-73A1325FF4E5}" name="Column9826"/>
    <tableColumn id="9838" xr3:uid="{0839C7C0-91B4-4DEA-AD50-3C8228E9C62C}" name="Column9827"/>
    <tableColumn id="9839" xr3:uid="{B350BC0A-1EF2-44A1-8F3F-6B19801471BA}" name="Column9828"/>
    <tableColumn id="9840" xr3:uid="{001D055A-C594-44D2-ADD7-8491F5D5656C}" name="Column9829"/>
    <tableColumn id="9841" xr3:uid="{C3403E80-CE24-4484-BD5D-66987EBCEC3A}" name="Column9830"/>
    <tableColumn id="9842" xr3:uid="{75362EC1-0F3D-4FEE-93B7-375B553BB79E}" name="Column9831"/>
    <tableColumn id="9843" xr3:uid="{3C2064F5-5632-475B-A070-EC7F1939ABF8}" name="Column9832"/>
    <tableColumn id="9844" xr3:uid="{71977245-656B-4C44-91A1-52C16DFF6043}" name="Column9833"/>
    <tableColumn id="9845" xr3:uid="{B5BE1014-FD2F-46A5-835B-4B0CAAFD3403}" name="Column9834"/>
    <tableColumn id="9846" xr3:uid="{EF7F7849-0D99-4562-88AF-1D47FF3757A2}" name="Column9835"/>
    <tableColumn id="9847" xr3:uid="{3D2841B1-7193-4D8B-A984-30EF8CCBC4A5}" name="Column9836"/>
    <tableColumn id="9848" xr3:uid="{8B4A2C97-6DC5-4636-A3F3-3D12B1893DF2}" name="Column9837"/>
    <tableColumn id="9849" xr3:uid="{97B8C848-549F-4E68-A65F-B33D60E1160F}" name="Column9838"/>
    <tableColumn id="9850" xr3:uid="{A5E5B668-5483-4B25-84B7-22E168BBDC69}" name="Column9839"/>
    <tableColumn id="9851" xr3:uid="{29775E3F-C3BA-44D9-BF94-AAA52C950187}" name="Column9840"/>
    <tableColumn id="9852" xr3:uid="{7CFBF2AF-1A01-46FD-83A9-B84B3B744CA5}" name="Column9841"/>
    <tableColumn id="9853" xr3:uid="{F7DD9CAB-65D9-4DAC-BAFD-893D7F93FA88}" name="Column9842"/>
    <tableColumn id="9854" xr3:uid="{8D5A51B3-4A8C-47A1-ABC8-95169B7D09FC}" name="Column9843"/>
    <tableColumn id="9855" xr3:uid="{5103E63C-48D7-4A86-9511-DD5F9F4C6A36}" name="Column9844"/>
    <tableColumn id="9856" xr3:uid="{5BE3690C-E3C7-4A7A-A596-2C8D9D73DC6B}" name="Column9845"/>
    <tableColumn id="9857" xr3:uid="{599880AA-5E01-413C-84F3-970812FB8315}" name="Column9846"/>
    <tableColumn id="9858" xr3:uid="{58457011-8F6C-4B1B-B829-98CB94FA5AA7}" name="Column9847"/>
    <tableColumn id="9859" xr3:uid="{04ED8663-B3F8-44A5-A3A1-AAE2D7D8E383}" name="Column9848"/>
    <tableColumn id="9860" xr3:uid="{0AD90847-3C0B-4587-8E0A-D668621D544E}" name="Column9849"/>
    <tableColumn id="9861" xr3:uid="{D0E6A6F3-6D47-4805-BB8F-1CDA3BB32577}" name="Column9850"/>
    <tableColumn id="9862" xr3:uid="{5807242F-53B1-49CD-AE06-7130D2095EE6}" name="Column9851"/>
    <tableColumn id="9863" xr3:uid="{BA5CD20D-488F-4F89-A315-ED043D55EDE2}" name="Column9852"/>
    <tableColumn id="9864" xr3:uid="{7D39E68F-7544-49D6-848F-49DAB7B88D40}" name="Column9853"/>
    <tableColumn id="9865" xr3:uid="{FFF9E5C7-7001-4393-A465-8009B66C0EBB}" name="Column9854"/>
    <tableColumn id="9866" xr3:uid="{D2E63F44-A4B5-4B3C-9092-6F41D0A29A8A}" name="Column9855"/>
    <tableColumn id="9867" xr3:uid="{CC13AC4A-4BCF-459D-97A4-AAAA317E31AF}" name="Column9856"/>
    <tableColumn id="9868" xr3:uid="{5923A4BF-F7B2-4172-9E2D-047D1716EA9F}" name="Column9857"/>
    <tableColumn id="9869" xr3:uid="{41D67808-1A57-4F4A-B63E-D946FC7527BF}" name="Column9858"/>
    <tableColumn id="9870" xr3:uid="{A05C6B52-3763-45B1-B10D-45FEF3015383}" name="Column9859"/>
    <tableColumn id="9871" xr3:uid="{193907A3-8E73-4D25-A1ED-F68D2B44E5EC}" name="Column9860"/>
    <tableColumn id="9872" xr3:uid="{E772E096-57CF-4B18-BF01-8B534AC2E528}" name="Column9861"/>
    <tableColumn id="9873" xr3:uid="{E3276A68-54AD-4B5D-9CBC-FEE4DF6020E3}" name="Column9862"/>
    <tableColumn id="9874" xr3:uid="{D80BD195-CA65-477B-91C1-0E7873B8456B}" name="Column9863"/>
    <tableColumn id="9875" xr3:uid="{3DB9D21F-6939-4141-BDEE-5683EAF37F5F}" name="Column9864"/>
    <tableColumn id="9876" xr3:uid="{D56B1355-E4BE-4FBD-8D4A-936ACAFFCFEB}" name="Column9865"/>
    <tableColumn id="9877" xr3:uid="{E1613ECB-55A3-45FA-8B96-CEEC65EC7F11}" name="Column9866"/>
    <tableColumn id="9878" xr3:uid="{81787A5C-2CB4-46FD-9E90-A50FC29F8193}" name="Column9867"/>
    <tableColumn id="9879" xr3:uid="{3C5C739D-3A36-44E6-BF44-218C104C30C0}" name="Column9868"/>
    <tableColumn id="9880" xr3:uid="{8306A94B-CFAA-4D65-B79E-E0794EA96D70}" name="Column9869"/>
    <tableColumn id="9881" xr3:uid="{17B9EE37-0D67-436B-9545-635881829A13}" name="Column9870"/>
    <tableColumn id="9882" xr3:uid="{16D73EEE-6B02-4E2E-8D95-AF98207DB3AA}" name="Column9871"/>
    <tableColumn id="9883" xr3:uid="{626F56CD-B042-4F16-A576-BFC4BD4C9B13}" name="Column9872"/>
    <tableColumn id="9884" xr3:uid="{0AE668ED-7D51-45A9-982C-3738B5FEE3D1}" name="Column9873"/>
    <tableColumn id="9885" xr3:uid="{0C7C9BB9-15F5-451E-A1C4-45C29872837A}" name="Column9874"/>
    <tableColumn id="9886" xr3:uid="{70BF9BE4-12F7-4DB3-A254-7107D009E7DA}" name="Column9875"/>
    <tableColumn id="9887" xr3:uid="{15EA6D6F-0631-4012-BB4E-7E48D69CDAAC}" name="Column9876"/>
    <tableColumn id="9888" xr3:uid="{E99F6034-EA39-4A59-903B-269CF27A116B}" name="Column9877"/>
    <tableColumn id="9889" xr3:uid="{97E17E28-2A8D-4048-9E4C-7665066C22B0}" name="Column9878"/>
    <tableColumn id="9890" xr3:uid="{2B2B8394-5EB8-40BB-B121-44F896C0D390}" name="Column9879"/>
    <tableColumn id="9891" xr3:uid="{73F3DEEE-E6AA-44E8-B07D-6CA831F95B87}" name="Column9880"/>
    <tableColumn id="9892" xr3:uid="{41557C0D-3C01-4ACD-B29B-B968EA0AB714}" name="Column9881"/>
    <tableColumn id="9893" xr3:uid="{BD71CDBB-C499-4895-A1E7-F1976F381A93}" name="Column9882"/>
    <tableColumn id="9894" xr3:uid="{61BA7630-19BF-44CC-AC47-DAC41523FF63}" name="Column9883"/>
    <tableColumn id="9895" xr3:uid="{3DA4D1F5-84FA-4F8C-AC7F-8D83053A01E3}" name="Column9884"/>
    <tableColumn id="9896" xr3:uid="{25D781D8-9232-4A3C-B588-D006AC18B09E}" name="Column9885"/>
    <tableColumn id="9897" xr3:uid="{3AAE484A-25F6-4769-850C-CB76D99DEBC9}" name="Column9886"/>
    <tableColumn id="9898" xr3:uid="{79DDD906-BC65-4AC3-8B18-9BB5E63F3426}" name="Column9887"/>
    <tableColumn id="9899" xr3:uid="{DE7F908F-C019-4D26-B384-1F32B6221045}" name="Column9888"/>
    <tableColumn id="9900" xr3:uid="{2EDE4FC2-4D92-4F0E-9327-95BFEC851857}" name="Column9889"/>
    <tableColumn id="9901" xr3:uid="{621FF4A2-763B-4CFF-AD39-DEFEE269EAA0}" name="Column9890"/>
    <tableColumn id="9902" xr3:uid="{E9BAF480-6C5D-48EF-BEAD-2E846B3DA3D3}" name="Column9891"/>
    <tableColumn id="9903" xr3:uid="{C131C190-3BE0-4C9E-9F42-09ABCD580245}" name="Column9892"/>
    <tableColumn id="9904" xr3:uid="{75DD7B03-703F-4EBC-95C9-56736390CB31}" name="Column9893"/>
    <tableColumn id="9905" xr3:uid="{BB0000C8-A6BA-42A9-90F2-F71941A4A184}" name="Column9894"/>
    <tableColumn id="9906" xr3:uid="{8A866176-75AC-43BF-A59F-143E5A4350B5}" name="Column9895"/>
    <tableColumn id="9907" xr3:uid="{0AED2051-AAD5-4AC9-A38F-C87872CB7FBB}" name="Column9896"/>
    <tableColumn id="9908" xr3:uid="{1C1243EC-8E48-4233-ADE8-97F7465C7ED7}" name="Column9897"/>
    <tableColumn id="9909" xr3:uid="{1D93033D-001F-47FA-8214-559622504B1B}" name="Column9898"/>
    <tableColumn id="9910" xr3:uid="{3D3B97EA-8EA5-4CD6-84FC-987890224AF4}" name="Column9899"/>
    <tableColumn id="9911" xr3:uid="{A66E6F78-5A36-48A1-9B47-8102E14A807B}" name="Column9900"/>
    <tableColumn id="9912" xr3:uid="{09E09B8C-702C-4B1D-9464-F83C562F2D0C}" name="Column9901"/>
    <tableColumn id="9913" xr3:uid="{6C93789C-1079-463A-B6C1-DBE552A36A36}" name="Column9902"/>
    <tableColumn id="9914" xr3:uid="{AE7940E7-6D0D-47D3-8F59-D0D8E67D63BF}" name="Column9903"/>
    <tableColumn id="9915" xr3:uid="{29B5BC53-7C9B-40C1-9484-43A9F2BEB5DB}" name="Column9904"/>
    <tableColumn id="9916" xr3:uid="{C5215F90-A129-4013-AB8B-45903867ECCA}" name="Column9905"/>
    <tableColumn id="9917" xr3:uid="{80C5B42E-4BDC-4027-A15A-42F202ECD4E9}" name="Column9906"/>
    <tableColumn id="9918" xr3:uid="{2F758947-58C6-4C34-B8DA-F4DDEA0B8E66}" name="Column9907"/>
    <tableColumn id="9919" xr3:uid="{C77DC007-020B-410E-9D17-A8C4321B7F1A}" name="Column9908"/>
    <tableColumn id="9920" xr3:uid="{118A216D-8188-43D5-B0C4-1F1F1054F65E}" name="Column9909"/>
    <tableColumn id="9921" xr3:uid="{9603342E-8037-48A5-B029-534A00BC0562}" name="Column9910"/>
    <tableColumn id="9922" xr3:uid="{46FA3122-FBE2-4197-97B7-4FA812935F92}" name="Column9911"/>
    <tableColumn id="9923" xr3:uid="{E4F303D0-E16A-43CC-B3B3-9001C0ECD172}" name="Column9912"/>
    <tableColumn id="9924" xr3:uid="{64B874C4-E9A6-4F39-B544-15EBBCDF3C42}" name="Column9913"/>
    <tableColumn id="9925" xr3:uid="{43545F91-52B3-48D1-9169-A139B84C95FB}" name="Column9914"/>
    <tableColumn id="9926" xr3:uid="{6C2F6950-8C5D-4F10-BD20-17A0E197429D}" name="Column9915"/>
    <tableColumn id="9927" xr3:uid="{AFA89CC4-155F-42CF-A643-B5DD545132AE}" name="Column9916"/>
    <tableColumn id="9928" xr3:uid="{9422ABAF-E1F2-4C72-BA9E-2576E3CC3611}" name="Column9917"/>
    <tableColumn id="9929" xr3:uid="{D83A522A-4A4F-47B7-9D88-966E719D89BC}" name="Column9918"/>
    <tableColumn id="9930" xr3:uid="{66508B42-6898-4785-9835-7C1C2C24BED7}" name="Column9919"/>
    <tableColumn id="9931" xr3:uid="{01C4BB82-6397-4563-8510-AE686BD754B6}" name="Column9920"/>
    <tableColumn id="9932" xr3:uid="{C03AEF70-78B4-4E5E-B914-F87F333C537B}" name="Column9921"/>
    <tableColumn id="9933" xr3:uid="{43800A81-A983-4CFC-8D69-77A08F9D939C}" name="Column9922"/>
    <tableColumn id="9934" xr3:uid="{606050E9-15AA-4330-8C6C-A30F3CA2D990}" name="Column9923"/>
    <tableColumn id="9935" xr3:uid="{23E87B52-4A33-4308-8603-5F5A74A8C975}" name="Column9924"/>
    <tableColumn id="9936" xr3:uid="{F6053E06-8B1B-40F4-8AD2-94E190D84B1E}" name="Column9925"/>
    <tableColumn id="9937" xr3:uid="{D1B88303-ADD7-4487-8FB5-7DD47D9C231C}" name="Column9926"/>
    <tableColumn id="9938" xr3:uid="{46ECC90C-9433-4F26-B682-DED5E7ECF5B1}" name="Column9927"/>
    <tableColumn id="9939" xr3:uid="{EE38173E-0719-4ABB-A7BF-DE7128B3EA22}" name="Column9928"/>
    <tableColumn id="9940" xr3:uid="{D15E19E3-C692-4730-881C-313E1D728835}" name="Column9929"/>
    <tableColumn id="9941" xr3:uid="{597A13C1-C9CC-4015-AA05-97B9930F1F0D}" name="Column9930"/>
    <tableColumn id="9942" xr3:uid="{453558D0-D000-4DA4-A6A4-A2B1A64FAA4A}" name="Column9931"/>
    <tableColumn id="9943" xr3:uid="{FC9A41D1-BA79-4157-A8BE-870459895610}" name="Column9932"/>
    <tableColumn id="9944" xr3:uid="{8DCBF689-A3B6-473F-B27B-1FAB4593ABE3}" name="Column9933"/>
    <tableColumn id="9945" xr3:uid="{50C18FE8-EDF4-4B54-A14B-F22F72F39096}" name="Column9934"/>
    <tableColumn id="9946" xr3:uid="{C0766080-2120-422C-80DE-0406077FC3F7}" name="Column9935"/>
    <tableColumn id="9947" xr3:uid="{28BCEB01-3559-4BD5-9E7E-46CA00D6E858}" name="Column9936"/>
    <tableColumn id="9948" xr3:uid="{F4B0354B-177B-483C-80D6-A208124CDF79}" name="Column9937"/>
    <tableColumn id="9949" xr3:uid="{7D56FD44-06D4-4450-AA66-313D56DD8C16}" name="Column9938"/>
    <tableColumn id="9950" xr3:uid="{A244C938-8775-47C3-AF46-B536C08A6505}" name="Column9939"/>
    <tableColumn id="9951" xr3:uid="{E2EE5AF2-3DF7-4A0B-A26B-A38100B7E4E3}" name="Column9940"/>
    <tableColumn id="9952" xr3:uid="{4621349A-F0B4-47AB-B6CB-634068475A5C}" name="Column9941"/>
    <tableColumn id="9953" xr3:uid="{B72B1F96-3334-49D1-9AB3-AED3CD7F4A5F}" name="Column9942"/>
    <tableColumn id="9954" xr3:uid="{8F208208-B901-44DE-9070-B07D9239A8B5}" name="Column9943"/>
    <tableColumn id="9955" xr3:uid="{B7712FF0-0A20-42AB-B51E-C81941D63DC7}" name="Column9944"/>
    <tableColumn id="9956" xr3:uid="{8F792F2B-EF8B-4208-9293-908CE95CE54E}" name="Column9945"/>
    <tableColumn id="9957" xr3:uid="{AF19EBF7-1DB9-467C-A7D4-863FD4CD7C6F}" name="Column9946"/>
    <tableColumn id="9958" xr3:uid="{57037249-AAE9-4711-A9FF-7C1722079FA1}" name="Column9947"/>
    <tableColumn id="9959" xr3:uid="{52D7C7BF-EB6B-47A2-B881-29FEB6D85147}" name="Column9948"/>
    <tableColumn id="9960" xr3:uid="{AC90BAF8-07D8-4CFF-B570-1D0BD21530D6}" name="Column9949"/>
    <tableColumn id="9961" xr3:uid="{74F2C9D7-014B-4712-88D0-A94411E171D7}" name="Column9950"/>
    <tableColumn id="9962" xr3:uid="{A9430DB7-A353-41B8-9544-D28184B40D39}" name="Column9951"/>
    <tableColumn id="9963" xr3:uid="{B6705E31-3A55-4F7F-809B-831598116C23}" name="Column9952"/>
    <tableColumn id="9964" xr3:uid="{89DE4ECF-A0F3-4FEA-AAC5-33C13864B4A1}" name="Column9953"/>
    <tableColumn id="9965" xr3:uid="{88C4DC54-F4E2-44EC-882E-64FE2A3B08C7}" name="Column9954"/>
    <tableColumn id="9966" xr3:uid="{CE35CB08-407F-403A-ADDB-F198E0C01248}" name="Column9955"/>
    <tableColumn id="9967" xr3:uid="{C7B9ECFE-2057-4C99-ADA4-4F3822AF6E6E}" name="Column9956"/>
    <tableColumn id="9968" xr3:uid="{E76EE030-6845-4B9E-A7E7-AE64519B6700}" name="Column9957"/>
    <tableColumn id="9969" xr3:uid="{6A331EDC-BF9A-4BBF-BA81-0BB1CDB36FFE}" name="Column9958"/>
    <tableColumn id="9970" xr3:uid="{00F21420-14BF-41FC-A192-092C853C49D3}" name="Column9959"/>
    <tableColumn id="9971" xr3:uid="{7A9FE798-57AD-4261-B19E-923B461F6397}" name="Column9960"/>
    <tableColumn id="9972" xr3:uid="{87A93477-68D1-45CE-A41A-35713B32756B}" name="Column9961"/>
    <tableColumn id="9973" xr3:uid="{59566B91-3FBF-4E4A-BDB6-E10A7E73B9AF}" name="Column9962"/>
    <tableColumn id="9974" xr3:uid="{DD6CBD06-5166-4178-A088-E52636809883}" name="Column9963"/>
    <tableColumn id="9975" xr3:uid="{E63441DF-2F58-480D-906A-66B9620792C4}" name="Column9964"/>
    <tableColumn id="9976" xr3:uid="{8441AEA3-A87A-41E3-A12D-AB81F782DFC2}" name="Column9965"/>
    <tableColumn id="9977" xr3:uid="{68F98894-793D-413B-9E5E-65EB2B790AE1}" name="Column9966"/>
    <tableColumn id="9978" xr3:uid="{0E827E81-8EE9-459D-91A2-56D237E03F28}" name="Column9967"/>
    <tableColumn id="9979" xr3:uid="{18CB95CB-B9BD-4013-BAD0-262078F4AD88}" name="Column9968"/>
    <tableColumn id="9980" xr3:uid="{E03A5DE1-8B26-4E51-A768-FEB725DD2F34}" name="Column9969"/>
    <tableColumn id="9981" xr3:uid="{0E80B8DF-A2F3-426C-AE95-AC91AD94929B}" name="Column9970"/>
    <tableColumn id="9982" xr3:uid="{D31FEC94-3DF4-493A-8FEA-46E67E3B85EF}" name="Column9971"/>
    <tableColumn id="9983" xr3:uid="{C3E8DEDB-57A4-4A72-9013-D78645F666B7}" name="Column9972"/>
    <tableColumn id="9984" xr3:uid="{B2E9FFE8-C865-4111-911C-C10A37DC9E46}" name="Column9973"/>
    <tableColumn id="9985" xr3:uid="{FF3E6E37-E495-4AC7-89CA-4E61E8282C4B}" name="Column9974"/>
    <tableColumn id="9986" xr3:uid="{61F33DC6-D605-43E7-8C38-A6069E7D0345}" name="Column9975"/>
    <tableColumn id="9987" xr3:uid="{83C60FFB-BEA1-4B8E-917F-94ACA6E2D75C}" name="Column9976"/>
    <tableColumn id="9988" xr3:uid="{F6148E3A-57BC-4AF4-A0B4-FE20C2DF18BF}" name="Column9977"/>
    <tableColumn id="9989" xr3:uid="{60FCE75A-5C32-4F92-A360-6291151403FE}" name="Column9978"/>
    <tableColumn id="9990" xr3:uid="{6649B75B-AB58-4211-9AF6-B4F699E82A49}" name="Column9979"/>
    <tableColumn id="9991" xr3:uid="{1710A766-F5E0-4FDE-88A0-249D138385D2}" name="Column9980"/>
    <tableColumn id="9992" xr3:uid="{9AC88D1A-9728-420B-8D9F-93B123748792}" name="Column9981"/>
    <tableColumn id="9993" xr3:uid="{76664662-FC1F-4F79-9211-F6ADB4A5988F}" name="Column9982"/>
    <tableColumn id="9994" xr3:uid="{6BF6C39B-D30F-421F-BD3E-693DE194A433}" name="Column9983"/>
    <tableColumn id="9995" xr3:uid="{CDCFFA54-F136-43F0-8D63-CA98E40B5DDB}" name="Column9984"/>
    <tableColumn id="9996" xr3:uid="{80A030C2-00CE-4C1E-ACEA-BB607D1438D4}" name="Column9985"/>
    <tableColumn id="9997" xr3:uid="{BB8A5427-A959-40A3-9E9B-9CCAB5479753}" name="Column9986"/>
    <tableColumn id="9998" xr3:uid="{A3114397-3937-4C46-9334-74DA926699FB}" name="Column9987"/>
    <tableColumn id="9999" xr3:uid="{A5B8F668-6C2D-47A5-BF12-CF384CC3C8DA}" name="Column9988"/>
    <tableColumn id="10000" xr3:uid="{AF47DCB3-01AE-442C-8EE6-DC9CDC8C5C0D}" name="Column9989"/>
    <tableColumn id="10001" xr3:uid="{FC90CB4C-182F-4496-A176-42597732BC72}" name="Column9990"/>
    <tableColumn id="10002" xr3:uid="{4BAFD0F7-E315-4ABC-BD64-53595A9C476E}" name="Column9991"/>
    <tableColumn id="10003" xr3:uid="{0A97B756-5BE1-4738-9A28-29C98AE41052}" name="Column9992"/>
    <tableColumn id="10004" xr3:uid="{3A8A150A-EF28-464E-A4D1-CB64A3F359F8}" name="Column9993"/>
    <tableColumn id="10005" xr3:uid="{C6C53158-A3AC-44CE-837A-2B0492EE6451}" name="Column9994"/>
    <tableColumn id="10006" xr3:uid="{1D0BDB06-9034-491E-99DA-559609588C7A}" name="Column9995"/>
    <tableColumn id="10007" xr3:uid="{7421DB28-D789-44A0-9C8A-1E6A5EFE6539}" name="Column9996"/>
    <tableColumn id="10008" xr3:uid="{8D8FF0FB-3F00-4DBB-8C27-CD21A16B5B27}" name="Column9997"/>
    <tableColumn id="10009" xr3:uid="{401759AF-5B2F-4D5D-8B0D-D602938D8D18}" name="Column9998"/>
    <tableColumn id="10010" xr3:uid="{545FBE03-D72B-4BF0-A270-9B659170B516}" name="Column9999"/>
    <tableColumn id="10011" xr3:uid="{D4B14447-460D-4C89-8C87-AE12EC5E0A71}" name="Column10000"/>
    <tableColumn id="10012" xr3:uid="{1E173C27-92B1-4CEC-AADB-93001EC4CA7F}" name="Column10001"/>
    <tableColumn id="10013" xr3:uid="{323B1DD5-F139-453B-82A4-0FCC5AD6F8FE}" name="Column10002"/>
    <tableColumn id="10014" xr3:uid="{88923B27-2F45-4B8C-A0B3-A9FCB6BE4038}" name="Column10003"/>
    <tableColumn id="10015" xr3:uid="{C1BAB348-E63E-4810-91BE-2B19089E8C78}" name="Column10004"/>
    <tableColumn id="10016" xr3:uid="{FA10B7DB-7972-4446-94FE-52051C76FBF7}" name="Column10005"/>
    <tableColumn id="10017" xr3:uid="{563B7CB2-9990-47F1-A6FE-EEFF194FC16B}" name="Column10006"/>
    <tableColumn id="10018" xr3:uid="{07CBC777-D9B4-42C2-91D6-593565B14F65}" name="Column10007"/>
    <tableColumn id="10019" xr3:uid="{72715896-6F09-4647-97A1-57C3D467E581}" name="Column10008"/>
    <tableColumn id="10020" xr3:uid="{51613B03-5F4B-4AB2-B293-9CE7C8F089A4}" name="Column10009"/>
    <tableColumn id="10021" xr3:uid="{5BF3C2E3-245E-4B88-9BCE-2212A290B745}" name="Column10010"/>
    <tableColumn id="10022" xr3:uid="{D66D6F76-2471-4FFA-8CE2-5DB5C4AB26BC}" name="Column10011"/>
    <tableColumn id="10023" xr3:uid="{D442DCDA-80D3-4847-AFA4-29B469F5BF21}" name="Column10012"/>
    <tableColumn id="10024" xr3:uid="{DDDC9A6A-39FD-47EC-8658-41CB677A4932}" name="Column10013"/>
    <tableColumn id="10025" xr3:uid="{9A9AD60A-D1E4-42CD-BF40-DFF58F8206AE}" name="Column10014"/>
    <tableColumn id="10026" xr3:uid="{4A93F056-BA45-45BC-B871-BE2BDE1C0621}" name="Column10015"/>
    <tableColumn id="10027" xr3:uid="{72627FD4-4ECD-47B9-B7D6-A63B88014D95}" name="Column10016"/>
    <tableColumn id="10028" xr3:uid="{D7C2A540-4F80-41EA-AB61-BA159735EFD0}" name="Column10017"/>
    <tableColumn id="10029" xr3:uid="{9BF7AC6F-BEA8-4D87-9894-1DFFD2F45DEB}" name="Column10018"/>
    <tableColumn id="10030" xr3:uid="{9A6E7023-9A1C-49E2-8019-B7A4B491988E}" name="Column10019"/>
    <tableColumn id="10031" xr3:uid="{BD405A77-C9A6-4496-9936-3322D705061C}" name="Column10020"/>
    <tableColumn id="10032" xr3:uid="{79329818-02C9-42A1-8DEC-FDE4C5100D3D}" name="Column10021"/>
    <tableColumn id="10033" xr3:uid="{0323E83A-2D63-4099-B291-860EF9CB4DEC}" name="Column10022"/>
    <tableColumn id="10034" xr3:uid="{CDC23264-1D0F-45D8-AACF-ADA54CCCB195}" name="Column10023"/>
    <tableColumn id="10035" xr3:uid="{AB9BC73A-C642-4817-B6BE-584BE14C1D5A}" name="Column10024"/>
    <tableColumn id="10036" xr3:uid="{99A3A4D8-6701-447C-8AE8-BE9BDF7FAA30}" name="Column10025"/>
    <tableColumn id="10037" xr3:uid="{AB412D4C-C76F-4FFD-BA2D-915545E906FC}" name="Column10026"/>
    <tableColumn id="10038" xr3:uid="{CF9AF30D-DCA5-455A-9573-A91B5EE186D4}" name="Column10027"/>
    <tableColumn id="10039" xr3:uid="{45136F63-05B5-4DBA-8284-84AD642F5A9B}" name="Column10028"/>
    <tableColumn id="10040" xr3:uid="{5414A26D-CE11-42C2-B54A-1B4A1AD480A0}" name="Column10029"/>
    <tableColumn id="10041" xr3:uid="{3781BE96-F37A-46AD-B569-298DE915FA00}" name="Column10030"/>
    <tableColumn id="10042" xr3:uid="{02BAA245-10CF-42E8-B223-29D77A1CD41A}" name="Column10031"/>
    <tableColumn id="10043" xr3:uid="{5EC103A8-573A-4484-A7FB-63BBC6FAA602}" name="Column10032"/>
    <tableColumn id="10044" xr3:uid="{42264DCA-CD11-4570-9E39-39040F3EBB25}" name="Column10033"/>
    <tableColumn id="10045" xr3:uid="{18230EB8-A1CC-4CF6-832E-B6D73D68820C}" name="Column10034"/>
    <tableColumn id="10046" xr3:uid="{DC60AE00-5FF3-4B9F-8DA4-660F0B93546D}" name="Column10035"/>
    <tableColumn id="10047" xr3:uid="{2A99C73F-4B1C-4F50-8F59-113AC11C6D01}" name="Column10036"/>
    <tableColumn id="10048" xr3:uid="{E5CCF8F9-D5C7-4728-92FE-37CB367B5C89}" name="Column10037"/>
    <tableColumn id="10049" xr3:uid="{CE665284-D61B-4842-918F-85D0B403B6B9}" name="Column10038"/>
    <tableColumn id="10050" xr3:uid="{35994B59-308E-4680-AE9E-4D6777CAA628}" name="Column10039"/>
    <tableColumn id="10051" xr3:uid="{AED73654-1292-4AA9-98BE-3162C6FF1204}" name="Column10040"/>
    <tableColumn id="10052" xr3:uid="{36644C72-40AE-4509-90B8-24B3C3B268F5}" name="Column10041"/>
    <tableColumn id="10053" xr3:uid="{A0E8630E-4CB7-4084-8282-45DAB97EA5CF}" name="Column10042"/>
    <tableColumn id="10054" xr3:uid="{18CC8D14-9DCB-4EFF-BA96-BBCC00558FE6}" name="Column10043"/>
    <tableColumn id="10055" xr3:uid="{4FB788A3-89B5-4BA8-AB97-747C86537EB6}" name="Column10044"/>
    <tableColumn id="10056" xr3:uid="{B613E4EC-99B5-417F-BCC5-2295A759BBED}" name="Column10045"/>
    <tableColumn id="10057" xr3:uid="{6A87FCA6-910D-4960-926B-198876D639C2}" name="Column10046"/>
    <tableColumn id="10058" xr3:uid="{118D6041-167A-49D3-A209-41522497500E}" name="Column10047"/>
    <tableColumn id="10059" xr3:uid="{F1CBF729-A60D-44E9-BD66-10253C9F35E1}" name="Column10048"/>
    <tableColumn id="10060" xr3:uid="{8372EA0E-0761-4EA8-BB77-254154D358F2}" name="Column10049"/>
    <tableColumn id="10061" xr3:uid="{76B6D0C0-F4D7-464C-9A60-C7D10F73F9E0}" name="Column10050"/>
    <tableColumn id="10062" xr3:uid="{3E5F12C6-FE7C-4BE0-A296-C1CC28AD47C2}" name="Column10051"/>
    <tableColumn id="10063" xr3:uid="{0874A21C-2F90-499A-9E43-280A4F6066BB}" name="Column10052"/>
    <tableColumn id="10064" xr3:uid="{E9E6C33E-EA65-4923-B9D1-D7752CD4A4BF}" name="Column10053"/>
    <tableColumn id="10065" xr3:uid="{FEBA570C-FA72-44F9-B7C1-808C720CDB86}" name="Column10054"/>
    <tableColumn id="10066" xr3:uid="{F1B733F7-A14F-4182-80CF-3696AFA09D64}" name="Column10055"/>
    <tableColumn id="10067" xr3:uid="{C7DF96B1-2E35-4F54-8855-1D9FDFBE6BEC}" name="Column10056"/>
    <tableColumn id="10068" xr3:uid="{1D2A7EAC-591B-4E0B-83B9-870269980569}" name="Column10057"/>
    <tableColumn id="10069" xr3:uid="{95B3BFEA-AEDE-4815-B41A-DADF5B69E2B4}" name="Column10058"/>
    <tableColumn id="10070" xr3:uid="{E3C7FE7E-546F-4504-BA68-9B43AC6F8DF8}" name="Column10059"/>
    <tableColumn id="10071" xr3:uid="{0995A328-0E28-4283-95FB-5566151262EB}" name="Column10060"/>
    <tableColumn id="10072" xr3:uid="{2BD4FA30-35C2-440C-95EC-B6BCB4676B61}" name="Column10061"/>
    <tableColumn id="10073" xr3:uid="{7D536F91-3054-4560-B8F0-734E5E77999E}" name="Column10062"/>
    <tableColumn id="10074" xr3:uid="{EB65268D-0E0C-41A8-97A9-81F0ED09FFBF}" name="Column10063"/>
    <tableColumn id="10075" xr3:uid="{0567D556-F36B-4691-B457-FEC4D9B5BB07}" name="Column10064"/>
    <tableColumn id="10076" xr3:uid="{9169235E-8C94-4BE0-8381-8A362F6EFEC3}" name="Column10065"/>
    <tableColumn id="10077" xr3:uid="{3D76AE2E-496F-46E8-A970-141D3DF36C6C}" name="Column10066"/>
    <tableColumn id="10078" xr3:uid="{5C93B493-4A44-443E-9746-AFA8D0A7F5D6}" name="Column10067"/>
    <tableColumn id="10079" xr3:uid="{7F87AB32-97B5-4F26-B33D-E13BFD78D97D}" name="Column10068"/>
    <tableColumn id="10080" xr3:uid="{49FCBCBC-8397-4CF7-A465-C77085CDA39A}" name="Column10069"/>
    <tableColumn id="10081" xr3:uid="{D082A5F1-773F-4B5B-9F76-7C7929825766}" name="Column10070"/>
    <tableColumn id="10082" xr3:uid="{DD2A01B4-3B38-4C4A-A315-E0A9D6162D3F}" name="Column10071"/>
    <tableColumn id="10083" xr3:uid="{1D91634D-F28F-496D-9662-D3C4FBAC8879}" name="Column10072"/>
    <tableColumn id="10084" xr3:uid="{659035DD-A087-4504-8DEB-EA3327A2E27F}" name="Column10073"/>
    <tableColumn id="10085" xr3:uid="{47DD2BCD-EBB5-49F7-B728-4B8B2D5BB784}" name="Column10074"/>
    <tableColumn id="10086" xr3:uid="{40FB573C-1035-4AB9-887F-D9E6F94DE154}" name="Column10075"/>
    <tableColumn id="10087" xr3:uid="{EFB7C046-C510-4801-807C-F5BB45D9D52A}" name="Column10076"/>
    <tableColumn id="10088" xr3:uid="{CBBD4584-CDA6-4D25-B28A-411AD05AE4D1}" name="Column10077"/>
    <tableColumn id="10089" xr3:uid="{9AA70366-E329-42AE-BCE7-A03012ACADA0}" name="Column10078"/>
    <tableColumn id="10090" xr3:uid="{0D921FB7-EB67-49C4-8067-35EF7DB42362}" name="Column10079"/>
    <tableColumn id="10091" xr3:uid="{C8EBC7FB-42C7-40F3-ADFE-0E023DBDDC76}" name="Column10080"/>
    <tableColumn id="10092" xr3:uid="{9195AE60-428D-485B-B265-990E444C320A}" name="Column10081"/>
    <tableColumn id="10093" xr3:uid="{67419B86-04DA-491E-8EA1-54D651D9500D}" name="Column10082"/>
    <tableColumn id="10094" xr3:uid="{1274BFF6-CCD3-4110-892F-6C758ADED1B9}" name="Column10083"/>
    <tableColumn id="10095" xr3:uid="{E46D7914-BFCC-4C2D-BABD-30D82F9EE9A7}" name="Column10084"/>
    <tableColumn id="10096" xr3:uid="{DEA0CE10-9950-4C37-9496-31110C1AD8C3}" name="Column10085"/>
    <tableColumn id="10097" xr3:uid="{F1D44FCF-A84C-4F3C-B2DC-D7A68973A3E5}" name="Column10086"/>
    <tableColumn id="10098" xr3:uid="{A6EF6FEB-CCF7-4A9A-A90A-C0376605B42B}" name="Column10087"/>
    <tableColumn id="10099" xr3:uid="{B0D511E9-27EE-44A1-9D95-81B6662D0009}" name="Column10088"/>
    <tableColumn id="10100" xr3:uid="{360AB4C0-AF26-4511-97ED-C8856EC98E25}" name="Column10089"/>
    <tableColumn id="10101" xr3:uid="{FC620035-85A8-4CA7-88BD-B4612F1A44CF}" name="Column10090"/>
    <tableColumn id="10102" xr3:uid="{A582ED79-6974-41B2-8319-471219616533}" name="Column10091"/>
    <tableColumn id="10103" xr3:uid="{3A1B89D2-578E-43A5-A436-F5971E24543E}" name="Column10092"/>
    <tableColumn id="10104" xr3:uid="{31932BC2-AC27-4C9F-A5AD-F919BEFBE677}" name="Column10093"/>
    <tableColumn id="10105" xr3:uid="{3BCE18C2-39DC-4510-8BD4-2B73E7071366}" name="Column10094"/>
    <tableColumn id="10106" xr3:uid="{2023E085-8000-4E51-B1DF-829B9B4E6BC7}" name="Column10095"/>
    <tableColumn id="10107" xr3:uid="{FDE06C62-86D5-497A-87F4-47772F778560}" name="Column10096"/>
    <tableColumn id="10108" xr3:uid="{47CBB68A-4908-411A-876B-5BD36C4DE9E7}" name="Column10097"/>
    <tableColumn id="10109" xr3:uid="{FA51FC4E-2622-47C4-972B-293D0C8A4331}" name="Column10098"/>
    <tableColumn id="10110" xr3:uid="{09B541D6-1E1D-4722-9838-893446D422A6}" name="Column10099"/>
    <tableColumn id="10111" xr3:uid="{E6FFDEC6-1A66-4C47-BFA8-BDE17CC48A4B}" name="Column10100"/>
    <tableColumn id="10112" xr3:uid="{B33DAACB-F10D-4911-B87F-DDFC72B94D6C}" name="Column10101"/>
    <tableColumn id="10113" xr3:uid="{19A51DE0-3CFB-44D6-B558-C958C8502CDE}" name="Column10102"/>
    <tableColumn id="10114" xr3:uid="{ABCF220E-DD25-4FB9-8D73-E0D582CA10D5}" name="Column10103"/>
    <tableColumn id="10115" xr3:uid="{D5A6C23A-5AAE-4B5B-BA01-DA5DBF5CA0B6}" name="Column10104"/>
    <tableColumn id="10116" xr3:uid="{55EE3979-FA39-4F81-AE36-2B967FB55613}" name="Column10105"/>
    <tableColumn id="10117" xr3:uid="{431E1813-C85F-493A-B054-DADB6CA15308}" name="Column10106"/>
    <tableColumn id="10118" xr3:uid="{97C2C9D1-57E1-4F6F-A739-AFF39F8ECDA1}" name="Column10107"/>
    <tableColumn id="10119" xr3:uid="{27B1A70D-D432-4060-BB2B-A8832E3D5DB7}" name="Column10108"/>
    <tableColumn id="10120" xr3:uid="{58EDF0BE-98AC-475E-BFE6-D478A3B47C6A}" name="Column10109"/>
    <tableColumn id="10121" xr3:uid="{85988271-E47A-40FE-9080-487506324968}" name="Column10110"/>
    <tableColumn id="10122" xr3:uid="{501F8E55-4B4D-4758-AD3B-338AB88B4BE3}" name="Column10111"/>
    <tableColumn id="10123" xr3:uid="{B64B1DCD-0780-49C2-9C9F-EAA0F57C3A6B}" name="Column10112"/>
    <tableColumn id="10124" xr3:uid="{714FC710-C59A-443C-9B42-FD88D7079B42}" name="Column10113"/>
    <tableColumn id="10125" xr3:uid="{6D6C96F0-5AD1-47A3-AA2E-C7CA4D43888F}" name="Column10114"/>
    <tableColumn id="10126" xr3:uid="{6B027F4F-D9CF-4359-8002-4460A6CE54F2}" name="Column10115"/>
    <tableColumn id="10127" xr3:uid="{A929A484-E5F5-4994-B961-34D0197B2D0E}" name="Column10116"/>
    <tableColumn id="10128" xr3:uid="{7F7751C3-7D40-4816-B109-CB16F85FAEDD}" name="Column10117"/>
    <tableColumn id="10129" xr3:uid="{91949253-EACB-4B5B-BA3E-0F57725F4B06}" name="Column10118"/>
    <tableColumn id="10130" xr3:uid="{C3EAA9E1-C1D6-4D70-AC35-4F3DA0F964E3}" name="Column10119"/>
    <tableColumn id="10131" xr3:uid="{A80DC304-1295-4F6C-8276-FDB9FE7A0902}" name="Column10120"/>
    <tableColumn id="10132" xr3:uid="{5037BDDD-7F1F-4323-9AFE-B2C765B828DC}" name="Column10121"/>
    <tableColumn id="10133" xr3:uid="{7483BF3F-FE06-4845-A4CF-06EC7B2EA0FC}" name="Column10122"/>
    <tableColumn id="10134" xr3:uid="{BDAEBF40-7BAB-473A-8B9B-2D7CC6EF33B7}" name="Column10123"/>
    <tableColumn id="10135" xr3:uid="{2994B2B5-F37D-4D29-A5A8-098FC8A13EF4}" name="Column10124"/>
    <tableColumn id="10136" xr3:uid="{AB5BF139-18E8-4E8C-A424-6DC0581F085E}" name="Column10125"/>
    <tableColumn id="10137" xr3:uid="{9FA82B07-957D-4BDF-84FD-97C539B57F62}" name="Column10126"/>
    <tableColumn id="10138" xr3:uid="{205F358F-C218-44D2-A9D0-C337F524C62F}" name="Column10127"/>
    <tableColumn id="10139" xr3:uid="{470AF1DA-7534-4C38-BA6D-2342207BEAFC}" name="Column10128"/>
    <tableColumn id="10140" xr3:uid="{9F898AA8-60D1-4662-BD88-1B8F09C56BB5}" name="Column10129"/>
    <tableColumn id="10141" xr3:uid="{9DDA6BFF-8D88-43B8-A2C3-B457A6BF75FF}" name="Column10130"/>
    <tableColumn id="10142" xr3:uid="{8D3C42C4-D57F-4930-9C05-5E6D8689ACEB}" name="Column10131"/>
    <tableColumn id="10143" xr3:uid="{C51CE1A2-F3FE-4F3C-81F0-46AF548B392B}" name="Column10132"/>
    <tableColumn id="10144" xr3:uid="{B8708733-E049-4EF3-A3DC-30F0DC88DA95}" name="Column10133"/>
    <tableColumn id="10145" xr3:uid="{10CFBC08-E111-4413-8F56-D8408CCDC5D2}" name="Column10134"/>
    <tableColumn id="10146" xr3:uid="{E3536484-4EC8-44A8-B9F9-FF909465A94C}" name="Column10135"/>
    <tableColumn id="10147" xr3:uid="{A7A3A7CF-0CB4-47D7-8197-0BDE308686E3}" name="Column10136"/>
    <tableColumn id="10148" xr3:uid="{1812FB0B-52D3-422A-B82D-254E39A9821A}" name="Column10137"/>
    <tableColumn id="10149" xr3:uid="{8919651A-F53A-4F29-81C8-C9BC13E5B9DD}" name="Column10138"/>
    <tableColumn id="10150" xr3:uid="{AA43EFB3-C3DE-499A-B16F-DDD36D556D31}" name="Column10139"/>
    <tableColumn id="10151" xr3:uid="{B520575D-A528-4188-828B-4253E811FD75}" name="Column10140"/>
    <tableColumn id="10152" xr3:uid="{1135A5B4-1031-44BE-B0E4-2D47BCD967DD}" name="Column10141"/>
    <tableColumn id="10153" xr3:uid="{5A157180-F731-4036-9826-AC34FA877C3E}" name="Column10142"/>
    <tableColumn id="10154" xr3:uid="{8C6181B0-F7F8-4C4E-8D39-D9ED4542DE61}" name="Column10143"/>
    <tableColumn id="10155" xr3:uid="{9D9B9806-EC11-4264-AE86-CAD1E38FF193}" name="Column10144"/>
    <tableColumn id="10156" xr3:uid="{713D7A20-1E87-452D-B7D6-B8EE6F3F8484}" name="Column10145"/>
    <tableColumn id="10157" xr3:uid="{9418AE83-9F36-4C59-94C7-1B3546E8754D}" name="Column10146"/>
    <tableColumn id="10158" xr3:uid="{2B41FAB5-E4B7-471D-9A76-7C7B9DE7E054}" name="Column10147"/>
    <tableColumn id="10159" xr3:uid="{F8E9E34C-88AA-4CF0-9440-BB2E3C810CA8}" name="Column10148"/>
    <tableColumn id="10160" xr3:uid="{4B1C695F-7576-4F6B-B797-3C1416836DA3}" name="Column10149"/>
    <tableColumn id="10161" xr3:uid="{4C477F68-7280-4905-B30D-943C5D1D06CC}" name="Column10150"/>
    <tableColumn id="10162" xr3:uid="{63599599-62B7-4073-A392-B0064DF28216}" name="Column10151"/>
    <tableColumn id="10163" xr3:uid="{24A3E900-6B91-491A-9976-8E7E625F294E}" name="Column10152"/>
    <tableColumn id="10164" xr3:uid="{03FB337D-EB99-4AE7-9D5D-8CD98E03B4B0}" name="Column10153"/>
    <tableColumn id="10165" xr3:uid="{45D4A11C-DF9D-482C-B963-46E6656977A8}" name="Column10154"/>
    <tableColumn id="10166" xr3:uid="{69855C04-A482-43C2-9303-B9D3F3DC5D4F}" name="Column10155"/>
    <tableColumn id="10167" xr3:uid="{B5D82C2A-9E8D-4FE3-A5EE-4260B2DD5B60}" name="Column10156"/>
    <tableColumn id="10168" xr3:uid="{28E53D50-F061-44F0-B6E7-9BD89B0ED92C}" name="Column10157"/>
    <tableColumn id="10169" xr3:uid="{8A646FA3-501D-4845-B779-58B1FFC9D304}" name="Column10158"/>
    <tableColumn id="10170" xr3:uid="{515F3742-E926-4610-A51E-9001B931F528}" name="Column10159"/>
    <tableColumn id="10171" xr3:uid="{D0153DB9-F8D2-46BE-8FA2-1B16866C1C85}" name="Column10160"/>
    <tableColumn id="10172" xr3:uid="{3D6EBC84-FAA7-40DF-B4D9-8E92470FA709}" name="Column10161"/>
    <tableColumn id="10173" xr3:uid="{AA0170FF-365C-47A8-AF3B-0AFDF7E2E441}" name="Column10162"/>
    <tableColumn id="10174" xr3:uid="{918C54C0-5B4C-4572-A56E-8354CF58694A}" name="Column10163"/>
    <tableColumn id="10175" xr3:uid="{4430947C-FB41-4CED-999A-4456750F01CA}" name="Column10164"/>
    <tableColumn id="10176" xr3:uid="{A4759044-4148-4047-9DB4-6A91735D014E}" name="Column10165"/>
    <tableColumn id="10177" xr3:uid="{039A0D62-2F20-442D-91C4-49A29F346E72}" name="Column10166"/>
    <tableColumn id="10178" xr3:uid="{989A328C-6AB4-4149-AC33-403F5669BC32}" name="Column10167"/>
    <tableColumn id="10179" xr3:uid="{48D62AB0-2DC2-4530-9F9C-B4C6770A6E0A}" name="Column10168"/>
    <tableColumn id="10180" xr3:uid="{B493E123-AE56-454E-BFEE-71E74642CB34}" name="Column10169"/>
    <tableColumn id="10181" xr3:uid="{0FE1FF7E-AE82-41A9-AFB5-BB8DC6C09D7F}" name="Column10170"/>
    <tableColumn id="10182" xr3:uid="{31803A31-7E54-434D-9110-2B2E3A2AEA5E}" name="Column10171"/>
    <tableColumn id="10183" xr3:uid="{BE6A2746-621A-4202-8965-C3F715784B71}" name="Column10172"/>
    <tableColumn id="10184" xr3:uid="{4E47A673-ACD4-4CA8-BC1E-DB0C79754798}" name="Column10173"/>
    <tableColumn id="10185" xr3:uid="{797595D7-E7C1-4A53-B297-3A2B2408C84F}" name="Column10174"/>
    <tableColumn id="10186" xr3:uid="{5E0760E9-68F3-4EDF-81A7-EA216284EB27}" name="Column10175"/>
    <tableColumn id="10187" xr3:uid="{2E3F0866-D688-4D81-AF7A-869F528BDA12}" name="Column10176"/>
    <tableColumn id="10188" xr3:uid="{23800294-1262-4C2F-9F0D-82E2B2E9F05B}" name="Column10177"/>
    <tableColumn id="10189" xr3:uid="{9EF1A68E-51BC-4A34-A2C2-52E148FCD6B8}" name="Column10178"/>
    <tableColumn id="10190" xr3:uid="{B71368F0-32BA-41A7-85CC-1939E9D110E6}" name="Column10179"/>
    <tableColumn id="10191" xr3:uid="{D1CD7B83-CF71-4974-A600-CB90759EB117}" name="Column10180"/>
    <tableColumn id="10192" xr3:uid="{42D50192-8333-43CE-979F-2619263E6120}" name="Column10181"/>
    <tableColumn id="10193" xr3:uid="{E1C97514-F84B-4F79-885E-6DF85A1F9A56}" name="Column10182"/>
    <tableColumn id="10194" xr3:uid="{6FB33EA7-152D-4983-AFBF-F2741CB217DC}" name="Column10183"/>
    <tableColumn id="10195" xr3:uid="{302AB114-DDB6-4262-837A-56914AF4598E}" name="Column10184"/>
    <tableColumn id="10196" xr3:uid="{62EE2FC0-B00E-4564-8146-E0D28D82EEA1}" name="Column10185"/>
    <tableColumn id="10197" xr3:uid="{7278092F-054F-43D0-89EF-8620FEDD6B68}" name="Column10186"/>
    <tableColumn id="10198" xr3:uid="{2BB1917D-0EB5-4A11-98F3-61BA744CB7E9}" name="Column10187"/>
    <tableColumn id="10199" xr3:uid="{07047C8E-72A9-4CD0-AAE8-7ADD12F1CAC6}" name="Column10188"/>
    <tableColumn id="10200" xr3:uid="{9A5D5121-A7BB-41AC-9E81-B6BAF10FA986}" name="Column10189"/>
    <tableColumn id="10201" xr3:uid="{0AC443C7-7BE2-436E-81AB-106D8CEF6C7E}" name="Column10190"/>
    <tableColumn id="10202" xr3:uid="{4D76A69B-CFE2-4E74-9EE7-8B639F6B7A7D}" name="Column10191"/>
    <tableColumn id="10203" xr3:uid="{7BA9136A-6983-47AD-9E61-9BD0109BFE9A}" name="Column10192"/>
    <tableColumn id="10204" xr3:uid="{961A4B6C-11D0-4501-A583-F52FED316ADD}" name="Column10193"/>
    <tableColumn id="10205" xr3:uid="{937D9809-FB69-4B43-B392-099D9463453C}" name="Column10194"/>
    <tableColumn id="10206" xr3:uid="{98309222-3484-495E-B7F7-66B40EFF5D54}" name="Column10195"/>
    <tableColumn id="10207" xr3:uid="{39CE51DC-E5B3-4582-8F9E-0E0209FCCA59}" name="Column10196"/>
    <tableColumn id="10208" xr3:uid="{DAA8C687-AF5D-4B7D-93B1-77D6AB9CD97A}" name="Column10197"/>
    <tableColumn id="10209" xr3:uid="{62FDA2B4-C861-46CC-81C7-5F5C635B4CF4}" name="Column10198"/>
    <tableColumn id="10210" xr3:uid="{CC7437B7-C4D9-4D91-8732-79E18B9146FD}" name="Column10199"/>
    <tableColumn id="10211" xr3:uid="{04AE116B-25B6-4CE3-8AC1-ED451EC3BF76}" name="Column10200"/>
    <tableColumn id="10212" xr3:uid="{6D898C8F-AFA1-411F-AB31-97FF340C5403}" name="Column10201"/>
    <tableColumn id="10213" xr3:uid="{A774E647-5A4A-4553-A21C-4F311D5C5D0F}" name="Column10202"/>
    <tableColumn id="10214" xr3:uid="{BE8F55D9-5ACD-401A-A602-926724F3BEC8}" name="Column10203"/>
    <tableColumn id="10215" xr3:uid="{E231F674-EEA5-4A21-AE96-90CC097EABEE}" name="Column10204"/>
    <tableColumn id="10216" xr3:uid="{465158C6-573D-4B1E-BA1C-140E43E78F12}" name="Column10205"/>
    <tableColumn id="10217" xr3:uid="{D653085E-064C-42F5-8E54-F95023D1BDEF}" name="Column10206"/>
    <tableColumn id="10218" xr3:uid="{E6CCA5D8-30B1-4B09-8873-423DA7B3E736}" name="Column10207"/>
    <tableColumn id="10219" xr3:uid="{64D80C0E-1C60-4A7F-89AB-55EDE0E32B5D}" name="Column10208"/>
    <tableColumn id="10220" xr3:uid="{8A577D02-C0CA-4EA8-8DDB-716E28D40782}" name="Column10209"/>
    <tableColumn id="10221" xr3:uid="{3AF41C92-3248-4766-A5D1-0BC4544C2FD0}" name="Column10210"/>
    <tableColumn id="10222" xr3:uid="{502E3929-3CB1-420D-8BBF-6D9049BDEBA5}" name="Column10211"/>
    <tableColumn id="10223" xr3:uid="{7B034888-25AA-4502-9E4C-43129DB25AA8}" name="Column10212"/>
    <tableColumn id="10224" xr3:uid="{091B66A9-6F2D-4C26-8204-0296624E7653}" name="Column10213"/>
    <tableColumn id="10225" xr3:uid="{66A13DBA-C66B-4232-A533-F6B92C897EB9}" name="Column10214"/>
    <tableColumn id="10226" xr3:uid="{1EFFB447-2363-478D-8605-5B28BEEBDA67}" name="Column10215"/>
    <tableColumn id="10227" xr3:uid="{C114CC63-FDCE-45F4-8E61-B12D3DB38521}" name="Column10216"/>
    <tableColumn id="10228" xr3:uid="{3090A5AF-486D-4AC6-9A8C-C62E352BE0AD}" name="Column10217"/>
    <tableColumn id="10229" xr3:uid="{4901F45C-5431-4E74-9397-C654E5684F29}" name="Column10218"/>
    <tableColumn id="10230" xr3:uid="{BA7E8ED0-99E9-4EE8-9AD3-B78EAAD950BA}" name="Column10219"/>
    <tableColumn id="10231" xr3:uid="{4FF4A4D2-1606-4DB2-88B6-BC1C628FD4D2}" name="Column10220"/>
    <tableColumn id="10232" xr3:uid="{61886BDD-D8BC-4787-81F0-DA040CF0337D}" name="Column10221"/>
    <tableColumn id="10233" xr3:uid="{59288F88-6090-405D-BB2F-BCD7E6BD6D9A}" name="Column10222"/>
    <tableColumn id="10234" xr3:uid="{03E7D531-7BF6-4565-B658-D4189B2265CE}" name="Column10223"/>
    <tableColumn id="10235" xr3:uid="{6365AF31-632F-4A07-B3A3-C8FA61070618}" name="Column10224"/>
    <tableColumn id="10236" xr3:uid="{5D17C09B-5E54-41FD-AA10-5A1E84ACA351}" name="Column10225"/>
    <tableColumn id="10237" xr3:uid="{78F7F51F-AFEE-4467-8036-2035C18A7D4D}" name="Column10226"/>
    <tableColumn id="10238" xr3:uid="{19D567E8-40C3-4BF5-A689-3B7839990824}" name="Column10227"/>
    <tableColumn id="10239" xr3:uid="{FA7D9E31-D464-4B62-9A7A-A9251CD09D1E}" name="Column10228"/>
    <tableColumn id="10240" xr3:uid="{95D57555-A3CA-49B0-B37E-D5780CAC1E5E}" name="Column10229"/>
    <tableColumn id="10241" xr3:uid="{F7F7B107-F761-43B6-B3A0-B1A4685207C6}" name="Column10230"/>
    <tableColumn id="10242" xr3:uid="{28CD1037-844C-47BB-8EC8-A68ADBC10A10}" name="Column10231"/>
    <tableColumn id="10243" xr3:uid="{79843C69-CF4C-407F-ACA7-74EE29F72ACF}" name="Column10232"/>
    <tableColumn id="10244" xr3:uid="{DC394111-D760-4C54-9201-3AEBEA9DF06E}" name="Column10233"/>
    <tableColumn id="10245" xr3:uid="{C756ECA2-DEDE-4E0E-BE1F-328F04EBC2CD}" name="Column10234"/>
    <tableColumn id="10246" xr3:uid="{F871F58C-930F-47BA-9112-1CCFC6CCA088}" name="Column10235"/>
    <tableColumn id="10247" xr3:uid="{6B63E18C-D2F0-4735-832D-534A135EC2BD}" name="Column10236"/>
    <tableColumn id="10248" xr3:uid="{0ABF840D-7042-4E46-A026-CB1831203AD0}" name="Column10237"/>
    <tableColumn id="10249" xr3:uid="{08194191-7513-41B3-A1E9-CD1515A2CF60}" name="Column10238"/>
    <tableColumn id="10250" xr3:uid="{1F080EBD-6BF1-4074-85B1-6233DED7FAEC}" name="Column10239"/>
    <tableColumn id="10251" xr3:uid="{68ABEAAC-2D83-4E0E-A72D-7A994E0E8D6F}" name="Column10240"/>
    <tableColumn id="10252" xr3:uid="{247F01F6-8A11-433F-A651-4686C71C35C7}" name="Column10241"/>
    <tableColumn id="10253" xr3:uid="{34649966-487C-42AF-AD6B-94DF75F32C1F}" name="Column10242"/>
    <tableColumn id="10254" xr3:uid="{EA7D2C08-22B1-49CE-8188-DFB847EF7DCB}" name="Column10243"/>
    <tableColumn id="10255" xr3:uid="{7DA92D9A-BE69-4208-8F90-314FD951306E}" name="Column10244"/>
    <tableColumn id="10256" xr3:uid="{832281AE-0D17-4F28-A397-6293087991A0}" name="Column10245"/>
    <tableColumn id="10257" xr3:uid="{BF790136-07AC-4A95-809B-E7C3C4D97162}" name="Column10246"/>
    <tableColumn id="10258" xr3:uid="{E5828917-2FBA-4B0E-9DC3-4EAD36EF7A45}" name="Column10247"/>
    <tableColumn id="10259" xr3:uid="{F32DF745-18EA-4C65-ACBF-E6086CED44AF}" name="Column10248"/>
    <tableColumn id="10260" xr3:uid="{F7BE2BD0-397A-41D2-833C-E20BFF5E41C4}" name="Column10249"/>
    <tableColumn id="10261" xr3:uid="{E626557D-0C4A-47AC-9243-F6DD700B463A}" name="Column10250"/>
    <tableColumn id="10262" xr3:uid="{C4AC2DED-D527-4319-8B54-A66E10C7903E}" name="Column10251"/>
    <tableColumn id="10263" xr3:uid="{6B6CF8A6-A29A-49A0-A577-7612E236A2AD}" name="Column10252"/>
    <tableColumn id="10264" xr3:uid="{FDC0A726-4045-4F75-B967-7EF34FA2DCDD}" name="Column10253"/>
    <tableColumn id="10265" xr3:uid="{02F05723-C356-4586-99A4-5FAAD1E6B8D6}" name="Column10254"/>
    <tableColumn id="10266" xr3:uid="{C09FA607-1159-4CE3-937B-7E6EB5CA1D07}" name="Column10255"/>
    <tableColumn id="10267" xr3:uid="{F1BF09AD-913F-440E-839E-C99F0CBDD693}" name="Column10256"/>
    <tableColumn id="10268" xr3:uid="{5A5A51E6-58A5-406C-856A-CD0CE007886F}" name="Column10257"/>
    <tableColumn id="10269" xr3:uid="{B5ECFDF1-5C8C-4170-8B78-63D306BC7699}" name="Column10258"/>
    <tableColumn id="10270" xr3:uid="{9816A308-4266-48FC-85A2-9D51E1C36F1E}" name="Column10259"/>
    <tableColumn id="10271" xr3:uid="{BEF30238-6E4A-4F8D-996B-DF7ACF4C42A1}" name="Column10260"/>
    <tableColumn id="10272" xr3:uid="{6DF85DDD-2277-4E28-9E9F-90553D18326A}" name="Column10261"/>
    <tableColumn id="10273" xr3:uid="{4B9A8FB8-9C90-4D52-A82E-BD518344582A}" name="Column10262"/>
    <tableColumn id="10274" xr3:uid="{F7AB203A-BED9-4E63-B457-CDA0DA21846B}" name="Column10263"/>
    <tableColumn id="10275" xr3:uid="{C99E2932-3DF3-4BF2-908D-6FEE29DBC976}" name="Column10264"/>
    <tableColumn id="10276" xr3:uid="{BCB0FA91-9FD9-47E2-94C0-68AAC323744B}" name="Column10265"/>
    <tableColumn id="10277" xr3:uid="{32E1BD3C-05E1-4FAB-A4F9-565FEE19A2DC}" name="Column10266"/>
    <tableColumn id="10278" xr3:uid="{4613BA62-1244-46BA-8433-8AB4799FB423}" name="Column10267"/>
    <tableColumn id="10279" xr3:uid="{42A3BD90-889B-4BFC-B5AC-D93A6F039630}" name="Column10268"/>
    <tableColumn id="10280" xr3:uid="{1278FA5D-85F6-421E-95B6-81BC2908CCCC}" name="Column10269"/>
    <tableColumn id="10281" xr3:uid="{5F86BCCA-2D8F-4B2B-ABF9-7A5590FB8950}" name="Column10270"/>
    <tableColumn id="10282" xr3:uid="{64BE1A99-4185-4EC5-9218-517F7125F9DF}" name="Column10271"/>
    <tableColumn id="10283" xr3:uid="{0E6B4609-363E-47DE-9276-AD1D4CECC4D2}" name="Column10272"/>
    <tableColumn id="10284" xr3:uid="{B6974BE7-D0E5-4443-BCA8-140FBCB11009}" name="Column10273"/>
    <tableColumn id="10285" xr3:uid="{B3D06B27-0466-4BE3-A8BE-C9D88ADC9307}" name="Column10274"/>
    <tableColumn id="10286" xr3:uid="{80A97DDE-77CB-49C5-B73E-E7E9F9FDC156}" name="Column10275"/>
    <tableColumn id="10287" xr3:uid="{5B61ED5F-1CFC-4DA6-BF4C-3E72CCACEA66}" name="Column10276"/>
    <tableColumn id="10288" xr3:uid="{EA014663-1D04-462A-BCE1-8F2CFC82AD31}" name="Column10277"/>
    <tableColumn id="10289" xr3:uid="{83770329-C943-479A-B7E4-24F010A22D1B}" name="Column10278"/>
    <tableColumn id="10290" xr3:uid="{C8F075B3-D42C-4907-A643-7B1BCB3A5EE7}" name="Column10279"/>
    <tableColumn id="10291" xr3:uid="{4D39221C-811D-4079-8E2E-0DE55EF1A522}" name="Column10280"/>
    <tableColumn id="10292" xr3:uid="{EFDBBF4B-C715-4EEF-81D7-7D65D31CD148}" name="Column10281"/>
    <tableColumn id="10293" xr3:uid="{8931338D-E0C6-4EA3-A45E-9956A9AE0C51}" name="Column10282"/>
    <tableColumn id="10294" xr3:uid="{FE0303F6-F4A3-4174-922F-8284FFA5C9F9}" name="Column10283"/>
    <tableColumn id="10295" xr3:uid="{D5885ADD-78D7-4328-84C4-D5E81B2AD76F}" name="Column10284"/>
    <tableColumn id="10296" xr3:uid="{30F9E909-F65A-4998-9E95-1B8C6DD83412}" name="Column10285"/>
    <tableColumn id="10297" xr3:uid="{0A59CC28-4239-4014-957A-E5AF6B7CBDC6}" name="Column10286"/>
    <tableColumn id="10298" xr3:uid="{9B6BDBD0-A4ED-4DEF-BFBF-05ED4643F8CF}" name="Column10287"/>
    <tableColumn id="10299" xr3:uid="{A1E87861-7692-477D-8CE4-3E1CFE1013E5}" name="Column10288"/>
    <tableColumn id="10300" xr3:uid="{7273FDC2-F5FA-47B2-8D76-79A2926D71F3}" name="Column10289"/>
    <tableColumn id="10301" xr3:uid="{A34C914E-B645-4B01-994B-083A1FE096CA}" name="Column10290"/>
    <tableColumn id="10302" xr3:uid="{8B673C1D-63E7-449C-AA33-32CE99B21E8D}" name="Column10291"/>
    <tableColumn id="10303" xr3:uid="{10C13349-8A59-4EFD-BAA6-1A409F40196C}" name="Column10292"/>
    <tableColumn id="10304" xr3:uid="{C03695C7-6DB0-4E22-8CD4-FC66D9F4BB8C}" name="Column10293"/>
    <tableColumn id="10305" xr3:uid="{C7C4E627-F0CA-4ADB-B652-4709A524415C}" name="Column10294"/>
    <tableColumn id="10306" xr3:uid="{9108A50D-E979-4DDC-822E-CD71432EE376}" name="Column10295"/>
    <tableColumn id="10307" xr3:uid="{5C01115A-30D0-4185-84ED-5858410B2B16}" name="Column10296"/>
    <tableColumn id="10308" xr3:uid="{83127533-6346-43E0-853E-DCEFBA5BFC6F}" name="Column10297"/>
    <tableColumn id="10309" xr3:uid="{A1A45216-18D4-4B16-9E56-2943099C359F}" name="Column10298"/>
    <tableColumn id="10310" xr3:uid="{2B99D907-3460-4625-8335-EE114FF90EEE}" name="Column10299"/>
    <tableColumn id="10311" xr3:uid="{298597A1-30C1-43E9-B9C4-9E1309D470DF}" name="Column10300"/>
    <tableColumn id="10312" xr3:uid="{BBBB5222-2765-4FAB-BADB-BBC74EF0A7EE}" name="Column10301"/>
    <tableColumn id="10313" xr3:uid="{4BF725C0-E4B0-46B7-A67E-E3FEB9CB6581}" name="Column10302"/>
    <tableColumn id="10314" xr3:uid="{A5356311-7CFC-4AB8-AF2D-192E6A25F2FC}" name="Column10303"/>
    <tableColumn id="10315" xr3:uid="{5717F43A-DFE4-4E3A-81BA-09F71B314782}" name="Column10304"/>
    <tableColumn id="10316" xr3:uid="{F148DCEA-B2B7-46EA-944F-C17B74C47C23}" name="Column10305"/>
    <tableColumn id="10317" xr3:uid="{A24413E2-CA1C-484F-A13D-E1526296639C}" name="Column10306"/>
    <tableColumn id="10318" xr3:uid="{89AABFAB-D3BC-4457-A43D-0B6A116585E8}" name="Column10307"/>
    <tableColumn id="10319" xr3:uid="{4CD11598-73DE-4110-9BA2-59CA30D1208E}" name="Column10308"/>
    <tableColumn id="10320" xr3:uid="{97902844-CCFE-4611-AD24-893C9969D458}" name="Column10309"/>
    <tableColumn id="10321" xr3:uid="{40133667-A5B4-467E-AE39-436159B35745}" name="Column10310"/>
    <tableColumn id="10322" xr3:uid="{B1F043DF-493E-4263-8F7F-BF1FFFFFF013}" name="Column10311"/>
    <tableColumn id="10323" xr3:uid="{5FF60A1C-CD9D-4B17-B5EB-C8E4308A71F3}" name="Column10312"/>
    <tableColumn id="10324" xr3:uid="{C3C079E1-DE56-4516-B586-EB344C03E4C4}" name="Column10313"/>
    <tableColumn id="10325" xr3:uid="{87115D5F-4F1B-4F7E-8D33-1D31182A2B39}" name="Column10314"/>
    <tableColumn id="10326" xr3:uid="{A3C78850-AB33-4E3C-9081-0F1D805F6B45}" name="Column10315"/>
    <tableColumn id="10327" xr3:uid="{4AAA0055-A874-40BA-9D9C-86A58031BA26}" name="Column10316"/>
    <tableColumn id="10328" xr3:uid="{BC753214-E67C-443E-9224-038E06DED8FA}" name="Column10317"/>
    <tableColumn id="10329" xr3:uid="{06B9D5B0-2E08-4F8D-9FCD-856EBF823C04}" name="Column10318"/>
    <tableColumn id="10330" xr3:uid="{2A79D7EC-6486-4A78-B77F-1CBBC6E3ADF2}" name="Column10319"/>
    <tableColumn id="10331" xr3:uid="{DA1ED616-44AF-4DB0-B3CB-98EE168A7F1E}" name="Column10320"/>
    <tableColumn id="10332" xr3:uid="{BEB8790C-121C-4FE4-BC80-265541FE43CA}" name="Column10321"/>
    <tableColumn id="10333" xr3:uid="{C6F71EBF-EA44-497E-A562-4587603FC907}" name="Column10322"/>
    <tableColumn id="10334" xr3:uid="{D8F85950-2C25-4E38-B9A4-C46A46687D82}" name="Column10323"/>
    <tableColumn id="10335" xr3:uid="{4286B483-A6FB-418D-B697-C04EAA1F418E}" name="Column10324"/>
    <tableColumn id="10336" xr3:uid="{58F08108-950E-40E8-9BE7-D19427FBF5A2}" name="Column10325"/>
    <tableColumn id="10337" xr3:uid="{5316C9FA-1829-4BEC-8C8C-87AB92D6BD34}" name="Column10326"/>
    <tableColumn id="10338" xr3:uid="{F76A11C6-0121-4691-8D11-696B83324E4C}" name="Column10327"/>
    <tableColumn id="10339" xr3:uid="{DB3AFF2E-D5B8-4919-9E74-230ED3B3079E}" name="Column10328"/>
    <tableColumn id="10340" xr3:uid="{B4492BFA-D553-48F0-9D4E-C42567DF7C86}" name="Column10329"/>
    <tableColumn id="10341" xr3:uid="{D5FE6B64-F149-4D0B-9A56-6E13BBB7CE87}" name="Column10330"/>
    <tableColumn id="10342" xr3:uid="{79F8B98A-348D-43A9-9C30-960F258E377A}" name="Column10331"/>
    <tableColumn id="10343" xr3:uid="{91224EBD-4B3C-4E89-B744-23331C4E8E43}" name="Column10332"/>
    <tableColumn id="10344" xr3:uid="{98032F63-A7D1-45E1-B3DF-11FA6CFE436B}" name="Column10333"/>
    <tableColumn id="10345" xr3:uid="{0788A405-3FF7-41A5-BFF3-47B891ACD99A}" name="Column10334"/>
    <tableColumn id="10346" xr3:uid="{E11A6C35-C193-4A61-956A-C48614E2D1A4}" name="Column10335"/>
    <tableColumn id="10347" xr3:uid="{BDD76B50-3117-424A-A5DA-A32CE597B9B3}" name="Column10336"/>
    <tableColumn id="10348" xr3:uid="{8A3F0C9E-5F16-4D19-9C93-B0902F052127}" name="Column10337"/>
    <tableColumn id="10349" xr3:uid="{A951E874-645D-49E7-A237-056AC4C3363E}" name="Column10338"/>
    <tableColumn id="10350" xr3:uid="{B8D74615-FFC1-46E8-A889-9B047C9B6D48}" name="Column10339"/>
    <tableColumn id="10351" xr3:uid="{84C06EFF-3478-4705-9355-2688378B2F2F}" name="Column10340"/>
    <tableColumn id="10352" xr3:uid="{FC6F59D4-A3D4-49AA-BE75-7BC291ABCCF4}" name="Column10341"/>
    <tableColumn id="10353" xr3:uid="{899B226D-D9B4-4389-AC8A-8F504B4E6DC8}" name="Column10342"/>
    <tableColumn id="10354" xr3:uid="{7A4B8491-C87C-4D37-8FC4-CA8A0264D6D9}" name="Column10343"/>
    <tableColumn id="10355" xr3:uid="{5B260B62-D9E9-499B-B6EE-25DA31E67BA9}" name="Column10344"/>
    <tableColumn id="10356" xr3:uid="{C0F18534-E22B-4517-8B42-EA4B1D22AD95}" name="Column10345"/>
    <tableColumn id="10357" xr3:uid="{0D7AB3FE-50E4-48C7-8FC7-C111A416EE37}" name="Column10346"/>
    <tableColumn id="10358" xr3:uid="{D69989BD-655B-4CCD-9489-78DD371E6AC0}" name="Column10347"/>
    <tableColumn id="10359" xr3:uid="{3B5DF640-5588-438D-9FEA-DABC248217E8}" name="Column10348"/>
    <tableColumn id="10360" xr3:uid="{09C7CE23-3463-4968-8AFA-3C23C95D2B0C}" name="Column10349"/>
    <tableColumn id="10361" xr3:uid="{C8237CE8-3FFB-4684-977E-4DCFB55589C7}" name="Column10350"/>
    <tableColumn id="10362" xr3:uid="{FA36E26B-97B8-4D02-B449-6FB8D433F1BF}" name="Column10351"/>
    <tableColumn id="10363" xr3:uid="{AD15281A-712F-4FF1-A8E0-415895B93073}" name="Column10352"/>
    <tableColumn id="10364" xr3:uid="{7ACEC704-24DF-4A5A-9D26-797B17193721}" name="Column10353"/>
    <tableColumn id="10365" xr3:uid="{4F167078-542F-4C2F-819C-85F36CA74DC8}" name="Column10354"/>
    <tableColumn id="10366" xr3:uid="{4B7033A9-9889-4BF6-B03D-614373CF5171}" name="Column10355"/>
    <tableColumn id="10367" xr3:uid="{B7E6146A-5E3C-4BAD-8309-4A81872F5E71}" name="Column10356"/>
    <tableColumn id="10368" xr3:uid="{7915D491-B389-4041-9F8E-DD9849793AC9}" name="Column10357"/>
    <tableColumn id="10369" xr3:uid="{4E9EFBDE-B0E5-43EE-BAC6-9D50FF6DBB43}" name="Column10358"/>
    <tableColumn id="10370" xr3:uid="{9F254486-A308-42E9-9DF9-03C13020EE42}" name="Column10359"/>
    <tableColumn id="10371" xr3:uid="{0889959C-67A9-472B-A395-9DD6E50545C6}" name="Column10360"/>
    <tableColumn id="10372" xr3:uid="{46E6A469-A8B4-4E32-B0EF-DBA4CDD87320}" name="Column10361"/>
    <tableColumn id="10373" xr3:uid="{C19C6598-28B1-42CB-A1C4-564CD20DDFE6}" name="Column10362"/>
    <tableColumn id="10374" xr3:uid="{2DF3F74B-313A-4FBC-ADE5-AC16C0CC9117}" name="Column10363"/>
    <tableColumn id="10375" xr3:uid="{9FA45E6A-4370-4404-814C-CA0602C72146}" name="Column10364"/>
    <tableColumn id="10376" xr3:uid="{4B757179-D5CE-483F-BF2E-E40C5529D868}" name="Column10365"/>
    <tableColumn id="10377" xr3:uid="{DBEEA7CD-B34F-4FD2-8469-4F710211AB83}" name="Column10366"/>
    <tableColumn id="10378" xr3:uid="{ADF38D36-C1CE-47C2-9A86-7BE0357CF836}" name="Column10367"/>
    <tableColumn id="10379" xr3:uid="{B698C01B-A929-44B1-BBAF-4296C3CE0D9F}" name="Column10368"/>
    <tableColumn id="10380" xr3:uid="{B2B6E9E0-E35B-486F-8BAB-C3A546432F0B}" name="Column10369"/>
    <tableColumn id="10381" xr3:uid="{63B29BF5-DA82-4752-9467-9596B681A0B7}" name="Column10370"/>
    <tableColumn id="10382" xr3:uid="{537A9567-E937-4A1F-8438-9D25921F1F4A}" name="Column10371"/>
    <tableColumn id="10383" xr3:uid="{AAE0F7D8-2CFE-41B6-876E-5ECB528BC155}" name="Column10372"/>
    <tableColumn id="10384" xr3:uid="{C0C9BA5F-0016-41B4-9354-8278433549E3}" name="Column10373"/>
    <tableColumn id="10385" xr3:uid="{57589C2B-506C-49D1-99D3-D6A00CBB3EC1}" name="Column10374"/>
    <tableColumn id="10386" xr3:uid="{6AFAB272-F856-4036-9AC0-C95EFC5D6A96}" name="Column10375"/>
    <tableColumn id="10387" xr3:uid="{E268E803-7160-45F9-B6E3-28EDE97222D9}" name="Column10376"/>
    <tableColumn id="10388" xr3:uid="{E1FF94E7-80B8-42FA-9F38-FD5766447459}" name="Column10377"/>
    <tableColumn id="10389" xr3:uid="{CE94247C-DD54-4713-9E81-1B0229FF385D}" name="Column10378"/>
    <tableColumn id="10390" xr3:uid="{6809410E-0FCE-4F58-B5AD-B78611B10358}" name="Column10379"/>
    <tableColumn id="10391" xr3:uid="{BC90BC49-0AA7-4E16-9E6B-BEB8762B19F1}" name="Column10380"/>
    <tableColumn id="10392" xr3:uid="{C6BB4692-DFEF-4C08-880F-146E35AB49B9}" name="Column10381"/>
    <tableColumn id="10393" xr3:uid="{5DAEA023-3933-47B2-9C27-83D4A0853155}" name="Column10382"/>
    <tableColumn id="10394" xr3:uid="{7ED3DC68-58FE-45A7-8375-D1AD08A9E478}" name="Column10383"/>
    <tableColumn id="10395" xr3:uid="{92331D62-331D-48AF-925D-0802465CDDC2}" name="Column10384"/>
    <tableColumn id="10396" xr3:uid="{EF612D9B-DF36-48C8-8550-A395003EA14A}" name="Column10385"/>
    <tableColumn id="10397" xr3:uid="{5C42401D-9BA0-459D-9786-9FCC4BFEAA33}" name="Column10386"/>
    <tableColumn id="10398" xr3:uid="{E6511577-FB23-43C6-ABFB-D2C6AE6D5B23}" name="Column10387"/>
    <tableColumn id="10399" xr3:uid="{AA5969A9-6E58-482C-B832-70811625D3F5}" name="Column10388"/>
    <tableColumn id="10400" xr3:uid="{9D07CA04-69DF-41BC-A4A4-05B8F3530C0A}" name="Column10389"/>
    <tableColumn id="10401" xr3:uid="{F2BB4F1F-E379-48D9-833F-B93597ADE535}" name="Column10390"/>
    <tableColumn id="10402" xr3:uid="{D2E461A2-94C8-46B3-9635-FDB672B67B76}" name="Column10391"/>
    <tableColumn id="10403" xr3:uid="{98813205-A05E-4438-83F1-C654FAC92861}" name="Column10392"/>
    <tableColumn id="10404" xr3:uid="{D0C0EE3D-DDD4-44CF-A526-B093483C63B1}" name="Column10393"/>
    <tableColumn id="10405" xr3:uid="{91E74324-F2D2-4543-9835-DFA01AB3AF78}" name="Column10394"/>
    <tableColumn id="10406" xr3:uid="{41FDDE0A-24C8-4CD0-BAEA-48566E1A263D}" name="Column10395"/>
    <tableColumn id="10407" xr3:uid="{3CB5A25F-47C9-4AB0-9670-2A779BB4DEAA}" name="Column10396"/>
    <tableColumn id="10408" xr3:uid="{BA4E3F7C-4A6D-4670-827B-F39F2E84D4C1}" name="Column10397"/>
    <tableColumn id="10409" xr3:uid="{187FBA0E-8634-4222-8ECE-9C976AC9855D}" name="Column10398"/>
    <tableColumn id="10410" xr3:uid="{51A7AF5C-5A39-4F0A-9466-5050147520B4}" name="Column10399"/>
    <tableColumn id="10411" xr3:uid="{A4621AAE-59A7-4589-9DE2-BDA34FECFB62}" name="Column10400"/>
    <tableColumn id="10412" xr3:uid="{B65D4EDF-2B20-4040-8044-C58F771F95D8}" name="Column10401"/>
    <tableColumn id="10413" xr3:uid="{C3BCF8A1-2044-447E-A278-D791BA139BC2}" name="Column10402"/>
    <tableColumn id="10414" xr3:uid="{73C1E061-3F3D-46CC-8501-947C3071E025}" name="Column10403"/>
    <tableColumn id="10415" xr3:uid="{B6F6DBFD-03BA-4238-B39F-252BF24F5E53}" name="Column10404"/>
    <tableColumn id="10416" xr3:uid="{AD524E96-72D6-40AD-A772-E189C32DAD19}" name="Column10405"/>
    <tableColumn id="10417" xr3:uid="{1B53811E-B00F-4EE8-A1D4-C518BDC21F3D}" name="Column10406"/>
    <tableColumn id="10418" xr3:uid="{62486FF2-03D4-42EA-90A0-9A8C5A642C70}" name="Column10407"/>
    <tableColumn id="10419" xr3:uid="{84DEA94D-1ED5-426F-9D03-4311C5CDBD71}" name="Column10408"/>
    <tableColumn id="10420" xr3:uid="{EDC1EB77-98AF-4D90-9653-E7FE1BA8753C}" name="Column10409"/>
    <tableColumn id="10421" xr3:uid="{0A9F42CB-794C-45E3-938F-55D432F463F0}" name="Column10410"/>
    <tableColumn id="10422" xr3:uid="{B297765F-7CE1-4982-80A0-641F2C1058DF}" name="Column10411"/>
    <tableColumn id="10423" xr3:uid="{601D29BA-2AEB-4642-9084-4A9D14F6B817}" name="Column10412"/>
    <tableColumn id="10424" xr3:uid="{E38AA5A5-6FA7-4027-B6A0-95E0307FAD7D}" name="Column10413"/>
    <tableColumn id="10425" xr3:uid="{EE120251-4E8B-4889-9EA9-00BC5C391683}" name="Column10414"/>
    <tableColumn id="10426" xr3:uid="{69B73745-ECAE-444C-94FB-197409E6FDF3}" name="Column10415"/>
    <tableColumn id="10427" xr3:uid="{656BCA0B-7B9F-4C78-8ECB-5CCEC5EC83E5}" name="Column10416"/>
    <tableColumn id="10428" xr3:uid="{597D7CBC-E872-44B6-9B98-C433F85344F4}" name="Column10417"/>
    <tableColumn id="10429" xr3:uid="{F23118F3-99FF-4C88-9D50-E4A7FA0E4A17}" name="Column10418"/>
    <tableColumn id="10430" xr3:uid="{B9DD06FB-604F-4289-A10F-4733BC04A854}" name="Column10419"/>
    <tableColumn id="10431" xr3:uid="{FFBDB63A-24D7-4EF1-97A8-A37DEC520082}" name="Column10420"/>
    <tableColumn id="10432" xr3:uid="{561C3C5E-C353-46FC-8E89-78F32117B6B3}" name="Column10421"/>
    <tableColumn id="10433" xr3:uid="{6A3A46F2-23E5-4D15-BA41-5F54FD582B15}" name="Column10422"/>
    <tableColumn id="10434" xr3:uid="{52C77E27-8FDB-4094-A4AA-DBD208249063}" name="Column10423"/>
    <tableColumn id="10435" xr3:uid="{4BE4172F-1A6E-4283-BC4E-7BE389485384}" name="Column10424"/>
    <tableColumn id="10436" xr3:uid="{E9315C53-BEF6-40C4-A8D1-024ED126C2AA}" name="Column10425"/>
    <tableColumn id="10437" xr3:uid="{471EC1C9-FA4E-4EC0-A119-6FF13C3AED0C}" name="Column10426"/>
    <tableColumn id="10438" xr3:uid="{86085A30-A232-4C88-9955-133F8367B23D}" name="Column10427"/>
    <tableColumn id="10439" xr3:uid="{914B4B00-A251-483A-8317-64FDE7A7FBD7}" name="Column10428"/>
    <tableColumn id="10440" xr3:uid="{D83A5F4E-88C0-4578-BBCA-BD1D0CC4B854}" name="Column10429"/>
    <tableColumn id="10441" xr3:uid="{37561620-DDDF-4494-BF9A-34350A725091}" name="Column10430"/>
    <tableColumn id="10442" xr3:uid="{04D6F880-CBE0-4720-B917-A9980D37FD20}" name="Column10431"/>
    <tableColumn id="10443" xr3:uid="{8204C691-818F-4B2A-BCB0-C41DBFCE43C0}" name="Column10432"/>
    <tableColumn id="10444" xr3:uid="{6675BADA-F10B-4985-B511-2888BA9FE5CE}" name="Column10433"/>
    <tableColumn id="10445" xr3:uid="{ECB4BBC3-7860-46A4-AB27-C6AF0DB40019}" name="Column10434"/>
    <tableColumn id="10446" xr3:uid="{C03DCD75-4AFE-4BD9-9651-27D7C6D4B2E6}" name="Column10435"/>
    <tableColumn id="10447" xr3:uid="{0B49C7FB-E683-44E3-83FE-ADCF8F08EEC9}" name="Column10436"/>
    <tableColumn id="10448" xr3:uid="{ACD1134B-471B-4597-8C5B-7B194C4C6328}" name="Column10437"/>
    <tableColumn id="10449" xr3:uid="{83D7EB42-CFE1-490E-8A5D-F2708B8F3238}" name="Column10438"/>
    <tableColumn id="10450" xr3:uid="{D99DE6EF-17F0-4E4C-8F34-01DDC5979EB5}" name="Column10439"/>
    <tableColumn id="10451" xr3:uid="{76523509-1B5B-411E-AB29-DA9530ACA430}" name="Column10440"/>
    <tableColumn id="10452" xr3:uid="{7D0E9394-F71C-4B67-9D15-8CD890E5A074}" name="Column10441"/>
    <tableColumn id="10453" xr3:uid="{3FECFE1B-692B-4F05-9ACD-6B251625BC06}" name="Column10442"/>
    <tableColumn id="10454" xr3:uid="{C2EEA11E-1992-4D90-BC5E-E26A43FD2A9A}" name="Column10443"/>
    <tableColumn id="10455" xr3:uid="{7D6A0AC5-A312-4F70-AA74-3FB6CD88351A}" name="Column10444"/>
    <tableColumn id="10456" xr3:uid="{8C843133-1FCB-4E12-948B-0D6F0EE6EDDF}" name="Column10445"/>
    <tableColumn id="10457" xr3:uid="{9E6B5284-983D-4534-8574-D03EDC1DC61A}" name="Column10446"/>
    <tableColumn id="10458" xr3:uid="{C10224AF-A18C-4B70-B5E4-6D37E9C81C93}" name="Column10447"/>
    <tableColumn id="10459" xr3:uid="{307300BB-69A9-49CD-A2BE-9A75EFE506C5}" name="Column10448"/>
    <tableColumn id="10460" xr3:uid="{A5159A28-DF17-4A02-92B6-85B2C163F00C}" name="Column10449"/>
    <tableColumn id="10461" xr3:uid="{18A4D30E-9DA0-4229-A4EF-FDE81271EC52}" name="Column10450"/>
    <tableColumn id="10462" xr3:uid="{A536D5F5-173E-447D-B130-062BFF7BAD1B}" name="Column10451"/>
    <tableColumn id="10463" xr3:uid="{7884093D-26E3-499B-8CF2-B48657BE99BF}" name="Column10452"/>
    <tableColumn id="10464" xr3:uid="{E6B477A3-E60B-4517-B84D-4C137AA2109B}" name="Column10453"/>
    <tableColumn id="10465" xr3:uid="{1FAF7343-A7DA-4F43-B1A9-F9B46FD834F5}" name="Column10454"/>
    <tableColumn id="10466" xr3:uid="{1795A6CA-F66A-49E3-9ECC-D6A5FE3663B1}" name="Column10455"/>
    <tableColumn id="10467" xr3:uid="{F66AC9F2-EF0B-4A61-A3B8-B5B9DF629F34}" name="Column10456"/>
    <tableColumn id="10468" xr3:uid="{F2F730E7-63E0-4D51-81D3-F78A8035D9C0}" name="Column10457"/>
    <tableColumn id="10469" xr3:uid="{6A2DA524-20D9-48A1-913B-EA6B6A460C11}" name="Column10458"/>
    <tableColumn id="10470" xr3:uid="{B2DD619D-D113-472D-B317-2CFCD2C7718D}" name="Column10459"/>
    <tableColumn id="10471" xr3:uid="{61D6F508-CF7A-4088-BAC6-909AF2E00013}" name="Column10460"/>
    <tableColumn id="10472" xr3:uid="{560D8928-2D7F-40F3-8B40-09DD0507D135}" name="Column10461"/>
    <tableColumn id="10473" xr3:uid="{0A1F19FA-78B9-4459-B5A1-759C3BE65CED}" name="Column10462"/>
    <tableColumn id="10474" xr3:uid="{C96427B0-860C-4E05-BC54-E3BEDA2C8D48}" name="Column10463"/>
    <tableColumn id="10475" xr3:uid="{65F3DBF4-A78B-4E99-9FBF-10505D67256C}" name="Column10464"/>
    <tableColumn id="10476" xr3:uid="{54185A89-A565-4B1C-AADF-AE47120AF0F1}" name="Column10465"/>
    <tableColumn id="10477" xr3:uid="{6CD73051-BB6B-435F-975E-72AE7F5C2590}" name="Column10466"/>
    <tableColumn id="10478" xr3:uid="{7D24AF2F-7CEA-416C-B2FC-8ACB985D5C40}" name="Column10467"/>
    <tableColumn id="10479" xr3:uid="{E9D870C4-ABAA-46FD-92E6-2D3C134EC4CD}" name="Column10468"/>
    <tableColumn id="10480" xr3:uid="{1F808D49-C91C-4D8D-9E5F-6FD119C8E5D7}" name="Column10469"/>
    <tableColumn id="10481" xr3:uid="{4FBD8688-F093-44D7-BD2A-FE0AFBA147CC}" name="Column10470"/>
    <tableColumn id="10482" xr3:uid="{B9369B0E-A59B-44E2-9B92-EC1CC2D79940}" name="Column10471"/>
    <tableColumn id="10483" xr3:uid="{DEB6F390-704E-4EA5-A40F-A2CFC9BE7F27}" name="Column10472"/>
    <tableColumn id="10484" xr3:uid="{C2B16820-53BB-4373-B69F-6766AEE5DBE7}" name="Column10473"/>
    <tableColumn id="10485" xr3:uid="{7CAC7B64-3995-40B1-9742-8A1DD4D14F8B}" name="Column10474"/>
    <tableColumn id="10486" xr3:uid="{4DCAA3EB-1C4C-490F-B538-D967E64B60B6}" name="Column10475"/>
    <tableColumn id="10487" xr3:uid="{D32409B0-DE18-44E2-B580-843038CC2F68}" name="Column10476"/>
    <tableColumn id="10488" xr3:uid="{12EA903F-73EE-4332-B258-0E07C9C08958}" name="Column10477"/>
    <tableColumn id="10489" xr3:uid="{E1C23544-3707-4E40-B914-01F8C8F82F74}" name="Column10478"/>
    <tableColumn id="10490" xr3:uid="{B9F70905-8143-49EF-873A-B27159E12B4A}" name="Column10479"/>
    <tableColumn id="10491" xr3:uid="{FA88DBB9-D31E-4CEF-AB99-620043A90FC6}" name="Column10480"/>
    <tableColumn id="10492" xr3:uid="{0B88C882-618C-4E93-A0D7-D8BF71BF7096}" name="Column10481"/>
    <tableColumn id="10493" xr3:uid="{1B67A1CD-68ED-4D0C-9C1B-6DD2992ABA00}" name="Column10482"/>
    <tableColumn id="10494" xr3:uid="{5D9F4EE6-E56A-4096-B7AB-522A33616AAD}" name="Column10483"/>
    <tableColumn id="10495" xr3:uid="{3894A078-8BA5-4960-BA34-E2B1448B83A0}" name="Column10484"/>
    <tableColumn id="10496" xr3:uid="{734FBFA4-505A-4CAA-84DA-8F6FBA33F9D2}" name="Column10485"/>
    <tableColumn id="10497" xr3:uid="{529B20FB-287F-4253-A940-B8CB9F13CED4}" name="Column10486"/>
    <tableColumn id="10498" xr3:uid="{599CB718-20E0-4DD1-9A8E-7970F1363B57}" name="Column10487"/>
    <tableColumn id="10499" xr3:uid="{20CD2113-D392-46DD-9B3D-F6C4C6638622}" name="Column10488"/>
    <tableColumn id="10500" xr3:uid="{CEB11DD0-BCB9-49A9-9EBB-245A57C63CEB}" name="Column10489"/>
    <tableColumn id="10501" xr3:uid="{D34CAE0B-D736-41D4-B3F6-54421409BA02}" name="Column10490"/>
    <tableColumn id="10502" xr3:uid="{391639B1-824A-4792-A1A4-A8E569B293E7}" name="Column10491"/>
    <tableColumn id="10503" xr3:uid="{059E87BE-33F0-4C32-BF73-0D28F560DA35}" name="Column10492"/>
    <tableColumn id="10504" xr3:uid="{7AC41064-7528-466A-A2E2-CB04A0D24695}" name="Column10493"/>
    <tableColumn id="10505" xr3:uid="{0B33BA79-DF4D-4408-8421-DA9D66EEFB15}" name="Column10494"/>
    <tableColumn id="10506" xr3:uid="{22C0D421-D579-49DF-8B64-0621A2E87838}" name="Column10495"/>
    <tableColumn id="10507" xr3:uid="{8E987196-A639-4C2E-A2B0-8B99DDFC5A29}" name="Column10496"/>
    <tableColumn id="10508" xr3:uid="{CA1D7E18-EF36-4BEE-83BC-4203A5125090}" name="Column10497"/>
    <tableColumn id="10509" xr3:uid="{F84ECA9E-4AA2-4588-BD52-F5899386EF83}" name="Column10498"/>
    <tableColumn id="10510" xr3:uid="{7F0B49F8-6F28-481C-B949-D54A4EEF9F71}" name="Column10499"/>
    <tableColumn id="10511" xr3:uid="{C7A88CB6-DA61-440D-8FCF-C29D88BB6A8E}" name="Column10500"/>
    <tableColumn id="10512" xr3:uid="{323CB3D6-AC4A-440D-86FF-183745ACBDFA}" name="Column10501"/>
    <tableColumn id="10513" xr3:uid="{C2DA872F-AD6D-4CA4-AA69-EA5A71B9C0F9}" name="Column10502"/>
    <tableColumn id="10514" xr3:uid="{BF9D056D-E1D7-4331-A7C2-E4F7321CB730}" name="Column10503"/>
    <tableColumn id="10515" xr3:uid="{2B077435-77C5-4BF1-9405-2DBA0797CCC6}" name="Column10504"/>
    <tableColumn id="10516" xr3:uid="{398E2869-DEEA-4CAC-948F-FD69DA2CAC2C}" name="Column10505"/>
    <tableColumn id="10517" xr3:uid="{AC1F2282-10F3-4684-ABE1-D26904FC9E59}" name="Column10506"/>
    <tableColumn id="10518" xr3:uid="{A68B2DF2-373A-4007-B43B-3409D3D2739C}" name="Column10507"/>
    <tableColumn id="10519" xr3:uid="{1A00654B-C538-4E00-B8CC-E11CBB8577F5}" name="Column10508"/>
    <tableColumn id="10520" xr3:uid="{29A26080-124C-4CCC-8BB9-04AFE7CA6C8E}" name="Column10509"/>
    <tableColumn id="10521" xr3:uid="{F4F6D59D-A665-48BC-924B-8CCE48EF32DE}" name="Column10510"/>
    <tableColumn id="10522" xr3:uid="{E9BAD2D1-0C6F-44F3-8020-9B5D0C449344}" name="Column10511"/>
    <tableColumn id="10523" xr3:uid="{B2230874-D5C2-4608-A9EF-93C083BB416A}" name="Column10512"/>
    <tableColumn id="10524" xr3:uid="{BEC19105-A1B1-4E13-807A-7B3DC9B5EF2B}" name="Column10513"/>
    <tableColumn id="10525" xr3:uid="{B93FD247-CDE3-4F22-80B9-7F342EB28470}" name="Column10514"/>
    <tableColumn id="10526" xr3:uid="{2D84C294-7979-42C1-AB20-F6E07B110122}" name="Column10515"/>
    <tableColumn id="10527" xr3:uid="{34C0C0DD-DABA-4E57-83ED-7C40770F2938}" name="Column10516"/>
    <tableColumn id="10528" xr3:uid="{48B53DED-A69C-4A5D-92AE-ACA5C0D39E52}" name="Column10517"/>
    <tableColumn id="10529" xr3:uid="{5E5282A3-FC78-402C-B129-CB3908F21AFA}" name="Column10518"/>
    <tableColumn id="10530" xr3:uid="{EAE799E9-B8E6-4E93-A6D9-2E4CB24E8C5E}" name="Column10519"/>
    <tableColumn id="10531" xr3:uid="{BC6C8EFC-AE84-4289-9CE5-B1DCD0D0FE2A}" name="Column10520"/>
    <tableColumn id="10532" xr3:uid="{CDDDB355-502B-46C2-A829-7229F98916FA}" name="Column10521"/>
    <tableColumn id="10533" xr3:uid="{A2DBA70C-00F0-47CC-85F4-BACAC9900BF6}" name="Column10522"/>
    <tableColumn id="10534" xr3:uid="{10F8D64C-0556-46E0-B6F0-DB452BFBFE56}" name="Column10523"/>
    <tableColumn id="10535" xr3:uid="{F0B88B3A-2902-4ECA-A492-46FBD8AB708D}" name="Column10524"/>
    <tableColumn id="10536" xr3:uid="{B84EF20E-8BC3-4EE8-BBB0-55A1EF7FC4DE}" name="Column10525"/>
    <tableColumn id="10537" xr3:uid="{D26EF928-66A8-485D-9AEC-76DEE634D140}" name="Column10526"/>
    <tableColumn id="10538" xr3:uid="{3F3EB8B7-49AA-4AFA-8091-E92F9580A392}" name="Column10527"/>
    <tableColumn id="10539" xr3:uid="{B56C8A44-8205-4A6C-8834-8CDC3AEB8A22}" name="Column10528"/>
    <tableColumn id="10540" xr3:uid="{C1D33DE9-B5D7-428A-AA61-F014D111E8B8}" name="Column10529"/>
    <tableColumn id="10541" xr3:uid="{4D8402E3-65FB-4143-9A72-CDDFFCB4A488}" name="Column10530"/>
    <tableColumn id="10542" xr3:uid="{8B131F3E-54E2-4DE9-A010-DFCFCCAA710E}" name="Column10531"/>
    <tableColumn id="10543" xr3:uid="{FFBE1B98-929F-41F1-AC35-7828457977B4}" name="Column10532"/>
    <tableColumn id="10544" xr3:uid="{340F7DAB-27DA-464F-95E4-3677771E1720}" name="Column10533"/>
    <tableColumn id="10545" xr3:uid="{685ABC20-A289-47F8-8246-131E57F73ABB}" name="Column10534"/>
    <tableColumn id="10546" xr3:uid="{8157D16A-BEC6-4FB4-BE86-6D7AFB335771}" name="Column10535"/>
    <tableColumn id="10547" xr3:uid="{A4D78085-DDAB-47E3-922E-8C0F02F8F066}" name="Column10536"/>
    <tableColumn id="10548" xr3:uid="{1AE962C5-2C64-4821-95B0-5AEC06167DC8}" name="Column10537"/>
    <tableColumn id="10549" xr3:uid="{8B620F77-90C1-42AA-B8B7-68A916DA2C89}" name="Column10538"/>
    <tableColumn id="10550" xr3:uid="{3D24EF99-D806-4745-8E58-CC785D4AB74B}" name="Column10539"/>
    <tableColumn id="10551" xr3:uid="{2523E38A-CEAB-41AE-8F7B-913C08B6E180}" name="Column10540"/>
    <tableColumn id="10552" xr3:uid="{3E8C55D3-EAA4-46B5-A9FA-B639BD8345F0}" name="Column10541"/>
    <tableColumn id="10553" xr3:uid="{57EA540D-CFD6-4CB2-9629-F2F4268C8736}" name="Column10542"/>
    <tableColumn id="10554" xr3:uid="{167A928B-239C-42D7-A16D-BB913BDFFA4D}" name="Column10543"/>
    <tableColumn id="10555" xr3:uid="{78CD07C1-3774-4124-B139-176FCF887B49}" name="Column10544"/>
    <tableColumn id="10556" xr3:uid="{2B809F2E-4152-4E40-B6A1-D30441F09BEB}" name="Column10545"/>
    <tableColumn id="10557" xr3:uid="{6786E1F0-A655-469A-9934-7C22BA4F0484}" name="Column10546"/>
    <tableColumn id="10558" xr3:uid="{95741A69-12C0-4CBE-8D1D-107C05597221}" name="Column10547"/>
    <tableColumn id="10559" xr3:uid="{DDF0933D-8D12-4806-B028-03DECDB2ED75}" name="Column10548"/>
    <tableColumn id="10560" xr3:uid="{E8662D6B-93FC-4536-97E9-CD65A1E89FA2}" name="Column10549"/>
    <tableColumn id="10561" xr3:uid="{CBDC98C8-DBF9-4947-8AE0-2E22AACDEBFC}" name="Column10550"/>
    <tableColumn id="10562" xr3:uid="{934F87D7-6308-427C-8109-31B9B8D7130D}" name="Column10551"/>
    <tableColumn id="10563" xr3:uid="{2ABA2E17-6392-4BB3-91BE-B44BA3DDA096}" name="Column10552"/>
    <tableColumn id="10564" xr3:uid="{2E1EFA59-6AC6-4C8F-B93E-33BB81C26E3F}" name="Column10553"/>
    <tableColumn id="10565" xr3:uid="{8AFE8F16-74E0-44F6-8411-604068BB55F8}" name="Column10554"/>
    <tableColumn id="10566" xr3:uid="{DD40804A-4DFF-42E3-904E-17215E3FAC48}" name="Column10555"/>
    <tableColumn id="10567" xr3:uid="{08D53601-08D1-4C42-BA88-BC755C5BC535}" name="Column10556"/>
    <tableColumn id="10568" xr3:uid="{DD4CA05E-9586-4850-B86A-564D1C926B01}" name="Column10557"/>
    <tableColumn id="10569" xr3:uid="{96F77A73-ED1F-4AF6-B160-0E90245DA336}" name="Column10558"/>
    <tableColumn id="10570" xr3:uid="{46AF57DF-906E-48C7-8BF5-AE03F6E1E1B0}" name="Column10559"/>
    <tableColumn id="10571" xr3:uid="{D90DAE60-D535-4AF5-BD24-E471C7AC6126}" name="Column10560"/>
    <tableColumn id="10572" xr3:uid="{B1DEA304-85D2-4364-9382-CA6305288DA4}" name="Column10561"/>
    <tableColumn id="10573" xr3:uid="{A41F748A-BA9E-462C-B030-A67831F0E5A4}" name="Column10562"/>
    <tableColumn id="10574" xr3:uid="{71862112-326F-4A5F-8274-152173459B61}" name="Column10563"/>
    <tableColumn id="10575" xr3:uid="{6954CE78-FB18-4E71-BD03-38EB44F12D98}" name="Column10564"/>
    <tableColumn id="10576" xr3:uid="{80085BE9-66AB-4761-914E-AA4F14C4EFE3}" name="Column10565"/>
    <tableColumn id="10577" xr3:uid="{D6F2FD93-1F92-498F-87E1-CC23B4B077C0}" name="Column10566"/>
    <tableColumn id="10578" xr3:uid="{E0834EF8-00E6-4B7D-BC26-A5B729B70909}" name="Column10567"/>
    <tableColumn id="10579" xr3:uid="{EF796F28-0522-4BE8-93DE-E3E679F2FC54}" name="Column10568"/>
    <tableColumn id="10580" xr3:uid="{4271CF5E-A20D-42A4-A2D2-7098E1914F5E}" name="Column10569"/>
    <tableColumn id="10581" xr3:uid="{29552A8F-1716-430E-BE63-309144363103}" name="Column10570"/>
    <tableColumn id="10582" xr3:uid="{CA4BCD4B-42F0-46FF-B80B-39D9A5005880}" name="Column10571"/>
    <tableColumn id="10583" xr3:uid="{BDB84837-8D52-4BFF-A9A1-6913AF6D91B9}" name="Column10572"/>
    <tableColumn id="10584" xr3:uid="{BD6C5B24-C2D8-453A-AB47-14D257234C00}" name="Column10573"/>
    <tableColumn id="10585" xr3:uid="{338FF9FD-178C-4AB5-B8C5-02E132CCA3FC}" name="Column10574"/>
    <tableColumn id="10586" xr3:uid="{5794A2AA-5DF3-4305-ABF2-C9A65E0D31DC}" name="Column10575"/>
    <tableColumn id="10587" xr3:uid="{43C1254E-834D-489C-AF74-FD413674CC27}" name="Column10576"/>
    <tableColumn id="10588" xr3:uid="{9A036DEF-60A6-498F-AEF6-73EC050C8775}" name="Column10577"/>
    <tableColumn id="10589" xr3:uid="{755D39DB-4D6A-42B0-B510-AC722BBDDA9D}" name="Column10578"/>
    <tableColumn id="10590" xr3:uid="{D60F31D4-F641-43B6-ADA7-D47C9EEBB6ED}" name="Column10579"/>
    <tableColumn id="10591" xr3:uid="{175D2D42-E5CD-4BC9-B3D1-F80787F05D09}" name="Column10580"/>
    <tableColumn id="10592" xr3:uid="{81A836A0-0E7A-4C5F-8F50-A981866581A1}" name="Column10581"/>
    <tableColumn id="10593" xr3:uid="{0187F61D-B095-4DD9-8569-CADFA6D9DAEF}" name="Column10582"/>
    <tableColumn id="10594" xr3:uid="{D517F3E2-3A63-462F-8F8A-D6212D3007DF}" name="Column10583"/>
    <tableColumn id="10595" xr3:uid="{D859253D-1336-4AD5-B559-EA99D97166DB}" name="Column10584"/>
    <tableColumn id="10596" xr3:uid="{E555F08C-611A-4145-BB77-2D9250666368}" name="Column10585"/>
    <tableColumn id="10597" xr3:uid="{75B55CB9-94CB-4E71-9FFD-62EF0F4CC45A}" name="Column10586"/>
    <tableColumn id="10598" xr3:uid="{CBC1E195-FE86-4DF3-A8DD-1D4BD104841E}" name="Column10587"/>
    <tableColumn id="10599" xr3:uid="{4F78424C-D41D-4845-A358-CAC6303B4702}" name="Column10588"/>
    <tableColumn id="10600" xr3:uid="{770A910A-3FCC-4F48-A4D8-4B187628CF42}" name="Column10589"/>
    <tableColumn id="10601" xr3:uid="{F53EFDD5-0B28-4776-AFC0-3E8D752ADA4F}" name="Column10590"/>
    <tableColumn id="10602" xr3:uid="{7A14B6C3-A4AF-498A-952A-23C71EBE3892}" name="Column10591"/>
    <tableColumn id="10603" xr3:uid="{72140FAB-6DD6-43AD-9F0C-E3AD9A22FB03}" name="Column10592"/>
    <tableColumn id="10604" xr3:uid="{19B3E18C-12B4-4D04-A32E-1DA47F4329CE}" name="Column10593"/>
    <tableColumn id="10605" xr3:uid="{96091123-47E5-4996-B944-9FC2260AD4B8}" name="Column10594"/>
    <tableColumn id="10606" xr3:uid="{DE12C6AE-A9B3-436A-8403-A73920E5E7C9}" name="Column10595"/>
    <tableColumn id="10607" xr3:uid="{EBC6354E-F1CB-4468-9F87-46414CDCC8D6}" name="Column10596"/>
    <tableColumn id="10608" xr3:uid="{2D1E3EA5-A924-4CE4-B01D-F50A8352B26F}" name="Column10597"/>
    <tableColumn id="10609" xr3:uid="{48049F1C-835B-409A-9FD0-3CDC525F3339}" name="Column10598"/>
    <tableColumn id="10610" xr3:uid="{B8C68D93-15D7-4613-93A2-8E4F21A6874C}" name="Column10599"/>
    <tableColumn id="10611" xr3:uid="{083A44FB-D417-48A7-98ED-3DC051E617C5}" name="Column10600"/>
    <tableColumn id="10612" xr3:uid="{B36128B2-F36D-41E1-B336-21C04C4D117D}" name="Column10601"/>
    <tableColumn id="10613" xr3:uid="{83CDAAAA-4236-44D6-AA3B-F24A49208E6A}" name="Column10602"/>
    <tableColumn id="10614" xr3:uid="{7A90A5FC-E529-445C-8A4D-B4A9FBE38F73}" name="Column10603"/>
    <tableColumn id="10615" xr3:uid="{F619AA1C-1C7D-4357-929C-242AB4E729F6}" name="Column10604"/>
    <tableColumn id="10616" xr3:uid="{703139E0-B073-4B13-899A-787D1E821D26}" name="Column10605"/>
    <tableColumn id="10617" xr3:uid="{F9DD1659-BB5F-4953-BFC7-705E0409A89C}" name="Column10606"/>
    <tableColumn id="10618" xr3:uid="{498A907A-A489-4F71-8ED7-130873E846E1}" name="Column10607"/>
    <tableColumn id="10619" xr3:uid="{69427F82-DAA8-49BF-BC89-8E4A01764DCB}" name="Column10608"/>
    <tableColumn id="10620" xr3:uid="{F494F989-0C63-45E9-8FC5-6E5C51E213AD}" name="Column10609"/>
    <tableColumn id="10621" xr3:uid="{65B4B460-199A-4371-80AA-C20C5F10C742}" name="Column10610"/>
    <tableColumn id="10622" xr3:uid="{EDBFC24A-1621-45D7-9176-3CC84712D138}" name="Column10611"/>
    <tableColumn id="10623" xr3:uid="{58C353C0-7D4D-4A45-AF06-EBC104067F63}" name="Column10612"/>
    <tableColumn id="10624" xr3:uid="{129547A1-208D-43E7-A7D1-B3B7B0137A1E}" name="Column10613"/>
    <tableColumn id="10625" xr3:uid="{5AE91BBE-78CE-42A4-958F-29CCC1EB7EE6}" name="Column10614"/>
    <tableColumn id="10626" xr3:uid="{3DE21361-CA60-47EF-9DFF-A18B499DA026}" name="Column10615"/>
    <tableColumn id="10627" xr3:uid="{26F397FA-7679-40B4-B93E-DAB2FDE80ECE}" name="Column10616"/>
    <tableColumn id="10628" xr3:uid="{2AC9807F-6BF8-448A-A10F-33347FD6DA41}" name="Column10617"/>
    <tableColumn id="10629" xr3:uid="{9B8B1963-C074-4C7D-9C32-9FF790AA98D1}" name="Column10618"/>
    <tableColumn id="10630" xr3:uid="{37886C3E-153C-4FD6-B780-731A03A26BFF}" name="Column10619"/>
    <tableColumn id="10631" xr3:uid="{A49ED4FA-C5C2-403F-91BA-913FAE8DBA9F}" name="Column10620"/>
    <tableColumn id="10632" xr3:uid="{4529EB9C-1286-4AE9-834A-815310A75B60}" name="Column10621"/>
    <tableColumn id="10633" xr3:uid="{91396E7E-946B-44D3-A061-9A941B0BEF06}" name="Column10622"/>
    <tableColumn id="10634" xr3:uid="{1183BF78-A684-4DCB-ACF6-818D718B00D1}" name="Column10623"/>
    <tableColumn id="10635" xr3:uid="{3C994BAE-D6F1-41E6-A9BF-2E29D4F850D8}" name="Column10624"/>
    <tableColumn id="10636" xr3:uid="{DF58E24A-16A0-4D36-A606-580D3E466BCC}" name="Column10625"/>
    <tableColumn id="10637" xr3:uid="{A1FFBC61-83CE-4DF8-ACE5-952A3AE4FC04}" name="Column10626"/>
    <tableColumn id="10638" xr3:uid="{42ED4FBC-7E1E-45B3-8D1D-1E8AB440C451}" name="Column10627"/>
    <tableColumn id="10639" xr3:uid="{6C5CDDA9-F3B4-425D-9D09-E118F1FCDEC0}" name="Column10628"/>
    <tableColumn id="10640" xr3:uid="{B234C087-A8AA-4E61-A8DF-6E910836C2C8}" name="Column10629"/>
    <tableColumn id="10641" xr3:uid="{4A91854F-1822-40E8-B71B-99ED8F148FA1}" name="Column10630"/>
    <tableColumn id="10642" xr3:uid="{EB79D37F-92D1-4198-B2AB-6AF38C343FFE}" name="Column10631"/>
    <tableColumn id="10643" xr3:uid="{489DF4F2-D9B2-4FAE-8060-51F4E83A8449}" name="Column10632"/>
    <tableColumn id="10644" xr3:uid="{034CB791-3B10-413A-B660-6D965ECBA624}" name="Column10633"/>
    <tableColumn id="10645" xr3:uid="{E444DB61-866E-4260-9CC9-C246267E810C}" name="Column10634"/>
    <tableColumn id="10646" xr3:uid="{BFCF0A39-F35A-406D-98FB-17F2E7D083C4}" name="Column10635"/>
    <tableColumn id="10647" xr3:uid="{A8DA19CC-74F0-426F-8593-3502B6DF1020}" name="Column10636"/>
    <tableColumn id="10648" xr3:uid="{10FCABB1-F26E-4D90-89E2-38F223E12769}" name="Column10637"/>
    <tableColumn id="10649" xr3:uid="{668BBCBD-FDEF-4904-8A7D-7CEFA5DD3347}" name="Column10638"/>
    <tableColumn id="10650" xr3:uid="{130B9549-FE92-49A1-9494-F7FDA0F4E9FF}" name="Column10639"/>
    <tableColumn id="10651" xr3:uid="{EBCB99C8-6FDB-4263-954C-3B7BA01C34FF}" name="Column10640"/>
    <tableColumn id="10652" xr3:uid="{61E22CDC-33AE-471B-AA86-98A3BF80C9C3}" name="Column10641"/>
    <tableColumn id="10653" xr3:uid="{6816F865-71D6-4355-BB06-0170D3D70126}" name="Column10642"/>
    <tableColumn id="10654" xr3:uid="{89863AFA-9930-47F8-9B3C-3A48AB43ED36}" name="Column10643"/>
    <tableColumn id="10655" xr3:uid="{349786AD-D8FF-49AC-B806-BFABAA2BBDCF}" name="Column10644"/>
    <tableColumn id="10656" xr3:uid="{AB6F88B7-A68B-495A-93A9-4FDA57A201C1}" name="Column10645"/>
    <tableColumn id="10657" xr3:uid="{0E8D2FC0-78C7-4398-B5A2-51B5816C5731}" name="Column10646"/>
    <tableColumn id="10658" xr3:uid="{A04E9F88-099D-4AF5-A1D6-9D9DB22D5EE1}" name="Column10647"/>
    <tableColumn id="10659" xr3:uid="{A6A61181-5D30-482C-A801-6BC8F1EFCD58}" name="Column10648"/>
    <tableColumn id="10660" xr3:uid="{6AE3BAED-D1D2-404F-8EB6-C47B3C0398CA}" name="Column10649"/>
    <tableColumn id="10661" xr3:uid="{130F37C1-BB3B-410E-8D99-A5BAFDEED305}" name="Column10650"/>
    <tableColumn id="10662" xr3:uid="{58BE4F72-B916-4A09-8936-56E486861DE9}" name="Column10651"/>
    <tableColumn id="10663" xr3:uid="{EA123C75-5F27-4577-B16A-61B9EC02DC6C}" name="Column10652"/>
    <tableColumn id="10664" xr3:uid="{9BA06C90-5929-44A6-A97F-D8C8CF34D3C2}" name="Column10653"/>
    <tableColumn id="10665" xr3:uid="{5410A223-34F8-4AE2-BE4E-3362244CDA79}" name="Column10654"/>
    <tableColumn id="10666" xr3:uid="{1EBAF143-4E0A-44E5-88EE-1CF29856BB2A}" name="Column10655"/>
    <tableColumn id="10667" xr3:uid="{E6607264-3E26-4A89-A489-6A270E915B4C}" name="Column10656"/>
    <tableColumn id="10668" xr3:uid="{848A2D6F-88B2-49E2-BEBC-472BDB41BBAA}" name="Column10657"/>
    <tableColumn id="10669" xr3:uid="{28BEC209-F7BF-4E50-864D-BE336EA5C802}" name="Column10658"/>
    <tableColumn id="10670" xr3:uid="{72FA65C8-9C33-441D-AE9C-29EE4340C99A}" name="Column10659"/>
    <tableColumn id="10671" xr3:uid="{13162A21-54DC-440F-880C-BC6A145CB34A}" name="Column10660"/>
    <tableColumn id="10672" xr3:uid="{F8F16503-417E-459F-8F0D-401490F3520B}" name="Column10661"/>
    <tableColumn id="10673" xr3:uid="{9348F3C5-E43B-4887-A4DA-AB373B602D5C}" name="Column10662"/>
    <tableColumn id="10674" xr3:uid="{78E393F6-5848-4071-8683-E25986E162FC}" name="Column10663"/>
    <tableColumn id="10675" xr3:uid="{1691E5FA-64CA-4371-998E-F92B8AD1CC37}" name="Column10664"/>
    <tableColumn id="10676" xr3:uid="{0E7197D5-5140-4853-8F77-ABE8C8E802F2}" name="Column10665"/>
    <tableColumn id="10677" xr3:uid="{B46DB070-B9AC-4884-AAC7-9D7B8C8D953D}" name="Column10666"/>
    <tableColumn id="10678" xr3:uid="{304905EC-BEEC-4E1D-8FA6-D0DCFA622388}" name="Column10667"/>
    <tableColumn id="10679" xr3:uid="{A43346F0-D193-4D89-8F44-19525CDA5011}" name="Column10668"/>
    <tableColumn id="10680" xr3:uid="{525AF099-84F0-4305-8F95-671F3162D607}" name="Column10669"/>
    <tableColumn id="10681" xr3:uid="{15E91D67-8C6A-479E-BFEE-2E54ECE21284}" name="Column10670"/>
    <tableColumn id="10682" xr3:uid="{AD659895-E026-4400-A515-AF09BAB46B1E}" name="Column10671"/>
    <tableColumn id="10683" xr3:uid="{E1A1C8AE-0B78-4E1B-9791-D48004813206}" name="Column10672"/>
    <tableColumn id="10684" xr3:uid="{C08A2F74-7B2F-41CD-B4C4-38DDF1227EC1}" name="Column10673"/>
    <tableColumn id="10685" xr3:uid="{4B5353CD-3793-4027-AD5D-A3E8CBDBC33E}" name="Column10674"/>
    <tableColumn id="10686" xr3:uid="{3BB86CF4-8BCC-4E6D-843C-AB7467E0DE36}" name="Column10675"/>
    <tableColumn id="10687" xr3:uid="{49545310-402D-4B11-9101-E04A8CC2884C}" name="Column10676"/>
    <tableColumn id="10688" xr3:uid="{1F280FD2-D2C5-440D-AD1E-DFAE92ECA297}" name="Column10677"/>
    <tableColumn id="10689" xr3:uid="{D8C6FB6C-977D-46BD-83E2-BFEB725108C7}" name="Column10678"/>
    <tableColumn id="10690" xr3:uid="{E816CC60-0B86-45A0-93F3-1AC5BF3D9498}" name="Column10679"/>
    <tableColumn id="10691" xr3:uid="{4BEEA3B1-37F6-46BE-90FE-EAAD789F2116}" name="Column10680"/>
    <tableColumn id="10692" xr3:uid="{CE8A3A87-9142-4FA5-AC57-288DE0DE06F7}" name="Column10681"/>
    <tableColumn id="10693" xr3:uid="{FA5478F3-513B-4B49-BEA0-74C023D0FA20}" name="Column10682"/>
    <tableColumn id="10694" xr3:uid="{E1D1E75A-EEF3-408F-8FC6-17B362AB50AC}" name="Column10683"/>
    <tableColumn id="10695" xr3:uid="{6E4E05B6-1E0E-4BEE-B0C7-74EC63C75742}" name="Column10684"/>
    <tableColumn id="10696" xr3:uid="{7DC6E858-8577-448B-BF0A-C58AF886DDAB}" name="Column10685"/>
    <tableColumn id="10697" xr3:uid="{0B29E28C-4263-4682-9BCC-A462A7870DDD}" name="Column10686"/>
    <tableColumn id="10698" xr3:uid="{331D8368-2CC8-4970-A87D-317AC7C432EE}" name="Column10687"/>
    <tableColumn id="10699" xr3:uid="{2A0651E8-53E6-422D-BCF3-56E4EE66F2E7}" name="Column10688"/>
    <tableColumn id="10700" xr3:uid="{2C7D7106-6F12-451D-AA10-686878671B4F}" name="Column10689"/>
    <tableColumn id="10701" xr3:uid="{19FD7BCA-8EDF-49D6-8FD4-6C325606C968}" name="Column10690"/>
    <tableColumn id="10702" xr3:uid="{A38539FD-2E57-43A7-9628-BD994EAE383C}" name="Column10691"/>
    <tableColumn id="10703" xr3:uid="{E2AB0A95-BA0E-4BAD-ADAF-590ED5FEF621}" name="Column10692"/>
    <tableColumn id="10704" xr3:uid="{3E02602A-1BBC-473C-994B-DB76EEA2863A}" name="Column10693"/>
    <tableColumn id="10705" xr3:uid="{43B7113C-6798-45FA-B8B3-57A79B93C0B5}" name="Column10694"/>
    <tableColumn id="10706" xr3:uid="{AD423412-52C7-40EA-A910-58D138C8DD75}" name="Column10695"/>
    <tableColumn id="10707" xr3:uid="{2685ABD2-9C5F-49D3-8348-F4F0AF0F2285}" name="Column10696"/>
    <tableColumn id="10708" xr3:uid="{7CCDD960-5461-4DE3-AD12-535EEE77EAF2}" name="Column10697"/>
    <tableColumn id="10709" xr3:uid="{9D7B83A8-9C5D-49E3-800B-B55448493DEF}" name="Column10698"/>
    <tableColumn id="10710" xr3:uid="{D8F52490-52F7-4595-AD0F-4ADF195472FD}" name="Column10699"/>
    <tableColumn id="10711" xr3:uid="{26A55777-012D-4689-B5C3-5C7EE8AB0480}" name="Column10700"/>
    <tableColumn id="10712" xr3:uid="{9994FC6E-F05A-4DD2-A211-E7B244E83E59}" name="Column10701"/>
    <tableColumn id="10713" xr3:uid="{5643ADC0-5D9E-4EF2-9F9F-22F51D166E93}" name="Column10702"/>
    <tableColumn id="10714" xr3:uid="{5E46028B-B350-40BA-B619-3CACD5A94EBE}" name="Column10703"/>
    <tableColumn id="10715" xr3:uid="{85E7A934-5ADB-40B1-82CD-8F5283F7E481}" name="Column10704"/>
    <tableColumn id="10716" xr3:uid="{4F693F26-BDA6-42DB-97A3-B86E2BBDD929}" name="Column10705"/>
    <tableColumn id="10717" xr3:uid="{CA3E8C71-F39C-4A5E-AFE6-B1EE1B6C40D5}" name="Column10706"/>
    <tableColumn id="10718" xr3:uid="{665824BF-04F6-427E-9042-120B617C4E88}" name="Column10707"/>
    <tableColumn id="10719" xr3:uid="{E97BB730-5070-4A2D-B51B-C031A08F85C9}" name="Column10708"/>
    <tableColumn id="10720" xr3:uid="{1A0AB1B8-B738-4E01-9076-C8DDE3F0207D}" name="Column10709"/>
    <tableColumn id="10721" xr3:uid="{7516A6FC-B2F7-4462-9D63-698B0D06219C}" name="Column10710"/>
    <tableColumn id="10722" xr3:uid="{981D3D1B-634E-4B07-B840-291596E9E835}" name="Column10711"/>
    <tableColumn id="10723" xr3:uid="{917C34F7-8C2F-437C-AE8E-8B80813EB157}" name="Column10712"/>
    <tableColumn id="10724" xr3:uid="{3C0EF896-0F35-411E-A23D-8F964A4B844B}" name="Column10713"/>
    <tableColumn id="10725" xr3:uid="{671F48F4-1FC9-480A-8DE5-6036CF37E53C}" name="Column10714"/>
    <tableColumn id="10726" xr3:uid="{C35DF730-F8E9-4CDF-8630-6E2C0E90DB2B}" name="Column10715"/>
    <tableColumn id="10727" xr3:uid="{B4A62C21-40C3-4F7C-BAE3-00A0F1BBB575}" name="Column10716"/>
    <tableColumn id="10728" xr3:uid="{4E9351F5-E893-4AC3-8B61-125C5FCBFC5C}" name="Column10717"/>
    <tableColumn id="10729" xr3:uid="{3052C246-5838-4CAA-A6A0-D31E52CB2F54}" name="Column10718"/>
    <tableColumn id="10730" xr3:uid="{44EE01F9-CBDB-4A0D-81AD-33664941EC2C}" name="Column10719"/>
    <tableColumn id="10731" xr3:uid="{DD56CFE8-7104-4710-9752-85BCA8AAD3CC}" name="Column10720"/>
    <tableColumn id="10732" xr3:uid="{C6ECC922-16AA-4ED2-BE76-E8ACFF1CA044}" name="Column10721"/>
    <tableColumn id="10733" xr3:uid="{37985F59-867A-4AF1-9DCD-BE5AED422854}" name="Column10722"/>
    <tableColumn id="10734" xr3:uid="{CDD8FB53-36E7-403C-99C8-A058F1AB4F9D}" name="Column10723"/>
    <tableColumn id="10735" xr3:uid="{47475791-635F-4126-B309-6FD9BA67402B}" name="Column10724"/>
    <tableColumn id="10736" xr3:uid="{0D80D8F2-704B-4209-B710-4810B3194455}" name="Column10725"/>
    <tableColumn id="10737" xr3:uid="{4280B048-BE66-4DFA-9C92-89B7EBFD0403}" name="Column10726"/>
    <tableColumn id="10738" xr3:uid="{80518563-2F9D-45C2-9262-B97B80294F5D}" name="Column10727"/>
    <tableColumn id="10739" xr3:uid="{9948A7DB-070A-4452-966D-40736DCC5B53}" name="Column10728"/>
    <tableColumn id="10740" xr3:uid="{32FCE361-934D-47DD-B57A-5E19A9BC63F8}" name="Column10729"/>
    <tableColumn id="10741" xr3:uid="{886191E1-AB69-4F5E-BAF0-CEC0AFD81A28}" name="Column10730"/>
    <tableColumn id="10742" xr3:uid="{343AFE34-C610-4359-82B8-06E500F76B69}" name="Column10731"/>
    <tableColumn id="10743" xr3:uid="{3260C1BE-9B17-4F16-8F88-15186AC3FC86}" name="Column10732"/>
    <tableColumn id="10744" xr3:uid="{2FC8AF26-D832-445A-92AA-D68A2B2248C4}" name="Column10733"/>
    <tableColumn id="10745" xr3:uid="{151C8B2B-7D06-4488-A0FC-0FB0A8BCDD9A}" name="Column10734"/>
    <tableColumn id="10746" xr3:uid="{6FED942E-645B-43B2-BFDC-AB1660869F52}" name="Column10735"/>
    <tableColumn id="10747" xr3:uid="{43628A53-B1D0-4743-B4B0-37D7855F7151}" name="Column10736"/>
    <tableColumn id="10748" xr3:uid="{7BF4EA21-A818-46FC-BF4E-6D16FEC13B15}" name="Column10737"/>
    <tableColumn id="10749" xr3:uid="{D0625B06-1385-4535-BB9F-514D7A0B2FDA}" name="Column10738"/>
    <tableColumn id="10750" xr3:uid="{823BE07C-4A95-4B81-A3C5-1F5D5BF6D7AB}" name="Column10739"/>
    <tableColumn id="10751" xr3:uid="{09FB3374-1B6A-4321-9299-211B625DD159}" name="Column10740"/>
    <tableColumn id="10752" xr3:uid="{49FC201E-8F62-4A0F-9612-5F8486F79703}" name="Column10741"/>
    <tableColumn id="10753" xr3:uid="{882C6F85-EAEA-4FFC-BA44-4E5220D321AD}" name="Column10742"/>
    <tableColumn id="10754" xr3:uid="{43B878B7-A6B4-400E-82C2-2268F69318C8}" name="Column10743"/>
    <tableColumn id="10755" xr3:uid="{DD61484E-CA3A-4A89-AF8A-3753208718EF}" name="Column10744"/>
    <tableColumn id="10756" xr3:uid="{06BC1B20-823E-4D48-9F94-7A434B903E86}" name="Column10745"/>
    <tableColumn id="10757" xr3:uid="{52820AD6-AA11-4B95-AB4D-1E686B873AC8}" name="Column10746"/>
    <tableColumn id="10758" xr3:uid="{B44CC9C7-C143-4923-AA9A-FB19895D6239}" name="Column10747"/>
    <tableColumn id="10759" xr3:uid="{ABBA4BDA-891D-4723-B95E-1B14BC2EDC0C}" name="Column10748"/>
    <tableColumn id="10760" xr3:uid="{563FCE01-5921-427C-8560-737EFD6A57E5}" name="Column10749"/>
    <tableColumn id="10761" xr3:uid="{E877A23F-C24E-4928-8466-33A373F51B6E}" name="Column10750"/>
    <tableColumn id="10762" xr3:uid="{EF9978E9-6EF6-425E-ACE9-5D918E40EFC5}" name="Column10751"/>
    <tableColumn id="10763" xr3:uid="{C9A603AB-F89A-4FBC-A289-220CCA50FA27}" name="Column10752"/>
    <tableColumn id="10764" xr3:uid="{535A4EE9-3103-4641-97AD-F3AB4042567A}" name="Column10753"/>
    <tableColumn id="10765" xr3:uid="{797E7BEE-DAE8-47BB-BBE5-D292779D13DA}" name="Column10754"/>
    <tableColumn id="10766" xr3:uid="{C1E08510-1038-4A2D-B977-34D146569F6F}" name="Column10755"/>
    <tableColumn id="10767" xr3:uid="{9BA2094D-E330-4211-8E72-2026814C7569}" name="Column10756"/>
    <tableColumn id="10768" xr3:uid="{94C46172-C459-4AD5-B585-53A396461EE9}" name="Column10757"/>
    <tableColumn id="10769" xr3:uid="{ABF4E5FB-5BB8-42F3-80BD-9E658D2B35A0}" name="Column10758"/>
    <tableColumn id="10770" xr3:uid="{4272C29E-F68A-4DD2-B226-13FA43762A28}" name="Column10759"/>
    <tableColumn id="10771" xr3:uid="{D289EC8B-0AF4-43A5-80C1-AEAFB9C4129A}" name="Column10760"/>
    <tableColumn id="10772" xr3:uid="{3EE823DB-10E6-4612-A6EE-7B349BBDB0CA}" name="Column10761"/>
    <tableColumn id="10773" xr3:uid="{69EC80E7-BAA9-466B-B65D-48F72B117469}" name="Column10762"/>
    <tableColumn id="10774" xr3:uid="{2C27F610-9D30-42C0-B745-214A85510ADB}" name="Column10763"/>
    <tableColumn id="10775" xr3:uid="{E88F4CD5-23EB-4271-911E-F72DD7AC0373}" name="Column10764"/>
    <tableColumn id="10776" xr3:uid="{B8FFC331-3D09-4CF6-ACCE-8D5CF524D7C1}" name="Column10765"/>
    <tableColumn id="10777" xr3:uid="{AABAF853-B448-4BD3-9C50-4DC5AEB098B9}" name="Column10766"/>
    <tableColumn id="10778" xr3:uid="{C89962A2-89CD-4979-886F-900CF8D76367}" name="Column10767"/>
    <tableColumn id="10779" xr3:uid="{1BA24AEF-64CF-4152-809B-CF7384EDE7E4}" name="Column10768"/>
    <tableColumn id="10780" xr3:uid="{B8C29C56-9E5D-4710-B7E9-8EA886231AAF}" name="Column10769"/>
    <tableColumn id="10781" xr3:uid="{13FCE68A-FF51-4C3D-82F2-17F5BC06B90A}" name="Column10770"/>
    <tableColumn id="10782" xr3:uid="{C4979EC5-4F62-4A8D-87B7-F62EB76E37DD}" name="Column10771"/>
    <tableColumn id="10783" xr3:uid="{30C7F0E5-FDA0-4791-8647-A9EC27B31F7E}" name="Column10772"/>
    <tableColumn id="10784" xr3:uid="{5DB85F55-3CD2-4C92-BAC4-1AEAD2BEC35F}" name="Column10773"/>
    <tableColumn id="10785" xr3:uid="{23D1C33D-F910-4F52-9BB1-5C4FDACD4B9A}" name="Column10774"/>
    <tableColumn id="10786" xr3:uid="{821E172D-0730-42CC-9DE4-9DC2A43FE461}" name="Column10775"/>
    <tableColumn id="10787" xr3:uid="{6F47E103-AA63-439F-B578-538132344050}" name="Column10776"/>
    <tableColumn id="10788" xr3:uid="{2E7D46AD-C475-43BD-806E-7612548C0835}" name="Column10777"/>
    <tableColumn id="10789" xr3:uid="{449CC117-8F9E-4003-9E08-72BC28BEE4FA}" name="Column10778"/>
    <tableColumn id="10790" xr3:uid="{C84ACCE8-D5D5-4558-98E3-3F9DE8A7A35F}" name="Column10779"/>
    <tableColumn id="10791" xr3:uid="{04D4FE50-534F-40C4-8992-7285A3BA054F}" name="Column10780"/>
    <tableColumn id="10792" xr3:uid="{F4EBE9D0-CDF0-41D2-B201-820A83E7E9A5}" name="Column10781"/>
    <tableColumn id="10793" xr3:uid="{9ECCE567-7FC9-4538-88E4-08E7E7B478C4}" name="Column10782"/>
    <tableColumn id="10794" xr3:uid="{1A41BCFB-6749-4728-B8B2-E57294CA188A}" name="Column10783"/>
    <tableColumn id="10795" xr3:uid="{C963AEB5-5B98-4752-B6FE-D9EDE1E28CAF}" name="Column10784"/>
    <tableColumn id="10796" xr3:uid="{D5245734-BDF4-4A42-A061-38552EA27655}" name="Column10785"/>
    <tableColumn id="10797" xr3:uid="{3C9CAEE3-F139-47C2-8631-9EE4820E4869}" name="Column10786"/>
    <tableColumn id="10798" xr3:uid="{BB88EB5D-CF09-4FC5-8633-99A5C7B7A683}" name="Column10787"/>
    <tableColumn id="10799" xr3:uid="{CCCCE082-5041-47CB-AE2E-CA76B770AE19}" name="Column10788"/>
    <tableColumn id="10800" xr3:uid="{CD42222E-62EF-4772-8313-3DC1A0D9EE09}" name="Column10789"/>
    <tableColumn id="10801" xr3:uid="{DC21E384-26FD-46B5-8D79-4DCDDC12D429}" name="Column10790"/>
    <tableColumn id="10802" xr3:uid="{C0CCB5B4-15A2-48A9-BD45-4D2260555F47}" name="Column10791"/>
    <tableColumn id="10803" xr3:uid="{C041C862-EE1B-47DC-830F-099D62784D0B}" name="Column10792"/>
    <tableColumn id="10804" xr3:uid="{4FADC718-ED1A-4B1C-A154-CE4AC4186509}" name="Column10793"/>
    <tableColumn id="10805" xr3:uid="{148E8734-B4DB-48E7-A621-52096A7AD563}" name="Column10794"/>
    <tableColumn id="10806" xr3:uid="{97D125A9-06F8-4B22-8983-DB3C735BBF25}" name="Column10795"/>
    <tableColumn id="10807" xr3:uid="{6CC6A438-FAC3-49BE-B035-A04307C521D8}" name="Column10796"/>
    <tableColumn id="10808" xr3:uid="{41E64C23-FECD-46E8-AC5C-355092806492}" name="Column10797"/>
    <tableColumn id="10809" xr3:uid="{84DBBF24-4657-412E-8339-E2C5674F6260}" name="Column10798"/>
    <tableColumn id="10810" xr3:uid="{FF23B358-13A0-4CD8-8E07-057A34F0B314}" name="Column10799"/>
    <tableColumn id="10811" xr3:uid="{A30C8807-8F23-4896-AE1F-B48E5FDC3DD8}" name="Column10800"/>
    <tableColumn id="10812" xr3:uid="{66FEEFD2-69C9-49ED-9ED6-6F97E2AB6B93}" name="Column10801"/>
    <tableColumn id="10813" xr3:uid="{F464905F-C19C-4FAE-B30E-AC06E6A2CD9D}" name="Column10802"/>
    <tableColumn id="10814" xr3:uid="{A7F3733D-8FF4-43BA-BBF3-12D396FA81AC}" name="Column10803"/>
    <tableColumn id="10815" xr3:uid="{D68765FC-85D0-4A44-B7D6-E46F795E286F}" name="Column10804"/>
    <tableColumn id="10816" xr3:uid="{E1D744F5-560D-4167-A94D-5BF18EEB27F4}" name="Column10805"/>
    <tableColumn id="10817" xr3:uid="{9DCD8819-9E65-475E-9183-CE7CCB3B8A90}" name="Column10806"/>
    <tableColumn id="10818" xr3:uid="{EF2FDA69-A199-48C5-9D13-34C5571BB75F}" name="Column10807"/>
    <tableColumn id="10819" xr3:uid="{CE824032-B59B-4C86-8EEC-ADFBC01A1030}" name="Column10808"/>
    <tableColumn id="10820" xr3:uid="{FF299B21-65B0-4A8E-B8CF-D2EDE7EC7833}" name="Column10809"/>
    <tableColumn id="10821" xr3:uid="{833D3F9C-8F25-4721-8B8F-6B49152266BD}" name="Column10810"/>
    <tableColumn id="10822" xr3:uid="{190A1E37-AEEE-4DB1-B965-1A61431C856C}" name="Column10811"/>
    <tableColumn id="10823" xr3:uid="{7F68C22E-3A95-448D-9615-0B0D41DE10A5}" name="Column10812"/>
    <tableColumn id="10824" xr3:uid="{EF1AFCAC-6754-4774-A459-CFD778042E7B}" name="Column10813"/>
    <tableColumn id="10825" xr3:uid="{38781CD3-5D8D-4E85-9AD7-DF59273E6A6E}" name="Column10814"/>
    <tableColumn id="10826" xr3:uid="{B085C276-D581-449A-84FF-180BF34D6C5B}" name="Column10815"/>
    <tableColumn id="10827" xr3:uid="{A0205E5C-78B3-44B3-A75B-12DC585367C3}" name="Column10816"/>
    <tableColumn id="10828" xr3:uid="{444AE64F-9BD0-4E93-9173-1782DBFD79B7}" name="Column10817"/>
    <tableColumn id="10829" xr3:uid="{C8AB2A26-660E-4784-AD3B-C064A18C4BCE}" name="Column10818"/>
    <tableColumn id="10830" xr3:uid="{125417B3-D61C-4D37-97A1-AD3B1B440259}" name="Column10819"/>
    <tableColumn id="10831" xr3:uid="{86C7F53E-5570-49B5-9F82-939AC372A861}" name="Column10820"/>
    <tableColumn id="10832" xr3:uid="{8F2630E1-E609-492A-9076-E4BF211849E4}" name="Column10821"/>
    <tableColumn id="10833" xr3:uid="{407A71AD-E11A-4184-B180-7951124F32F5}" name="Column10822"/>
    <tableColumn id="10834" xr3:uid="{8C4E2117-3AC4-4761-A559-ED636F1C55BA}" name="Column10823"/>
    <tableColumn id="10835" xr3:uid="{E978FBC7-EFB4-44AD-B32E-8C2707A24B53}" name="Column10824"/>
    <tableColumn id="10836" xr3:uid="{447AB410-B2F5-4DE9-A751-80E65583B917}" name="Column10825"/>
    <tableColumn id="10837" xr3:uid="{34FEC21D-6821-46E7-957C-6A0735E0C878}" name="Column10826"/>
    <tableColumn id="10838" xr3:uid="{16FE7461-0701-4F8C-B131-1CBCB91103F1}" name="Column10827"/>
    <tableColumn id="10839" xr3:uid="{0643BBE4-C283-4EB8-933B-3138C1850A98}" name="Column10828"/>
    <tableColumn id="10840" xr3:uid="{7F84F533-69C1-4BF4-B29D-9B4D2A74A4B0}" name="Column10829"/>
    <tableColumn id="10841" xr3:uid="{3DDD0E95-9DED-49EF-9EA6-C5B0D330BA68}" name="Column10830"/>
    <tableColumn id="10842" xr3:uid="{0D88A77B-A91B-4D84-B6E8-D27A17D6FC6C}" name="Column10831"/>
    <tableColumn id="10843" xr3:uid="{C71AE282-570A-4913-9E93-6579231E4945}" name="Column10832"/>
    <tableColumn id="10844" xr3:uid="{9A51753D-C45E-4863-B079-E403AD16AE55}" name="Column10833"/>
    <tableColumn id="10845" xr3:uid="{F68F4C6D-BA78-460C-B766-EF0B2504CB5D}" name="Column10834"/>
    <tableColumn id="10846" xr3:uid="{0F29B1BB-357C-4B0E-8935-F40E0284FBF0}" name="Column10835"/>
    <tableColumn id="10847" xr3:uid="{78C63FC6-8E7D-4453-975B-AD24432DC0AE}" name="Column10836"/>
    <tableColumn id="10848" xr3:uid="{926B7C22-534A-4966-BE77-79C15F6C08F1}" name="Column10837"/>
    <tableColumn id="10849" xr3:uid="{8F089DF1-5D3B-4250-8341-3BEE6A6B285D}" name="Column10838"/>
    <tableColumn id="10850" xr3:uid="{23342476-F4BF-4141-BA5B-980B4CA220C5}" name="Column10839"/>
    <tableColumn id="10851" xr3:uid="{1CFADDD6-A2F0-4DD9-BC1C-192186246A3B}" name="Column10840"/>
    <tableColumn id="10852" xr3:uid="{62C84D29-5982-433C-9B6C-CF2FCADCFA19}" name="Column10841"/>
    <tableColumn id="10853" xr3:uid="{60C3DB4D-D157-49C3-9669-E01BC5F3B57D}" name="Column10842"/>
    <tableColumn id="10854" xr3:uid="{03CF31C4-231B-42A9-A772-20AE5A4790B6}" name="Column10843"/>
    <tableColumn id="10855" xr3:uid="{0C0CEAE4-2E00-4DEE-8B91-131EDB20C60A}" name="Column10844"/>
    <tableColumn id="10856" xr3:uid="{DEA1AB42-A978-40A1-8377-DBDD0796387B}" name="Column10845"/>
    <tableColumn id="10857" xr3:uid="{85B176BF-6D52-4E35-966E-30AB120BD2F8}" name="Column10846"/>
    <tableColumn id="10858" xr3:uid="{6560FD10-1A11-4320-8622-70CB96AA98C9}" name="Column10847"/>
    <tableColumn id="10859" xr3:uid="{E00DE95C-D1E2-407A-B361-1EC70AEE5179}" name="Column10848"/>
    <tableColumn id="10860" xr3:uid="{D0E89DEF-18EE-4047-8A29-3F9EB0798407}" name="Column10849"/>
    <tableColumn id="10861" xr3:uid="{B003AB42-DA1B-48A1-A0AD-F678C0C96E2E}" name="Column10850"/>
    <tableColumn id="10862" xr3:uid="{92AAD71F-9FFB-4F2B-985A-F9062659D537}" name="Column10851"/>
    <tableColumn id="10863" xr3:uid="{8AA7A9A7-04D5-415C-8F99-47C86163BE42}" name="Column10852"/>
    <tableColumn id="10864" xr3:uid="{280F2F54-73A0-4B76-A9B6-53866982DCEF}" name="Column10853"/>
    <tableColumn id="10865" xr3:uid="{0C3C275D-87E6-43E7-B4A1-0CD5B1DFEECD}" name="Column10854"/>
    <tableColumn id="10866" xr3:uid="{B79492D3-AA0C-46CA-84EF-8C91CFB6F79E}" name="Column10855"/>
    <tableColumn id="10867" xr3:uid="{40E5FDCC-D06C-441F-AA6C-5D95F4820039}" name="Column10856"/>
    <tableColumn id="10868" xr3:uid="{1A505E0F-E7B6-40F3-A380-9D8FCDD16458}" name="Column10857"/>
    <tableColumn id="10869" xr3:uid="{A3E6B7C5-8BC6-4FA4-97B6-299118B851E5}" name="Column10858"/>
    <tableColumn id="10870" xr3:uid="{3506404E-E749-4854-BADE-638CEB759DF4}" name="Column10859"/>
    <tableColumn id="10871" xr3:uid="{89D0F929-C8F9-46A9-AE94-DBD916066B2F}" name="Column10860"/>
    <tableColumn id="10872" xr3:uid="{9D46BFC8-5159-46C7-BF26-0BADD58A76C2}" name="Column10861"/>
    <tableColumn id="10873" xr3:uid="{2C05A246-ACBB-4556-89ED-30ECAE6E2A39}" name="Column10862"/>
    <tableColumn id="10874" xr3:uid="{2B90DC97-0610-4C9E-9A6C-B37BA6F8EB7E}" name="Column10863"/>
    <tableColumn id="10875" xr3:uid="{15E23DEB-972B-4D4B-930A-790496847131}" name="Column10864"/>
    <tableColumn id="10876" xr3:uid="{7A7C3307-0818-4BB3-92E4-14BFC93A861A}" name="Column10865"/>
    <tableColumn id="10877" xr3:uid="{3D9C1F52-BC5F-4F8B-B44C-458AAC456FEA}" name="Column10866"/>
    <tableColumn id="10878" xr3:uid="{2639A0C5-B7AC-42A0-A4A8-F901D662A2EA}" name="Column10867"/>
    <tableColumn id="10879" xr3:uid="{96E5624B-C50A-46B4-996E-F32ECA1B22FA}" name="Column10868"/>
    <tableColumn id="10880" xr3:uid="{61071274-6791-47DB-9A5F-27FF58F76975}" name="Column10869"/>
    <tableColumn id="10881" xr3:uid="{6C9A5DCE-AF7F-4514-9A1B-23F378BE37EA}" name="Column10870"/>
    <tableColumn id="10882" xr3:uid="{BC6AE8A6-8D47-4B89-9805-70E19FF2C534}" name="Column10871"/>
    <tableColumn id="10883" xr3:uid="{90AC2CCF-5364-417D-8453-6E04C838FDE6}" name="Column10872"/>
    <tableColumn id="10884" xr3:uid="{27CD2CD3-BBA4-4CB8-80C3-2D6E2BE71022}" name="Column10873"/>
    <tableColumn id="10885" xr3:uid="{D8A109EB-1866-49FD-95A9-3E70A0EE6925}" name="Column10874"/>
    <tableColumn id="10886" xr3:uid="{0170C4B2-766E-43B6-AFA6-D4E0CBF5E3D3}" name="Column10875"/>
    <tableColumn id="10887" xr3:uid="{A87D7C07-7DA9-455A-B8CB-8A78C5AB197B}" name="Column10876"/>
    <tableColumn id="10888" xr3:uid="{A74EF267-AF1D-4715-8ECC-FA271C3F60C7}" name="Column10877"/>
    <tableColumn id="10889" xr3:uid="{B9BB1C8B-6708-45CA-B3FA-5652D716FA85}" name="Column10878"/>
    <tableColumn id="10890" xr3:uid="{4B8E5B02-336D-4634-BBFE-B1AAEB1CED8A}" name="Column10879"/>
    <tableColumn id="10891" xr3:uid="{1E6ECCB0-17E1-494D-B3E4-C02A774C6EC5}" name="Column10880"/>
    <tableColumn id="10892" xr3:uid="{621262F7-8A1C-4EB1-BC8E-950A42D121CF}" name="Column10881"/>
    <tableColumn id="10893" xr3:uid="{2941C2EC-9A40-403D-BE7F-389041F5CB1F}" name="Column10882"/>
    <tableColumn id="10894" xr3:uid="{E009D637-02A0-4751-922D-662B0C0F88AD}" name="Column10883"/>
    <tableColumn id="10895" xr3:uid="{99831803-3FC3-463A-A012-619A4A06633F}" name="Column10884"/>
    <tableColumn id="10896" xr3:uid="{0BDA81CE-EFE1-45F6-A865-F91DFD663F3D}" name="Column10885"/>
    <tableColumn id="10897" xr3:uid="{CD17CFB6-6AB1-499B-97F5-60C357852B88}" name="Column10886"/>
    <tableColumn id="10898" xr3:uid="{CC58E9B7-7433-429B-95AF-AB4328A623A8}" name="Column10887"/>
    <tableColumn id="10899" xr3:uid="{C870B4B6-97F7-4B26-9A00-7D9D2FBC8A97}" name="Column10888"/>
    <tableColumn id="10900" xr3:uid="{ABA2DC3A-6B55-47F6-88D1-34A391472A19}" name="Column10889"/>
    <tableColumn id="10901" xr3:uid="{3EEA4CF1-47A7-42B6-9DB4-FA18E71ACE38}" name="Column10890"/>
    <tableColumn id="10902" xr3:uid="{C047D7A6-6DBC-4088-A502-99F9354F9C3A}" name="Column10891"/>
    <tableColumn id="10903" xr3:uid="{277823D3-4CC0-48D2-8E07-7820F6234CBF}" name="Column10892"/>
    <tableColumn id="10904" xr3:uid="{2D5AB01D-A0B2-4F75-9184-B7619FCEF5E1}" name="Column10893"/>
    <tableColumn id="10905" xr3:uid="{495D7203-708F-4334-A47F-7A59E827598D}" name="Column10894"/>
    <tableColumn id="10906" xr3:uid="{CCF4F469-FBE7-46DD-8F8C-EFDF0881A4D6}" name="Column10895"/>
    <tableColumn id="10907" xr3:uid="{E83A02A0-B757-4595-904A-72AE6F9BF669}" name="Column10896"/>
    <tableColumn id="10908" xr3:uid="{A5B12DB7-60EF-48A0-8CDF-72B0A5DA6CD4}" name="Column10897"/>
    <tableColumn id="10909" xr3:uid="{547BD22C-692B-4474-8F11-CB4B48CDADF2}" name="Column10898"/>
    <tableColumn id="10910" xr3:uid="{2AE531F3-1092-4A5E-8112-53374A3AA9F5}" name="Column10899"/>
    <tableColumn id="10911" xr3:uid="{6F6170FB-C66B-40D4-A4A6-D6030F71FF2C}" name="Column10900"/>
    <tableColumn id="10912" xr3:uid="{FE5F339E-F82E-4C55-8FCC-13B3A35E6562}" name="Column10901"/>
    <tableColumn id="10913" xr3:uid="{CD54F666-C16A-42CC-A4C0-ED60FBE043C9}" name="Column10902"/>
    <tableColumn id="10914" xr3:uid="{25FE64CA-4BE8-4065-858D-8ED79160F90C}" name="Column10903"/>
    <tableColumn id="10915" xr3:uid="{02C9E108-B49A-4624-8C24-E72817E19C62}" name="Column10904"/>
    <tableColumn id="10916" xr3:uid="{B8C436B4-5B28-461F-A9C9-4483238A0BD9}" name="Column10905"/>
    <tableColumn id="10917" xr3:uid="{21923CAF-2B59-4BA8-90E2-59D6FD71CA3F}" name="Column10906"/>
    <tableColumn id="10918" xr3:uid="{D6DCE100-0DD7-4B97-ABC0-2FA8AED0E3B2}" name="Column10907"/>
    <tableColumn id="10919" xr3:uid="{FFA98D89-A611-4A86-9357-08B4875D2248}" name="Column10908"/>
    <tableColumn id="10920" xr3:uid="{115D0191-DC3C-42E1-ACDD-060FBED70F85}" name="Column10909"/>
    <tableColumn id="10921" xr3:uid="{D1B5452C-6F20-4810-9678-C2BD8BAF9816}" name="Column10910"/>
    <tableColumn id="10922" xr3:uid="{3DEEE684-77BF-42BE-B6E8-FD393F9F54C4}" name="Column10911"/>
    <tableColumn id="10923" xr3:uid="{E96498BA-DC47-4F79-B701-84B4031219FC}" name="Column10912"/>
    <tableColumn id="10924" xr3:uid="{4369ECFA-A88C-481A-A359-AF6B586A3F24}" name="Column10913"/>
    <tableColumn id="10925" xr3:uid="{A3EA6A82-B5FA-4ADF-B1CA-84B72486FE40}" name="Column10914"/>
    <tableColumn id="10926" xr3:uid="{4995CF00-4DF3-4C80-AD4B-39A23A285797}" name="Column10915"/>
    <tableColumn id="10927" xr3:uid="{E6F0ABAE-FD36-46B7-8BCD-DFA97F2EC5A0}" name="Column10916"/>
    <tableColumn id="10928" xr3:uid="{3F44369D-51AA-4A86-A098-62C34B7F74A8}" name="Column10917"/>
    <tableColumn id="10929" xr3:uid="{E93D4F88-7C6F-428B-916C-4758BE5796DC}" name="Column10918"/>
    <tableColumn id="10930" xr3:uid="{9B9F4069-7523-4E8B-B66C-F408E5BC6A09}" name="Column10919"/>
    <tableColumn id="10931" xr3:uid="{E081BE2B-2F8F-4A3E-B30F-CB871995E39C}" name="Column10920"/>
    <tableColumn id="10932" xr3:uid="{701725C8-C8C8-4833-A8F3-051B7D252281}" name="Column10921"/>
    <tableColumn id="10933" xr3:uid="{2F9595D1-1289-44A8-A2AA-9E8CAF6EC3ED}" name="Column10922"/>
    <tableColumn id="10934" xr3:uid="{DE700794-575F-4EEF-BA49-2C9AF8A1875A}" name="Column10923"/>
    <tableColumn id="10935" xr3:uid="{4915CEF9-A16C-4286-B466-92D49A235E49}" name="Column10924"/>
    <tableColumn id="10936" xr3:uid="{C0E982C5-B547-41A7-B1A7-FD3047A5994F}" name="Column10925"/>
    <tableColumn id="10937" xr3:uid="{80F53B5B-1939-4B45-A7FB-F545B385E954}" name="Column10926"/>
    <tableColumn id="10938" xr3:uid="{8031347E-5F2D-454E-AFC3-9492B3782FF0}" name="Column10927"/>
    <tableColumn id="10939" xr3:uid="{F7E1A0D7-7113-461D-8565-C05D492A9B3A}" name="Column10928"/>
    <tableColumn id="10940" xr3:uid="{D6478EAE-CC74-460F-825C-B5D1463EB0E6}" name="Column10929"/>
    <tableColumn id="10941" xr3:uid="{89142BE9-CA86-4E9F-82D5-6AC39BEC02C6}" name="Column10930"/>
    <tableColumn id="10942" xr3:uid="{6E12C4FE-2E8E-4007-B74B-E965B86BB151}" name="Column10931"/>
    <tableColumn id="10943" xr3:uid="{2F4ECFF3-5EAC-4D1D-AA74-72CC283247EA}" name="Column10932"/>
    <tableColumn id="10944" xr3:uid="{B9F96C10-EA37-4E91-AFED-CD5A926E94AF}" name="Column10933"/>
    <tableColumn id="10945" xr3:uid="{D67C3226-A144-4D34-808E-C56A0E9EF6CE}" name="Column10934"/>
    <tableColumn id="10946" xr3:uid="{51B72975-26FC-429E-8E58-CE6FE22BBB26}" name="Column10935"/>
    <tableColumn id="10947" xr3:uid="{41689D91-134A-4A23-B481-9E56C62617D1}" name="Column10936"/>
    <tableColumn id="10948" xr3:uid="{9E798E62-99EA-42E5-9521-B78D57B21257}" name="Column10937"/>
    <tableColumn id="10949" xr3:uid="{008CEBFB-89F5-415E-8CBE-D523C8EC2474}" name="Column10938"/>
    <tableColumn id="10950" xr3:uid="{759C7C22-5C52-41E1-9263-18744FF856FA}" name="Column10939"/>
    <tableColumn id="10951" xr3:uid="{1A64D6FD-1CE4-4CD8-83B9-A008E2FA263C}" name="Column10940"/>
    <tableColumn id="10952" xr3:uid="{161E2DFE-ABDF-4BB3-BB69-D1F8387102C5}" name="Column10941"/>
    <tableColumn id="10953" xr3:uid="{12BA5D30-1ED5-47A0-9B49-5D30025FC04B}" name="Column10942"/>
    <tableColumn id="10954" xr3:uid="{303A8ACA-72AE-4C2F-BB71-3902B31D12C3}" name="Column10943"/>
    <tableColumn id="10955" xr3:uid="{E94ED9B7-52B6-4699-B8DE-3245CA62AE96}" name="Column10944"/>
    <tableColumn id="10956" xr3:uid="{03977A35-8BE7-4C5D-9AB3-5445C1F49960}" name="Column10945"/>
    <tableColumn id="10957" xr3:uid="{D2FCEE30-DD8A-4133-9EA6-CE7EFDD6AC9F}" name="Column10946"/>
    <tableColumn id="10958" xr3:uid="{390AF28E-D4B2-47F6-9D4B-4C4B7CEE6324}" name="Column10947"/>
    <tableColumn id="10959" xr3:uid="{5AA2A808-5141-469F-8F15-B875F5933E37}" name="Column10948"/>
    <tableColumn id="10960" xr3:uid="{8B94821F-24E6-45BF-B072-8A7A2F70B2B4}" name="Column10949"/>
    <tableColumn id="10961" xr3:uid="{B1B2B46C-45B7-4FE7-9120-364E782B7C08}" name="Column10950"/>
    <tableColumn id="10962" xr3:uid="{50EA9141-5FFC-4CB9-93B7-94FDFA7F1E18}" name="Column10951"/>
    <tableColumn id="10963" xr3:uid="{E2B2464E-C024-4CCC-BF9C-291A2E815353}" name="Column10952"/>
    <tableColumn id="10964" xr3:uid="{27F24047-3302-436C-9D57-9247525247F8}" name="Column10953"/>
    <tableColumn id="10965" xr3:uid="{3AD85A7B-F5D0-4AEF-B4FA-18C75A5D8722}" name="Column10954"/>
    <tableColumn id="10966" xr3:uid="{F50255F4-C5F4-4279-8F34-B087C85E36BD}" name="Column10955"/>
    <tableColumn id="10967" xr3:uid="{023FD361-BC3D-4E97-809C-579AE20D00BA}" name="Column10956"/>
    <tableColumn id="10968" xr3:uid="{A5B0BAF9-E4BA-4902-8F7A-FE0F6F95BBFC}" name="Column10957"/>
    <tableColumn id="10969" xr3:uid="{8B577871-9F12-4321-A9FF-97941B7ACEE9}" name="Column10958"/>
    <tableColumn id="10970" xr3:uid="{0F418D38-B706-4DD2-94C4-E16C518B9FEC}" name="Column10959"/>
    <tableColumn id="10971" xr3:uid="{BE3250D7-14BB-4917-BA8C-2D38DE5FCAF3}" name="Column10960"/>
    <tableColumn id="10972" xr3:uid="{872B9136-D5CF-4B1D-9651-13152D3AC004}" name="Column10961"/>
    <tableColumn id="10973" xr3:uid="{AC73C859-F724-4B76-BAAF-87EDAEF8B1B1}" name="Column10962"/>
    <tableColumn id="10974" xr3:uid="{9123E5D5-2CD0-4F03-8E48-67995AFAD187}" name="Column10963"/>
    <tableColumn id="10975" xr3:uid="{C4E27B81-8B4D-4911-9285-CAE57B43BA4E}" name="Column10964"/>
    <tableColumn id="10976" xr3:uid="{130062E6-B7EF-48F0-AA0B-54012D29BE74}" name="Column10965"/>
    <tableColumn id="10977" xr3:uid="{5D5B6807-D2C3-4F3F-B91C-23B1C36706D9}" name="Column10966"/>
    <tableColumn id="10978" xr3:uid="{502A6A90-2E5E-4411-9A29-5AF28AB15221}" name="Column10967"/>
    <tableColumn id="10979" xr3:uid="{DADF948B-1B97-4CA1-8358-516C888C5B80}" name="Column10968"/>
    <tableColumn id="10980" xr3:uid="{555CA28D-80DA-4A44-87E9-93497806EDE8}" name="Column10969"/>
    <tableColumn id="10981" xr3:uid="{011A7750-AD0B-4664-A47F-99219509A541}" name="Column10970"/>
    <tableColumn id="10982" xr3:uid="{D4D505AA-A986-49DB-993D-AA51CD224EF9}" name="Column10971"/>
    <tableColumn id="10983" xr3:uid="{0002E3E4-E651-407B-9D0D-7275B3940CB8}" name="Column10972"/>
    <tableColumn id="10984" xr3:uid="{E63CFA13-043D-4C4E-995A-C975595F82A8}" name="Column10973"/>
    <tableColumn id="10985" xr3:uid="{17D38C4B-D6EE-4F8C-B02F-BFC2CBD38C81}" name="Column10974"/>
    <tableColumn id="10986" xr3:uid="{BA101CAD-D5DC-4775-A3E8-4F9FA4A58047}" name="Column10975"/>
    <tableColumn id="10987" xr3:uid="{B77A443E-843E-47ED-BC25-4021E3EB81D0}" name="Column10976"/>
    <tableColumn id="10988" xr3:uid="{DFD7CCF6-8B38-4DBB-8E8D-02108C933E6F}" name="Column10977"/>
    <tableColumn id="10989" xr3:uid="{70B69D7B-9BF2-4C82-B683-5DF96446B2FF}" name="Column10978"/>
    <tableColumn id="10990" xr3:uid="{4E055386-634B-4193-B428-5A0ACDBC57C8}" name="Column10979"/>
    <tableColumn id="10991" xr3:uid="{EE09BDB8-1818-46F5-B179-86B559BABD97}" name="Column10980"/>
    <tableColumn id="10992" xr3:uid="{EE481C65-E99C-4DAC-8B16-DCA5E170D3D0}" name="Column10981"/>
    <tableColumn id="10993" xr3:uid="{82F089B9-0603-480B-942B-1FAABB04FD2C}" name="Column10982"/>
    <tableColumn id="10994" xr3:uid="{6030AC56-A24D-4F78-B566-D9CB38C36C36}" name="Column10983"/>
    <tableColumn id="10995" xr3:uid="{B139E711-C7C2-45B5-9E95-B730565C3D29}" name="Column10984"/>
    <tableColumn id="10996" xr3:uid="{59A1E738-0E14-446D-A327-3B2684870F1B}" name="Column10985"/>
    <tableColumn id="10997" xr3:uid="{0135BA8C-689A-414C-B210-BC710D14546C}" name="Column10986"/>
    <tableColumn id="10998" xr3:uid="{D7BC943A-FBC5-49E9-83D9-AC3FA98D2F67}" name="Column10987"/>
    <tableColumn id="10999" xr3:uid="{47445129-A519-4818-B093-A8AE709EE85E}" name="Column10988"/>
    <tableColumn id="11000" xr3:uid="{6246919B-735B-4F1D-BC72-756969D359EE}" name="Column10989"/>
    <tableColumn id="11001" xr3:uid="{7A9BC905-E830-48D4-878E-8061020D2E65}" name="Column10990"/>
    <tableColumn id="11002" xr3:uid="{1AEFACE4-533D-4531-AD9F-664DB848738B}" name="Column10991"/>
    <tableColumn id="11003" xr3:uid="{17CEF805-255A-458D-BABC-A831DC6802B6}" name="Column10992"/>
    <tableColumn id="11004" xr3:uid="{BD3127D2-A970-4BAF-87AA-7ED2FEDBF044}" name="Column10993"/>
    <tableColumn id="11005" xr3:uid="{383741C9-2E22-4F1C-845F-51845FFBA2BA}" name="Column10994"/>
    <tableColumn id="11006" xr3:uid="{BD110EC5-AC6D-4F78-99A7-FC4DAFCF4870}" name="Column10995"/>
    <tableColumn id="11007" xr3:uid="{CF0D110C-0B8A-43B9-8E60-AEDB3514AFE8}" name="Column10996"/>
    <tableColumn id="11008" xr3:uid="{5082F120-64F8-4A2B-859D-50AF0F865311}" name="Column10997"/>
    <tableColumn id="11009" xr3:uid="{244118EA-6ACD-48F0-8749-1DF656BE3F31}" name="Column10998"/>
    <tableColumn id="11010" xr3:uid="{ADE4BBDE-0751-4193-8D83-A4D07C3EEC73}" name="Column10999"/>
    <tableColumn id="11011" xr3:uid="{40BBB3F0-92B0-4013-81DD-C5BBBA994658}" name="Column11000"/>
    <tableColumn id="11012" xr3:uid="{9F1646B2-10B2-4A6C-8656-94A819821636}" name="Column11001"/>
    <tableColumn id="11013" xr3:uid="{EFECCE5C-809D-42A3-AFCF-9C61BDDC9ADC}" name="Column11002"/>
    <tableColumn id="11014" xr3:uid="{ED006BA8-080F-4D9A-B477-36A44D6AA97A}" name="Column11003"/>
    <tableColumn id="11015" xr3:uid="{8960DC22-66C9-4302-B5B7-73E38374A1F1}" name="Column11004"/>
    <tableColumn id="11016" xr3:uid="{9484264F-FF34-44DE-A1EA-E3054962C6D7}" name="Column11005"/>
    <tableColumn id="11017" xr3:uid="{5C256820-4B2D-4C51-8E8E-1F1D9F392871}" name="Column11006"/>
    <tableColumn id="11018" xr3:uid="{FC64B8CB-5415-44AF-96C0-B694226F7F47}" name="Column11007"/>
    <tableColumn id="11019" xr3:uid="{E5C40F6E-2DE0-4548-92C0-503FF1B6B2D3}" name="Column11008"/>
    <tableColumn id="11020" xr3:uid="{06026CAF-34CA-40E1-B6C6-CF29448D8E17}" name="Column11009"/>
    <tableColumn id="11021" xr3:uid="{A1DFDDA5-6113-44BE-A164-94087F591B8F}" name="Column11010"/>
    <tableColumn id="11022" xr3:uid="{CEDC7B53-7B60-45F1-98A2-3E7255BADBDB}" name="Column11011"/>
    <tableColumn id="11023" xr3:uid="{B305B417-EB1E-43BE-8FFF-36AA85D967EF}" name="Column11012"/>
    <tableColumn id="11024" xr3:uid="{F961198C-FBD2-4E1B-A2EF-D4C430DF8C82}" name="Column11013"/>
    <tableColumn id="11025" xr3:uid="{CB40B08D-A0BB-497C-86CD-AFA86867779F}" name="Column11014"/>
    <tableColumn id="11026" xr3:uid="{848A7B32-BBE8-4FA7-A8B8-1E614AFF02D8}" name="Column11015"/>
    <tableColumn id="11027" xr3:uid="{52E68353-5A53-4CED-B4DE-B284A08BC020}" name="Column11016"/>
    <tableColumn id="11028" xr3:uid="{146CF96F-8899-4EA1-9C93-C23B3F1BD40C}" name="Column11017"/>
    <tableColumn id="11029" xr3:uid="{2A476E00-743B-4BD9-A5C0-FDDD44AE9284}" name="Column11018"/>
    <tableColumn id="11030" xr3:uid="{5012FF60-18CA-49CF-8E6A-D685A24DB526}" name="Column11019"/>
    <tableColumn id="11031" xr3:uid="{C114CF66-3ADF-419D-9894-551A1989AD51}" name="Column11020"/>
    <tableColumn id="11032" xr3:uid="{22DAE485-C1BD-4FB9-AC56-BCD4D322AD20}" name="Column11021"/>
    <tableColumn id="11033" xr3:uid="{058E9650-2468-4096-9205-E5972B8DBE3F}" name="Column11022"/>
    <tableColumn id="11034" xr3:uid="{A565493C-6394-4FD6-9793-4F51430552A2}" name="Column11023"/>
    <tableColumn id="11035" xr3:uid="{242732DF-5D62-459F-A2B4-E4CA2E8CF7E3}" name="Column11024"/>
    <tableColumn id="11036" xr3:uid="{0819C890-62DC-42B3-8E28-C6312AA728C6}" name="Column11025"/>
    <tableColumn id="11037" xr3:uid="{37B5A74B-8335-4D35-98D0-65E4CB44E6F8}" name="Column11026"/>
    <tableColumn id="11038" xr3:uid="{6C23DBF0-46D5-4E8A-8E18-0CC06D29BF2D}" name="Column11027"/>
    <tableColumn id="11039" xr3:uid="{F2766785-F108-416A-BE4D-4149C2A3A4ED}" name="Column11028"/>
    <tableColumn id="11040" xr3:uid="{36F6AAE0-EAA6-4EC3-93B4-F163C492A797}" name="Column11029"/>
    <tableColumn id="11041" xr3:uid="{C9ABC196-5630-4BAB-82BC-A3AED8061D36}" name="Column11030"/>
    <tableColumn id="11042" xr3:uid="{0F2A1A89-D183-4BF3-9E0D-F84AE8857E92}" name="Column11031"/>
    <tableColumn id="11043" xr3:uid="{F922BCCA-EBD6-46C7-9D17-079A6427E1B6}" name="Column11032"/>
    <tableColumn id="11044" xr3:uid="{80556D5A-68C2-4EE1-8F0D-71054ADE9C4E}" name="Column11033"/>
    <tableColumn id="11045" xr3:uid="{6F334D8C-DD15-40DC-990C-C563F241238D}" name="Column11034"/>
    <tableColumn id="11046" xr3:uid="{52E82443-A4C0-4130-A8EC-B62306E535B7}" name="Column11035"/>
    <tableColumn id="11047" xr3:uid="{B211779A-691A-4A4D-B87A-15B351749BD1}" name="Column11036"/>
    <tableColumn id="11048" xr3:uid="{3D4A0C7E-61DC-4627-AF48-E2378DE8535D}" name="Column11037"/>
    <tableColumn id="11049" xr3:uid="{E7241770-8F9E-4BCD-9413-DE94DE79A786}" name="Column11038"/>
    <tableColumn id="11050" xr3:uid="{CE2F085F-3515-47C9-987F-C3C545F3D1DA}" name="Column11039"/>
    <tableColumn id="11051" xr3:uid="{DB51A0D1-5035-4139-9DA0-B4FB4006EEE8}" name="Column11040"/>
    <tableColumn id="11052" xr3:uid="{61967C42-53DD-49D3-899F-BD3BAA570EBE}" name="Column11041"/>
    <tableColumn id="11053" xr3:uid="{D5571053-9B4A-4E6D-A309-79F376912D2D}" name="Column11042"/>
    <tableColumn id="11054" xr3:uid="{10F3443D-B70F-45FA-BAAF-B783F61D6984}" name="Column11043"/>
    <tableColumn id="11055" xr3:uid="{F3F9D9B8-5E32-4967-B509-8B667B0FFE1E}" name="Column11044"/>
    <tableColumn id="11056" xr3:uid="{8ABF1CAF-61B4-4FDA-A0FD-E384199BE578}" name="Column11045"/>
    <tableColumn id="11057" xr3:uid="{661EE2C2-993A-4A45-9EA9-7E373AA7C201}" name="Column11046"/>
    <tableColumn id="11058" xr3:uid="{3EBFF0BA-CD40-4D21-95A7-FA6CEA9B40D6}" name="Column11047"/>
    <tableColumn id="11059" xr3:uid="{E63D4C40-5009-4A94-8678-B0E5E8F5574E}" name="Column11048"/>
    <tableColumn id="11060" xr3:uid="{0D42B111-2F04-49B8-9632-C4F36446BA32}" name="Column11049"/>
    <tableColumn id="11061" xr3:uid="{4D3E407C-4263-4E66-BBB6-650C934B1018}" name="Column11050"/>
    <tableColumn id="11062" xr3:uid="{F82CDAB9-8274-4B79-88ED-45CC49B90704}" name="Column11051"/>
    <tableColumn id="11063" xr3:uid="{A7228ADF-EB03-4B9F-AD50-E008AA153026}" name="Column11052"/>
    <tableColumn id="11064" xr3:uid="{149DC796-0B9D-4418-8705-3C1DEF2F9242}" name="Column11053"/>
    <tableColumn id="11065" xr3:uid="{F1885BDB-2E72-4D45-9C42-48A8B3502663}" name="Column11054"/>
    <tableColumn id="11066" xr3:uid="{22C1F3C7-17DA-40C3-9C64-4206B88DCB68}" name="Column11055"/>
    <tableColumn id="11067" xr3:uid="{199FA4F1-B671-4995-B967-27D247EBC0B9}" name="Column11056"/>
    <tableColumn id="11068" xr3:uid="{2168289C-CDC0-4794-AB91-7EEA6AAC4B30}" name="Column11057"/>
    <tableColumn id="11069" xr3:uid="{71C53FAB-4690-4C08-852F-AAD0CB9A8823}" name="Column11058"/>
    <tableColumn id="11070" xr3:uid="{54066FDD-2D04-4203-BD4B-1DC9CEB4254F}" name="Column11059"/>
    <tableColumn id="11071" xr3:uid="{C901084C-2AD4-4DA4-8E68-60EDA135B99E}" name="Column11060"/>
    <tableColumn id="11072" xr3:uid="{5E866771-DDD2-479B-9C4E-14F0C081A4E1}" name="Column11061"/>
    <tableColumn id="11073" xr3:uid="{BB88DE03-8700-4753-A636-2BB65BBAE96F}" name="Column11062"/>
    <tableColumn id="11074" xr3:uid="{D3E177FA-340B-4D91-A3B6-8880C5F5827B}" name="Column11063"/>
    <tableColumn id="11075" xr3:uid="{E2D5BAF9-735B-4023-AC69-8209F4C6410B}" name="Column11064"/>
    <tableColumn id="11076" xr3:uid="{6532673B-A0A5-4FA2-B5A8-D5D6536758C4}" name="Column11065"/>
    <tableColumn id="11077" xr3:uid="{3DD869A7-85EB-4576-B94D-9B5D6B3B1B58}" name="Column11066"/>
    <tableColumn id="11078" xr3:uid="{D4A77CD7-3808-4A11-8771-E614E575A1F6}" name="Column11067"/>
    <tableColumn id="11079" xr3:uid="{452F39D1-A225-4425-B884-3CC00E488846}" name="Column11068"/>
    <tableColumn id="11080" xr3:uid="{03A44D60-7714-4476-9E4E-CEED3B53C597}" name="Column11069"/>
    <tableColumn id="11081" xr3:uid="{6C6C9083-D200-4FA7-BDBE-60F2809886A8}" name="Column11070"/>
    <tableColumn id="11082" xr3:uid="{CF4EB569-B911-4D59-89B2-AAFAB897DF32}" name="Column11071"/>
    <tableColumn id="11083" xr3:uid="{998A7A23-2A8F-46CD-834A-A90AE9E22D29}" name="Column11072"/>
    <tableColumn id="11084" xr3:uid="{ED925170-4D6A-4198-8127-12C51670DD52}" name="Column11073"/>
    <tableColumn id="11085" xr3:uid="{567C8913-F4C9-4FA2-B778-545CCEEFE6A7}" name="Column11074"/>
    <tableColumn id="11086" xr3:uid="{44E4D74A-8F67-4D48-AC5F-9D8266C3D1AA}" name="Column11075"/>
    <tableColumn id="11087" xr3:uid="{2678B56F-5F07-4A81-BB4C-450240FA8822}" name="Column11076"/>
    <tableColumn id="11088" xr3:uid="{A40B5C27-243A-4110-9743-D7196E3EDFDD}" name="Column11077"/>
    <tableColumn id="11089" xr3:uid="{7E04B4C3-A28F-473E-93BF-A557E7110775}" name="Column11078"/>
    <tableColumn id="11090" xr3:uid="{379D6728-4794-4DFF-BE7F-14779FBDF483}" name="Column11079"/>
    <tableColumn id="11091" xr3:uid="{BDC29968-643A-447B-99C6-A707B784C4D9}" name="Column11080"/>
    <tableColumn id="11092" xr3:uid="{68DBB892-B5EE-4E30-9E53-D91CA3D8322B}" name="Column11081"/>
    <tableColumn id="11093" xr3:uid="{7EBA2CE5-F731-4341-A838-B9403D0B8B35}" name="Column11082"/>
    <tableColumn id="11094" xr3:uid="{FF2A7CE7-B383-4841-946D-33870BA7B024}" name="Column11083"/>
    <tableColumn id="11095" xr3:uid="{F362E807-324D-4901-8BE7-9030D0BD8AAE}" name="Column11084"/>
    <tableColumn id="11096" xr3:uid="{DDFAD889-76A3-40AD-A4D8-BE2DDF845C42}" name="Column11085"/>
    <tableColumn id="11097" xr3:uid="{7E0C5B43-D121-4989-BDDF-7BA6A6619326}" name="Column11086"/>
    <tableColumn id="11098" xr3:uid="{B11E23F6-1E1C-45E3-9008-AD287D452FA2}" name="Column11087"/>
    <tableColumn id="11099" xr3:uid="{158AF732-927A-4D5D-B681-BDA7D74CEEF5}" name="Column11088"/>
    <tableColumn id="11100" xr3:uid="{34FBA458-C316-4C1A-B055-C727061F9D7E}" name="Column11089"/>
    <tableColumn id="11101" xr3:uid="{F61D8DF6-35DE-457B-9281-474F71B55C57}" name="Column11090"/>
    <tableColumn id="11102" xr3:uid="{7E0FCD9D-0CFA-4E0C-B084-438F71B1C213}" name="Column11091"/>
    <tableColumn id="11103" xr3:uid="{375981E9-B88C-4FE7-992E-C7E8893F3313}" name="Column11092"/>
    <tableColumn id="11104" xr3:uid="{7EEFCE16-F1E9-41A9-B150-E28201A7DE48}" name="Column11093"/>
    <tableColumn id="11105" xr3:uid="{0021EC62-CD63-41F9-9B8A-C25F5D3BC275}" name="Column11094"/>
    <tableColumn id="11106" xr3:uid="{494E8B37-996A-4451-AD61-247D90D45578}" name="Column11095"/>
    <tableColumn id="11107" xr3:uid="{F1195440-3E77-4845-B00B-17178CFDEEFB}" name="Column11096"/>
    <tableColumn id="11108" xr3:uid="{CF39E90D-FAA7-466D-9282-507E567C50A8}" name="Column11097"/>
    <tableColumn id="11109" xr3:uid="{F8661D1C-0675-4386-90C7-93207087EF4D}" name="Column11098"/>
    <tableColumn id="11110" xr3:uid="{FACDDB5C-3388-4FDC-8E4F-BBF8D0C180D1}" name="Column11099"/>
    <tableColumn id="11111" xr3:uid="{9A81EBB1-1DD4-45F2-A071-F6920CCB23A7}" name="Column11100"/>
    <tableColumn id="11112" xr3:uid="{3577D27C-D9AB-4239-AC68-F53F417F8784}" name="Column11101"/>
    <tableColumn id="11113" xr3:uid="{714E5CB5-6C01-45BE-BFD2-071E50C2B067}" name="Column11102"/>
    <tableColumn id="11114" xr3:uid="{59EFE78A-D989-47BF-BB37-DD3B5E85F792}" name="Column11103"/>
    <tableColumn id="11115" xr3:uid="{9B88F094-F09D-48F9-962C-99CB537EAA50}" name="Column11104"/>
    <tableColumn id="11116" xr3:uid="{BE07623B-AA0E-4658-8240-C38EC264E400}" name="Column11105"/>
    <tableColumn id="11117" xr3:uid="{8CBF8B0F-452B-4CC5-9DC9-B0E1B45DDF57}" name="Column11106"/>
    <tableColumn id="11118" xr3:uid="{487B01D8-D401-40B4-B0C3-77D723EB0984}" name="Column11107"/>
    <tableColumn id="11119" xr3:uid="{E278B793-FE67-4598-BDEE-9CCD8AED7234}" name="Column11108"/>
    <tableColumn id="11120" xr3:uid="{13A55522-2C8F-4682-9E80-F4D473673EB2}" name="Column11109"/>
    <tableColumn id="11121" xr3:uid="{D62B7265-0CCF-48C9-B2C6-B84711ACD4BB}" name="Column11110"/>
    <tableColumn id="11122" xr3:uid="{E94D82CB-2D27-4E2C-8AF6-EBB920CD2C64}" name="Column11111"/>
    <tableColumn id="11123" xr3:uid="{C4A15A78-E713-4C77-8295-770D9CC1A1E6}" name="Column11112"/>
    <tableColumn id="11124" xr3:uid="{EE74B82E-A7D4-472F-B197-F7A51F2C94A5}" name="Column11113"/>
    <tableColumn id="11125" xr3:uid="{F968E130-9AB5-46D9-AD4D-009D6BEA2D90}" name="Column11114"/>
    <tableColumn id="11126" xr3:uid="{C2CEE8B8-636F-4F43-9669-D8FF1E04AFB1}" name="Column11115"/>
    <tableColumn id="11127" xr3:uid="{743257AB-3AC7-4D51-B39F-DE54BD0BABA2}" name="Column11116"/>
    <tableColumn id="11128" xr3:uid="{F0D351F3-8DD3-4219-A020-B68628D9ACCD}" name="Column11117"/>
    <tableColumn id="11129" xr3:uid="{34E36044-36D9-42C7-A167-3150F2A18A02}" name="Column11118"/>
    <tableColumn id="11130" xr3:uid="{99186CE8-F459-4355-B08D-A99DABFA0916}" name="Column11119"/>
    <tableColumn id="11131" xr3:uid="{996B0E59-92BA-434B-BB89-94C0CF36F601}" name="Column11120"/>
    <tableColumn id="11132" xr3:uid="{F0B5D8BA-2720-4AAA-AB67-95B6EEA7D4F2}" name="Column11121"/>
    <tableColumn id="11133" xr3:uid="{6B3D1E7C-4978-451E-96F0-B3F9CC63D1AD}" name="Column11122"/>
    <tableColumn id="11134" xr3:uid="{35F8BBC1-9284-4EE8-AE38-D13D2B802F56}" name="Column11123"/>
    <tableColumn id="11135" xr3:uid="{F5F08CFB-462D-49D3-995A-79D8096DC710}" name="Column11124"/>
    <tableColumn id="11136" xr3:uid="{8890307F-679B-490E-BB60-72E246BB22CC}" name="Column11125"/>
    <tableColumn id="11137" xr3:uid="{5224D3B7-CBE4-469B-BECE-4AC992887BC7}" name="Column11126"/>
    <tableColumn id="11138" xr3:uid="{708E7C55-0CAF-44F3-97C7-89192103ED4B}" name="Column11127"/>
    <tableColumn id="11139" xr3:uid="{A1FA201F-8648-4AE2-B827-A7036EA91732}" name="Column11128"/>
    <tableColumn id="11140" xr3:uid="{CA04BCDA-41C5-4E3C-B9AE-74EAC8B9075A}" name="Column11129"/>
    <tableColumn id="11141" xr3:uid="{E3D5DD66-A058-4649-A747-9BC2D1A750D8}" name="Column11130"/>
    <tableColumn id="11142" xr3:uid="{A54C3214-20C6-4FCF-A744-1F50270C8DBE}" name="Column11131"/>
    <tableColumn id="11143" xr3:uid="{054A1CEA-3332-4E4C-9AA2-B21BEA69C9F8}" name="Column11132"/>
    <tableColumn id="11144" xr3:uid="{5176C22F-8C02-4C1F-82A7-C8146C0F8033}" name="Column11133"/>
    <tableColumn id="11145" xr3:uid="{B09F72D5-C069-4623-A3B5-3288BC40FC3C}" name="Column11134"/>
    <tableColumn id="11146" xr3:uid="{08F33378-7AE1-40C1-BA8D-299656DB8B70}" name="Column11135"/>
    <tableColumn id="11147" xr3:uid="{48A57204-A3C7-4818-9F36-C206437CC6B1}" name="Column11136"/>
    <tableColumn id="11148" xr3:uid="{3A0DD927-AEF1-4A11-9D5C-9E6599E228FF}" name="Column11137"/>
    <tableColumn id="11149" xr3:uid="{602D9942-B000-4A09-8E5D-C03F1B428012}" name="Column11138"/>
    <tableColumn id="11150" xr3:uid="{953E93CE-989E-48A7-B4F8-1011BC4C580E}" name="Column11139"/>
    <tableColumn id="11151" xr3:uid="{7CB603C3-AE24-4B67-BE19-243E4286D9CF}" name="Column11140"/>
    <tableColumn id="11152" xr3:uid="{E125D1E7-3B61-41ED-AE88-B6C8DBACE2FD}" name="Column11141"/>
    <tableColumn id="11153" xr3:uid="{49DE85E7-D490-4667-A9C8-DBA6F444F396}" name="Column11142"/>
    <tableColumn id="11154" xr3:uid="{DA0D4367-C990-4F6B-A44D-FF0108C9DE13}" name="Column11143"/>
    <tableColumn id="11155" xr3:uid="{3BDCA9C3-8DF1-40E5-8A05-82AC473E32E4}" name="Column11144"/>
    <tableColumn id="11156" xr3:uid="{BAF4AF27-4470-4786-8045-AF82B64B5518}" name="Column11145"/>
    <tableColumn id="11157" xr3:uid="{D2FBED9D-277B-4F28-BAD4-7B870788C790}" name="Column11146"/>
    <tableColumn id="11158" xr3:uid="{EC406AAC-82D6-4562-A34D-B9B7831A018C}" name="Column11147"/>
    <tableColumn id="11159" xr3:uid="{BB287361-275A-48F8-A949-0D35096350D6}" name="Column11148"/>
    <tableColumn id="11160" xr3:uid="{7CA04A92-AAEC-4DBE-BA21-1D9B35EE34ED}" name="Column11149"/>
    <tableColumn id="11161" xr3:uid="{23049299-C670-45A6-AF4A-226F99C2876A}" name="Column11150"/>
    <tableColumn id="11162" xr3:uid="{6FED2EE9-7A11-4D66-A2F9-6D6F497F951D}" name="Column11151"/>
    <tableColumn id="11163" xr3:uid="{2A6460CC-F3ED-45B3-BD12-D4D08E51A282}" name="Column11152"/>
    <tableColumn id="11164" xr3:uid="{925EF3C8-2A41-4DA1-A332-499FBD279756}" name="Column11153"/>
    <tableColumn id="11165" xr3:uid="{490B3CF4-18DD-434B-AC56-8D55C08287D0}" name="Column11154"/>
    <tableColumn id="11166" xr3:uid="{8C889635-8539-4CAB-9CCE-B92097DF6B6C}" name="Column11155"/>
    <tableColumn id="11167" xr3:uid="{0D6470EE-7493-489B-81F0-37D94FBF03B6}" name="Column11156"/>
    <tableColumn id="11168" xr3:uid="{A626E22B-A5A2-422F-ACBC-942AB544B0C1}" name="Column11157"/>
    <tableColumn id="11169" xr3:uid="{3E8E90C1-E45D-4BD9-B60F-E2A5725EB284}" name="Column11158"/>
    <tableColumn id="11170" xr3:uid="{CAC5635B-4C41-43BA-9229-7DE1EF701C90}" name="Column11159"/>
    <tableColumn id="11171" xr3:uid="{0792745F-E4C7-405B-B3CE-4CB8BC68DBFF}" name="Column11160"/>
    <tableColumn id="11172" xr3:uid="{24E9F1C8-2512-4748-85D2-4FF0B1CF68BD}" name="Column11161"/>
    <tableColumn id="11173" xr3:uid="{CEEB2977-4AF3-40F9-9376-378C0CCDF54F}" name="Column11162"/>
    <tableColumn id="11174" xr3:uid="{3C63ADA8-054D-4776-8BE9-A2E27CE987FB}" name="Column11163"/>
    <tableColumn id="11175" xr3:uid="{3D940400-2B36-49A9-A486-AE718E13439F}" name="Column11164"/>
    <tableColumn id="11176" xr3:uid="{F8DCB439-4C31-49E6-9A0F-BFEAC02FE1F3}" name="Column11165"/>
    <tableColumn id="11177" xr3:uid="{2D920C10-F0C5-4F97-B6BE-CAD46CFDB7A5}" name="Column11166"/>
    <tableColumn id="11178" xr3:uid="{5E931404-3AB2-4608-B1BC-DCCC09EC887E}" name="Column11167"/>
    <tableColumn id="11179" xr3:uid="{A532163F-8ACB-4CAA-AA5A-B49A795CF3DE}" name="Column11168"/>
    <tableColumn id="11180" xr3:uid="{7F48EE00-51FA-43AA-B0DB-FCE64098C7A8}" name="Column11169"/>
    <tableColumn id="11181" xr3:uid="{B4BCED92-50D3-4117-8379-399E955502BB}" name="Column11170"/>
    <tableColumn id="11182" xr3:uid="{ADC203D4-0A02-47E7-AA64-6F8410DCA5B0}" name="Column11171"/>
    <tableColumn id="11183" xr3:uid="{5A14EAC4-1A01-4CEE-AECD-5518E81AA1E3}" name="Column11172"/>
    <tableColumn id="11184" xr3:uid="{6409F868-CF63-4C3D-A3EC-3EF69377CC23}" name="Column11173"/>
    <tableColumn id="11185" xr3:uid="{A8419B6F-BD63-4F57-9B03-41BE72C28E75}" name="Column11174"/>
    <tableColumn id="11186" xr3:uid="{C4F3793E-56AA-47FC-84B2-DA9ED7919A2B}" name="Column11175"/>
    <tableColumn id="11187" xr3:uid="{257E1832-B11C-48BE-B93A-71410821E8AF}" name="Column11176"/>
    <tableColumn id="11188" xr3:uid="{29F96A0E-9BFE-4235-A4E2-5190D7442E4D}" name="Column11177"/>
    <tableColumn id="11189" xr3:uid="{C56D863E-F988-463C-ABB0-7A982F695FA5}" name="Column11178"/>
    <tableColumn id="11190" xr3:uid="{018EDC6B-49E4-49B9-8380-B9A545DC6B83}" name="Column11179"/>
    <tableColumn id="11191" xr3:uid="{C801FBED-BBC5-4587-BFD7-CBDA8DBE19D3}" name="Column11180"/>
    <tableColumn id="11192" xr3:uid="{B2D7682A-FC0D-4BDF-9B6F-B6B2CF286789}" name="Column11181"/>
    <tableColumn id="11193" xr3:uid="{CB4AB0AF-CCA8-4559-B2F4-A685FD10939C}" name="Column11182"/>
    <tableColumn id="11194" xr3:uid="{244FAA57-B21E-44F1-A100-7B45625B6816}" name="Column11183"/>
    <tableColumn id="11195" xr3:uid="{32CF34BA-848F-4190-9EB2-3D0AB7318852}" name="Column11184"/>
    <tableColumn id="11196" xr3:uid="{3BDC67EC-3B4D-4CAF-B0DA-0323CE052AFD}" name="Column11185"/>
    <tableColumn id="11197" xr3:uid="{CFCF9F0F-2BDB-418F-AE0C-EAF2E7975CCA}" name="Column11186"/>
    <tableColumn id="11198" xr3:uid="{E6D2A367-9B81-4437-B7BF-EF639E0DBDDF}" name="Column11187"/>
    <tableColumn id="11199" xr3:uid="{D6F84394-4010-4618-BA03-FDE05C19F2F9}" name="Column11188"/>
    <tableColumn id="11200" xr3:uid="{EF66AA1F-9C7F-43D0-945D-5CFD8542386A}" name="Column11189"/>
    <tableColumn id="11201" xr3:uid="{6F52BA35-AE39-4C4F-99C5-F62F70C8C36F}" name="Column11190"/>
    <tableColumn id="11202" xr3:uid="{251CB0A5-C63E-4FC1-ABA8-25063BAFB9FF}" name="Column11191"/>
    <tableColumn id="11203" xr3:uid="{426B8439-7D05-4D82-AC1E-BDCC1130E8F9}" name="Column11192"/>
    <tableColumn id="11204" xr3:uid="{8AEBF3B7-5001-4CEB-B93F-42E8B9D44F15}" name="Column11193"/>
    <tableColumn id="11205" xr3:uid="{0FEEA98D-4663-4975-9786-64E6FE5C2B6C}" name="Column11194"/>
    <tableColumn id="11206" xr3:uid="{3B53DA22-C42A-48B4-8533-6A5524C4CDEC}" name="Column11195"/>
    <tableColumn id="11207" xr3:uid="{19D342F2-AE15-41F4-A00B-FF486C2FA293}" name="Column11196"/>
    <tableColumn id="11208" xr3:uid="{51EBA449-B3E8-42C6-9A33-7124E57EDBFA}" name="Column11197"/>
    <tableColumn id="11209" xr3:uid="{80856CE3-5E0E-4A17-BEF9-99F525A0D210}" name="Column11198"/>
    <tableColumn id="11210" xr3:uid="{D06565A0-4157-448A-8F3B-AFE530419817}" name="Column11199"/>
    <tableColumn id="11211" xr3:uid="{1282AF48-9B4B-4A4C-AC4B-D981A531D063}" name="Column11200"/>
    <tableColumn id="11212" xr3:uid="{9410B492-60A7-4646-BEA2-7BC8BE354C25}" name="Column11201"/>
    <tableColumn id="11213" xr3:uid="{4480063F-3F9A-437C-A287-1A441677ED4B}" name="Column11202"/>
    <tableColumn id="11214" xr3:uid="{C78894C6-02FC-426E-8C2E-C966B8887122}" name="Column11203"/>
    <tableColumn id="11215" xr3:uid="{E12D9AAA-5B09-40E3-A6AA-F800084F3C24}" name="Column11204"/>
    <tableColumn id="11216" xr3:uid="{614E0CD2-70C7-45C4-B1ED-4267CA504E1D}" name="Column11205"/>
    <tableColumn id="11217" xr3:uid="{B70DE5A0-5485-475B-8806-7D37FDB3E80C}" name="Column11206"/>
    <tableColumn id="11218" xr3:uid="{10E646A1-E6AA-470C-9BB4-E3BCA79016B6}" name="Column11207"/>
    <tableColumn id="11219" xr3:uid="{7A55F3F7-D0E5-4117-887E-7DAC4B80DF42}" name="Column11208"/>
    <tableColumn id="11220" xr3:uid="{BAD4C3B3-E139-49BF-B54D-A5CB1F73EBE8}" name="Column11209"/>
    <tableColumn id="11221" xr3:uid="{DF06299B-973D-4FB2-A7C0-8AF24B0DAC83}" name="Column11210"/>
    <tableColumn id="11222" xr3:uid="{1A493489-625C-4A7A-A505-5AF76692E0B8}" name="Column11211"/>
    <tableColumn id="11223" xr3:uid="{62D86F70-2BD6-4FF8-B5EB-12A12D99CF07}" name="Column11212"/>
    <tableColumn id="11224" xr3:uid="{082A96B7-5869-4F67-AA9E-7C6DAFAEFF88}" name="Column11213"/>
    <tableColumn id="11225" xr3:uid="{297D11F6-A401-42EA-9B60-9FADEF267A04}" name="Column11214"/>
    <tableColumn id="11226" xr3:uid="{2CF09E14-18ED-44CA-8424-481ABE3D5BBA}" name="Column11215"/>
    <tableColumn id="11227" xr3:uid="{863CB86D-3DCA-4A71-AE6E-92FB9246E6A6}" name="Column11216"/>
    <tableColumn id="11228" xr3:uid="{2C858168-C552-4ED3-B25C-0246AEF52D34}" name="Column11217"/>
    <tableColumn id="11229" xr3:uid="{66FF2618-4E7E-4A79-889C-778C976676B2}" name="Column11218"/>
    <tableColumn id="11230" xr3:uid="{FA7B6221-5163-485A-907E-788189584FCF}" name="Column11219"/>
    <tableColumn id="11231" xr3:uid="{8B12EF01-77E5-428C-9169-7CB96B1AB96D}" name="Column11220"/>
    <tableColumn id="11232" xr3:uid="{4B4E6CA4-2AC9-454C-A155-5F2DA1F02DFE}" name="Column11221"/>
    <tableColumn id="11233" xr3:uid="{9D89EF89-C505-43D8-9DEF-43682861B899}" name="Column11222"/>
    <tableColumn id="11234" xr3:uid="{75E5F08B-BA5D-4243-815B-40C4022C736B}" name="Column11223"/>
    <tableColumn id="11235" xr3:uid="{CDBAC224-8CE2-4FD0-BAAA-D80EBA5C8BED}" name="Column11224"/>
    <tableColumn id="11236" xr3:uid="{2CA8DCC8-27CA-49F3-88AC-7F9C049B20CD}" name="Column11225"/>
    <tableColumn id="11237" xr3:uid="{ABBFB33B-9ABA-4676-A711-7106498CFBC2}" name="Column11226"/>
    <tableColumn id="11238" xr3:uid="{ED92DCCB-6EEF-43B4-9385-FE61315A1101}" name="Column11227"/>
    <tableColumn id="11239" xr3:uid="{E6000475-84A6-4440-A8CD-619F0794C601}" name="Column11228"/>
    <tableColumn id="11240" xr3:uid="{6304D02A-CFE3-4438-A19C-2ED0A0426A2A}" name="Column11229"/>
    <tableColumn id="11241" xr3:uid="{28DE1EDA-FA95-40ED-8261-2585C3AA5BAC}" name="Column11230"/>
    <tableColumn id="11242" xr3:uid="{26CC0E56-2B1F-4257-A999-4B4A4D2FFAF0}" name="Column11231"/>
    <tableColumn id="11243" xr3:uid="{E51E1997-2D4C-4D3E-8C02-D7539ADF0B5A}" name="Column11232"/>
    <tableColumn id="11244" xr3:uid="{23C9EEB7-1EE8-444E-8BEE-049F28F8C37A}" name="Column11233"/>
    <tableColumn id="11245" xr3:uid="{79283CE0-CBFE-4860-A435-79AA333BA8EF}" name="Column11234"/>
    <tableColumn id="11246" xr3:uid="{1CBD12AE-29E8-4DB1-827F-0CD74A0B3288}" name="Column11235"/>
    <tableColumn id="11247" xr3:uid="{77FF1A1A-368C-4C99-BEE3-BA74172C6125}" name="Column11236"/>
    <tableColumn id="11248" xr3:uid="{45DB6E2A-F113-4A14-A82A-A6D9BF18E09D}" name="Column11237"/>
    <tableColumn id="11249" xr3:uid="{76786BB0-8973-4648-8D53-D8DFE618BC83}" name="Column11238"/>
    <tableColumn id="11250" xr3:uid="{5ED0B10D-A546-45DA-B4F7-45EF29D40264}" name="Column11239"/>
    <tableColumn id="11251" xr3:uid="{7C9AA4A2-1D2C-4198-B246-611B394D9D7A}" name="Column11240"/>
    <tableColumn id="11252" xr3:uid="{9303E74E-FF42-4F56-B8A8-FA92032E6DBB}" name="Column11241"/>
    <tableColumn id="11253" xr3:uid="{97330ACE-1DC0-465F-B1E1-BEE918ADA4AE}" name="Column11242"/>
    <tableColumn id="11254" xr3:uid="{56F7BF52-4F7D-4072-8868-6387CAF8E654}" name="Column11243"/>
    <tableColumn id="11255" xr3:uid="{830757CF-DC7A-476D-8A63-038B561448CF}" name="Column11244"/>
    <tableColumn id="11256" xr3:uid="{310A72F9-AC51-4043-9CEE-B8BB43AEDEB4}" name="Column11245"/>
    <tableColumn id="11257" xr3:uid="{7CF9B2BB-656B-40B8-B7D9-AE56E92537A2}" name="Column11246"/>
    <tableColumn id="11258" xr3:uid="{6D8AD864-65D2-4EF9-AAAD-C8CF1334A2AA}" name="Column11247"/>
    <tableColumn id="11259" xr3:uid="{B1DABA95-570C-4888-818C-C3B40A1E6520}" name="Column11248"/>
    <tableColumn id="11260" xr3:uid="{CE22DFB8-4DAE-4BA0-B2BB-397594433876}" name="Column11249"/>
    <tableColumn id="11261" xr3:uid="{C2D24F61-458E-4BE9-B5F9-958C605D8544}" name="Column11250"/>
    <tableColumn id="11262" xr3:uid="{C26BD3A6-A780-41A2-B2C6-CE790A55E748}" name="Column11251"/>
    <tableColumn id="11263" xr3:uid="{D97A3679-7C32-4BEA-8502-78B24E421B65}" name="Column11252"/>
    <tableColumn id="11264" xr3:uid="{63904F79-EBC5-4BEB-ADE6-8960BF375904}" name="Column11253"/>
    <tableColumn id="11265" xr3:uid="{9AC66B4B-5E75-4AB7-80E1-858C85CC04A2}" name="Column11254"/>
    <tableColumn id="11266" xr3:uid="{1C6AD64E-D75D-46F3-9142-2DED2DB18331}" name="Column11255"/>
    <tableColumn id="11267" xr3:uid="{9A3241B9-53BF-4AD4-B762-4E6ECB4466BB}" name="Column11256"/>
    <tableColumn id="11268" xr3:uid="{78E6F97C-E1E0-447B-82DE-A1B5C5451F25}" name="Column11257"/>
    <tableColumn id="11269" xr3:uid="{AA5DE25E-8BE7-40A1-95A0-46319B09D3A7}" name="Column11258"/>
    <tableColumn id="11270" xr3:uid="{11208F46-8E90-4977-848F-BC16600B69F3}" name="Column11259"/>
    <tableColumn id="11271" xr3:uid="{70763B62-B7C0-4014-BB9C-4525224B80EA}" name="Column11260"/>
    <tableColumn id="11272" xr3:uid="{A46F5249-DAE8-4B05-A596-772A9F7CD244}" name="Column11261"/>
    <tableColumn id="11273" xr3:uid="{FE5D5178-4429-461D-90F4-D5CC19EB04D6}" name="Column11262"/>
    <tableColumn id="11274" xr3:uid="{DBA649DA-5AD9-4F1D-846A-B26A5B9C2FE8}" name="Column11263"/>
    <tableColumn id="11275" xr3:uid="{5B050A26-51AC-4303-B064-C36FB5105EA1}" name="Column11264"/>
    <tableColumn id="11276" xr3:uid="{1239728A-606C-4EAB-8A09-A9C2CBDBB3A3}" name="Column11265"/>
    <tableColumn id="11277" xr3:uid="{F0D8C555-58A7-461A-9B11-50B11281CFE1}" name="Column11266"/>
    <tableColumn id="11278" xr3:uid="{C000FA04-ED5B-44EB-B2DD-C100E6E381FB}" name="Column11267"/>
    <tableColumn id="11279" xr3:uid="{655A9CB8-39AF-495B-A21F-86060FF80536}" name="Column11268"/>
    <tableColumn id="11280" xr3:uid="{40E6B6B5-EFE6-4080-BFF9-30DA41C31495}" name="Column11269"/>
    <tableColumn id="11281" xr3:uid="{1D3DEB83-703B-4238-B287-55AB2F7C7A08}" name="Column11270"/>
    <tableColumn id="11282" xr3:uid="{F82B602D-F9D2-46D0-97C1-58BB44EF81BE}" name="Column11271"/>
    <tableColumn id="11283" xr3:uid="{C104ECB3-57E0-4175-9503-86A11A808AC5}" name="Column11272"/>
    <tableColumn id="11284" xr3:uid="{7F814BFA-AE22-4D40-824B-070FE22D4AE6}" name="Column11273"/>
    <tableColumn id="11285" xr3:uid="{E1B8F7F3-B560-4E66-ABA4-A19393B4B719}" name="Column11274"/>
    <tableColumn id="11286" xr3:uid="{2543B28D-7FA2-4DDE-81D1-9BC74242284A}" name="Column11275"/>
    <tableColumn id="11287" xr3:uid="{36C28BF5-8CB8-4AEB-8034-8165D081BFA4}" name="Column11276"/>
    <tableColumn id="11288" xr3:uid="{24CD6CDF-313A-4B25-ACF9-0B8ED9CC2E9B}" name="Column11277"/>
    <tableColumn id="11289" xr3:uid="{7E68E2CE-164D-4E7C-9D7B-48DAE73F0A60}" name="Column11278"/>
    <tableColumn id="11290" xr3:uid="{3E511D50-BBEE-489C-ADAA-6038D57C7B93}" name="Column11279"/>
    <tableColumn id="11291" xr3:uid="{98C12796-62FD-41DA-A9FE-E17AB7CCDA83}" name="Column11280"/>
    <tableColumn id="11292" xr3:uid="{3F1861B1-D18C-4C00-AD66-7D8657169EFF}" name="Column11281"/>
    <tableColumn id="11293" xr3:uid="{026AA5AE-E693-4F72-9322-94C0B641676A}" name="Column11282"/>
    <tableColumn id="11294" xr3:uid="{5BE9FBDA-A2FB-4965-8B0E-3BD95B27A9E6}" name="Column11283"/>
    <tableColumn id="11295" xr3:uid="{5CB5DF27-0882-43A6-98BD-F75F4373344D}" name="Column11284"/>
    <tableColumn id="11296" xr3:uid="{CA249415-C3A6-4920-9733-0A5DD8C2DAC4}" name="Column11285"/>
    <tableColumn id="11297" xr3:uid="{FC3C5253-69EE-478E-9145-94D48AF4D134}" name="Column11286"/>
    <tableColumn id="11298" xr3:uid="{48DB39A2-539B-4246-B650-8C34B3DD7C20}" name="Column11287"/>
    <tableColumn id="11299" xr3:uid="{0E4A7AA5-C1D7-403B-B6C6-F5A7D38AF186}" name="Column11288"/>
    <tableColumn id="11300" xr3:uid="{0E775A0E-C12C-4528-833B-3B270CB66A97}" name="Column11289"/>
    <tableColumn id="11301" xr3:uid="{B002C297-8F5E-4EEB-BA68-D24D68048ECD}" name="Column11290"/>
    <tableColumn id="11302" xr3:uid="{4334B1AB-8A5F-4585-926C-BEE8652CEE03}" name="Column11291"/>
    <tableColumn id="11303" xr3:uid="{757915C3-92B9-4955-B516-3210F1713002}" name="Column11292"/>
    <tableColumn id="11304" xr3:uid="{AD28E57C-FB3E-411F-A883-533EE5E56E63}" name="Column11293"/>
    <tableColumn id="11305" xr3:uid="{67156BCF-C0C3-4889-948F-E6A163DC4E94}" name="Column11294"/>
    <tableColumn id="11306" xr3:uid="{CE216786-9B49-4815-A1B8-FCED61388154}" name="Column11295"/>
    <tableColumn id="11307" xr3:uid="{3B62CF41-A7B4-4CA0-9D91-432F7012F348}" name="Column11296"/>
    <tableColumn id="11308" xr3:uid="{0C79AFF5-5662-468B-A284-6A54307AFFD0}" name="Column11297"/>
    <tableColumn id="11309" xr3:uid="{2D5B83C8-7C45-4C74-9054-00D1B82983EF}" name="Column11298"/>
    <tableColumn id="11310" xr3:uid="{CEF3942F-5730-4ACC-827F-DED945861DBB}" name="Column11299"/>
    <tableColumn id="11311" xr3:uid="{C53022F9-15DA-4781-98E5-320873DE9D69}" name="Column11300"/>
    <tableColumn id="11312" xr3:uid="{C7FE05B5-D02F-4335-998E-8F6DA0AE3FE2}" name="Column11301"/>
    <tableColumn id="11313" xr3:uid="{DA917BE8-CA0F-49AE-9BBA-03106492B283}" name="Column11302"/>
    <tableColumn id="11314" xr3:uid="{ED0ABEA2-D138-4F23-BFF9-A60B9834D145}" name="Column11303"/>
    <tableColumn id="11315" xr3:uid="{34C50BD9-2892-46C6-8B11-3E373682EBF7}" name="Column11304"/>
    <tableColumn id="11316" xr3:uid="{AB48B58E-DB6F-4397-A11C-8DE88846CA69}" name="Column11305"/>
    <tableColumn id="11317" xr3:uid="{E25657DF-99C4-4963-9398-5BB4504A9E09}" name="Column11306"/>
    <tableColumn id="11318" xr3:uid="{1C8BB11E-5B62-4A0E-A2A3-40670DD8E68C}" name="Column11307"/>
    <tableColumn id="11319" xr3:uid="{09B13BD2-C56E-4FE6-942D-43F3A6E25367}" name="Column11308"/>
    <tableColumn id="11320" xr3:uid="{8EF986D6-0E33-4F25-B57F-1A4C1DCA73D3}" name="Column11309"/>
    <tableColumn id="11321" xr3:uid="{5B88D8D9-C826-456B-8D8F-82D8E3FB415C}" name="Column11310"/>
    <tableColumn id="11322" xr3:uid="{894DB771-B99E-418A-88A3-9618B122060F}" name="Column11311"/>
    <tableColumn id="11323" xr3:uid="{C304B9DF-9E67-47A1-BA1E-7F5F23D313F5}" name="Column11312"/>
    <tableColumn id="11324" xr3:uid="{7CCACB15-5D60-4FF2-B50C-63A9B750B7F7}" name="Column11313"/>
    <tableColumn id="11325" xr3:uid="{ABA682AA-05E7-4DE8-883B-F265E65A0747}" name="Column11314"/>
    <tableColumn id="11326" xr3:uid="{77A83F1C-E836-4FC7-A7B7-02A5D280E67F}" name="Column11315"/>
    <tableColumn id="11327" xr3:uid="{E63A01B6-E251-46FF-82B0-763D3A512E52}" name="Column11316"/>
    <tableColumn id="11328" xr3:uid="{FFCE3E7C-8481-4F31-92D7-75FD5C5DD3D9}" name="Column11317"/>
    <tableColumn id="11329" xr3:uid="{21990C57-F85E-4FCE-8451-E9F3E7D050B5}" name="Column11318"/>
    <tableColumn id="11330" xr3:uid="{9806A9FF-0249-4F4E-AC6D-3CCBCD24191C}" name="Column11319"/>
    <tableColumn id="11331" xr3:uid="{9766A755-DA39-4191-B5BF-D33684354EBC}" name="Column11320"/>
    <tableColumn id="11332" xr3:uid="{93FD9A2F-35E5-42C6-858A-3691D0039831}" name="Column11321"/>
    <tableColumn id="11333" xr3:uid="{A5E9C3AF-E9FD-4663-887C-374C31BF92FE}" name="Column11322"/>
    <tableColumn id="11334" xr3:uid="{B4D658CD-4864-42B9-BA94-7B5B5CD17B9E}" name="Column11323"/>
    <tableColumn id="11335" xr3:uid="{32EFFFF6-FE26-4490-9B8E-DB18B6C72FAB}" name="Column11324"/>
    <tableColumn id="11336" xr3:uid="{883B0142-D0D3-42A1-871B-D4A3178DDEC0}" name="Column11325"/>
    <tableColumn id="11337" xr3:uid="{42C9AC36-1D3A-4FFE-8544-7E08DA7E1EB1}" name="Column11326"/>
    <tableColumn id="11338" xr3:uid="{3F863003-75EF-42C2-948E-54CA42DEB674}" name="Column11327"/>
    <tableColumn id="11339" xr3:uid="{5EDE23DD-DAE9-42F5-A174-38B0CE59282D}" name="Column11328"/>
    <tableColumn id="11340" xr3:uid="{648C22E4-9401-46ED-B301-89B92FAC2C33}" name="Column11329"/>
    <tableColumn id="11341" xr3:uid="{0EBEB83B-911B-483E-A66F-C9FE3F1BE148}" name="Column11330"/>
    <tableColumn id="11342" xr3:uid="{B64859DB-3E21-4698-A7C4-69E5A12B75DB}" name="Column11331"/>
    <tableColumn id="11343" xr3:uid="{291501CB-31B2-4F0A-B914-5E18C067660E}" name="Column11332"/>
    <tableColumn id="11344" xr3:uid="{376BEC5D-7AC2-452B-9176-A062D7FE0C29}" name="Column11333"/>
    <tableColumn id="11345" xr3:uid="{C89BE7BE-68B8-405C-B883-B0E3D9B5CB08}" name="Column11334"/>
    <tableColumn id="11346" xr3:uid="{8BCFCAA1-9D6F-4277-A57F-0C7BD7406C71}" name="Column11335"/>
    <tableColumn id="11347" xr3:uid="{F04EE2B1-D6E1-46F1-818E-5D2DCAAA3471}" name="Column11336"/>
    <tableColumn id="11348" xr3:uid="{A3C60356-E283-4F0C-93BD-48E7932E6832}" name="Column11337"/>
    <tableColumn id="11349" xr3:uid="{F186C738-904E-4A40-A6BC-B68039DA3A3D}" name="Column11338"/>
    <tableColumn id="11350" xr3:uid="{1CF6354E-9904-47CA-8B3D-AF96768A779F}" name="Column11339"/>
    <tableColumn id="11351" xr3:uid="{EE841365-FAC9-436D-8C06-AD1974A302BB}" name="Column11340"/>
    <tableColumn id="11352" xr3:uid="{3361AB44-E566-42EB-8890-06E4620A3C4B}" name="Column11341"/>
    <tableColumn id="11353" xr3:uid="{0A9914F0-EBBA-4FCC-9224-FB649A7C8BC0}" name="Column11342"/>
    <tableColumn id="11354" xr3:uid="{A368F7FE-76CD-486D-A36A-067954D9F9CD}" name="Column11343"/>
    <tableColumn id="11355" xr3:uid="{6D393D54-C618-4B4D-B382-4965B8D801C7}" name="Column11344"/>
    <tableColumn id="11356" xr3:uid="{39ADA686-C694-4D42-9F97-645C67B0D315}" name="Column11345"/>
    <tableColumn id="11357" xr3:uid="{B47BE5D9-D76E-47AD-8676-578D46B76B6F}" name="Column11346"/>
    <tableColumn id="11358" xr3:uid="{1CD097AF-454C-4EF5-B0A7-E3C28C9B2F21}" name="Column11347"/>
    <tableColumn id="11359" xr3:uid="{8D7ED3DD-C5CD-4A09-985C-944F8486B336}" name="Column11348"/>
    <tableColumn id="11360" xr3:uid="{AD7E9C44-DFC9-40AC-B253-434D65760E8F}" name="Column11349"/>
    <tableColumn id="11361" xr3:uid="{FD4A2ADF-912A-4AEB-9121-3AB8454E94D1}" name="Column11350"/>
    <tableColumn id="11362" xr3:uid="{521A2D64-0622-4A00-A661-E35E6DA1313A}" name="Column11351"/>
    <tableColumn id="11363" xr3:uid="{8F1E28AB-6780-4920-B558-9685347A3029}" name="Column11352"/>
    <tableColumn id="11364" xr3:uid="{89010F77-6417-4F54-8298-46220110DE38}" name="Column11353"/>
    <tableColumn id="11365" xr3:uid="{B6F8762D-C569-4C9D-9441-63D2C3C86392}" name="Column11354"/>
    <tableColumn id="11366" xr3:uid="{D26D7A28-0C0A-43BA-AD4A-C0CF7673EF1D}" name="Column11355"/>
    <tableColumn id="11367" xr3:uid="{E5E64A06-887C-45C0-8A1A-EA443BF8F953}" name="Column11356"/>
    <tableColumn id="11368" xr3:uid="{4104BED0-B9A5-4288-9415-A7FAA36C9DDF}" name="Column11357"/>
    <tableColumn id="11369" xr3:uid="{2005EDD3-38C2-4650-9C2F-947E5F612CBB}" name="Column11358"/>
    <tableColumn id="11370" xr3:uid="{F7ED2FA0-9586-464E-B322-1E3D03965BF4}" name="Column11359"/>
    <tableColumn id="11371" xr3:uid="{DA6065E7-6931-4F65-98B8-00D8802CC58D}" name="Column11360"/>
    <tableColumn id="11372" xr3:uid="{347F9684-10B5-4D7A-AC48-AEFF6A545D26}" name="Column11361"/>
    <tableColumn id="11373" xr3:uid="{621E3761-E127-4EA1-9889-9E386867DAF8}" name="Column11362"/>
    <tableColumn id="11374" xr3:uid="{FAE16D6F-1784-4563-A996-4E7A176181AC}" name="Column11363"/>
    <tableColumn id="11375" xr3:uid="{998BC390-1D50-4975-8A13-2E94A17876BC}" name="Column11364"/>
    <tableColumn id="11376" xr3:uid="{49C995E7-2560-4B23-AE1D-AB7B567D018B}" name="Column11365"/>
    <tableColumn id="11377" xr3:uid="{1FE7CE15-0E0A-4BF1-97ED-DA82F90E1F69}" name="Column11366"/>
    <tableColumn id="11378" xr3:uid="{866FAB89-0FBE-4938-9BAD-6578C8E29FBE}" name="Column11367"/>
    <tableColumn id="11379" xr3:uid="{ACABBCE3-72DF-49F2-B0BA-7416713D6AE3}" name="Column11368"/>
    <tableColumn id="11380" xr3:uid="{1F8ABE68-5A0D-4E97-B285-155086C62C8D}" name="Column11369"/>
    <tableColumn id="11381" xr3:uid="{D19D3F76-B165-4509-AB25-6FF0FC4363FD}" name="Column11370"/>
    <tableColumn id="11382" xr3:uid="{F5D4FD00-99EB-45A5-B857-D29D898E3CB8}" name="Column11371"/>
    <tableColumn id="11383" xr3:uid="{9E849357-8908-4CFF-8789-3C5BCABE4B32}" name="Column11372"/>
    <tableColumn id="11384" xr3:uid="{F7D8BFEB-CAF2-461D-BE9E-5A99D9803C9E}" name="Column11373"/>
    <tableColumn id="11385" xr3:uid="{A5E4EBB8-210F-404E-8075-0BD30AAF459E}" name="Column11374"/>
    <tableColumn id="11386" xr3:uid="{0E9D8B53-5A03-465C-9C0C-FCB72747C45D}" name="Column11375"/>
    <tableColumn id="11387" xr3:uid="{4E41F5F1-44EA-4F3D-B435-7ECA9277F4E2}" name="Column11376"/>
    <tableColumn id="11388" xr3:uid="{3AE3E915-A61F-43AD-B22E-1749D1DD1C0F}" name="Column11377"/>
    <tableColumn id="11389" xr3:uid="{91D6BE4D-1FE2-49B0-B856-7EDE00F20E2B}" name="Column11378"/>
    <tableColumn id="11390" xr3:uid="{FE8FA7C6-46D6-483C-9205-2450A805D5E6}" name="Column11379"/>
    <tableColumn id="11391" xr3:uid="{5A978B57-0FC4-4027-AE3F-D66BD68FEB83}" name="Column11380"/>
    <tableColumn id="11392" xr3:uid="{995D2390-6218-49A5-9161-7782684C7C4A}" name="Column11381"/>
    <tableColumn id="11393" xr3:uid="{FFFCEB90-B831-4C6D-8FBF-B6C1961CC7B1}" name="Column11382"/>
    <tableColumn id="11394" xr3:uid="{98C0A442-7E82-4D1A-93F3-F8EBB4452B0D}" name="Column11383"/>
    <tableColumn id="11395" xr3:uid="{E81CCB3F-BD6D-4EE4-8F14-A002C98E6516}" name="Column11384"/>
    <tableColumn id="11396" xr3:uid="{A13ACAB7-EFF6-4713-9A12-9288330849AB}" name="Column11385"/>
    <tableColumn id="11397" xr3:uid="{A73E5DF7-0B92-44A2-BB0A-C400FE05847D}" name="Column11386"/>
    <tableColumn id="11398" xr3:uid="{27015927-CC0B-4BF3-AE9C-3C51DF35F45C}" name="Column11387"/>
    <tableColumn id="11399" xr3:uid="{ED2A9151-7A28-4C2B-8B85-2F4D89591BDE}" name="Column11388"/>
    <tableColumn id="11400" xr3:uid="{F0E684A0-49FD-447A-B367-5ACD497378A6}" name="Column11389"/>
    <tableColumn id="11401" xr3:uid="{2CD77021-59BE-47BE-9A0B-17BB202E88B2}" name="Column11390"/>
    <tableColumn id="11402" xr3:uid="{5312B3CA-1840-4B63-BE9D-A4BA0DE47691}" name="Column11391"/>
    <tableColumn id="11403" xr3:uid="{E194AD57-3AC4-45A2-83B7-DB41259F4917}" name="Column11392"/>
    <tableColumn id="11404" xr3:uid="{DA0B27F4-07B2-492A-B27E-ED4F960D8352}" name="Column11393"/>
    <tableColumn id="11405" xr3:uid="{DDF2E432-B5A4-4977-9250-059435F919FC}" name="Column11394"/>
    <tableColumn id="11406" xr3:uid="{B96BA3E4-3877-4D64-A418-AC53E699DC38}" name="Column11395"/>
    <tableColumn id="11407" xr3:uid="{E1CC5EB5-E0D2-466E-B099-E0D31B6BA072}" name="Column11396"/>
    <tableColumn id="11408" xr3:uid="{EA9D7DE1-05A0-4E88-819E-0F6342BC88DB}" name="Column11397"/>
    <tableColumn id="11409" xr3:uid="{65D0F1C7-E328-4FDB-B399-772533A276AC}" name="Column11398"/>
    <tableColumn id="11410" xr3:uid="{9696B6B5-4F0A-425F-B1CA-E82AF15ABBDD}" name="Column11399"/>
    <tableColumn id="11411" xr3:uid="{7D9FFDBE-1906-4447-A6A2-70D5BB5246A6}" name="Column11400"/>
    <tableColumn id="11412" xr3:uid="{9C07A3F4-4092-4998-83D0-A73AD2874998}" name="Column11401"/>
    <tableColumn id="11413" xr3:uid="{CD210559-57CF-477D-B296-772F5C8FFB77}" name="Column11402"/>
    <tableColumn id="11414" xr3:uid="{C9893DF5-C57E-455B-BA0C-CA97BD96E537}" name="Column11403"/>
    <tableColumn id="11415" xr3:uid="{4DAF2FF0-801A-412E-81D6-FCCC598559E2}" name="Column11404"/>
    <tableColumn id="11416" xr3:uid="{6BE41552-F117-45C0-A055-CC6DC6463152}" name="Column11405"/>
    <tableColumn id="11417" xr3:uid="{FF39F1FE-4CCE-4D6A-9FE3-4073DF99978C}" name="Column11406"/>
    <tableColumn id="11418" xr3:uid="{47FA4BC2-CFDB-4E43-BA7B-81731CD87147}" name="Column11407"/>
    <tableColumn id="11419" xr3:uid="{93A43AE6-812A-4B5C-9040-865E36E07AAB}" name="Column11408"/>
    <tableColumn id="11420" xr3:uid="{C6207810-2856-479D-AE22-6AF1D08F01B9}" name="Column11409"/>
    <tableColumn id="11421" xr3:uid="{9947024F-336D-4FCE-A3DE-154337086715}" name="Column11410"/>
    <tableColumn id="11422" xr3:uid="{02F11C5D-B63C-42AD-BBE9-B2DD34A38EF8}" name="Column11411"/>
    <tableColumn id="11423" xr3:uid="{6B016270-720B-4763-9E2C-EC279B9E4ADD}" name="Column11412"/>
    <tableColumn id="11424" xr3:uid="{785AF349-F2A9-474D-932F-99DFD028F906}" name="Column11413"/>
    <tableColumn id="11425" xr3:uid="{1B3342A1-DAEE-43B4-98FF-7738B0F0018D}" name="Column11414"/>
    <tableColumn id="11426" xr3:uid="{16D118B7-41F6-4BCA-9266-B1801201857E}" name="Column11415"/>
    <tableColumn id="11427" xr3:uid="{69CDB519-4B65-41D5-95E8-7984E1788974}" name="Column11416"/>
    <tableColumn id="11428" xr3:uid="{0F7C1002-89DE-4DC3-B9FB-9D35D2712EE5}" name="Column11417"/>
    <tableColumn id="11429" xr3:uid="{E19F1DC7-0D86-42B6-B668-A0E60CB4801B}" name="Column11418"/>
    <tableColumn id="11430" xr3:uid="{03EDC6E7-2584-4250-83AE-BD126F7CDF8F}" name="Column11419"/>
    <tableColumn id="11431" xr3:uid="{4966E3AD-B2B2-47E5-BC3F-3F84EA0C9F86}" name="Column11420"/>
    <tableColumn id="11432" xr3:uid="{41BBDF72-FBC5-40F2-A997-9A2DED9B7D05}" name="Column11421"/>
    <tableColumn id="11433" xr3:uid="{ADC37D7E-9E29-40A0-B50A-5205527BD799}" name="Column11422"/>
    <tableColumn id="11434" xr3:uid="{097A79DA-6492-406E-8C1E-2EEDA60757E7}" name="Column11423"/>
    <tableColumn id="11435" xr3:uid="{0B4B87B5-2C00-4ED3-85C0-29118CA80F72}" name="Column11424"/>
    <tableColumn id="11436" xr3:uid="{006F89F8-9A41-4FAA-9421-927059B19143}" name="Column11425"/>
    <tableColumn id="11437" xr3:uid="{4404490F-AEB4-4103-92C1-FC0195CF6E0D}" name="Column11426"/>
    <tableColumn id="11438" xr3:uid="{390F7AA6-4E90-413D-B160-26A3BFA9582D}" name="Column11427"/>
    <tableColumn id="11439" xr3:uid="{AD85BC0A-A734-438A-AE85-14FE56A5D2A6}" name="Column11428"/>
    <tableColumn id="11440" xr3:uid="{F0556D0B-96AF-41AB-8AD5-0121BF50F551}" name="Column11429"/>
    <tableColumn id="11441" xr3:uid="{8689C487-48EE-4208-9B9F-E384541C349C}" name="Column11430"/>
    <tableColumn id="11442" xr3:uid="{12D70AED-10E7-4D83-9C9A-3BCF6935E461}" name="Column11431"/>
    <tableColumn id="11443" xr3:uid="{F2DB32EC-7B5A-44A8-922C-661BC2478164}" name="Column11432"/>
    <tableColumn id="11444" xr3:uid="{2401538E-6541-4DBF-83EA-F72C5180D038}" name="Column11433"/>
    <tableColumn id="11445" xr3:uid="{88FDBF93-CF61-483C-BAED-3908CF456E65}" name="Column11434"/>
    <tableColumn id="11446" xr3:uid="{8471DCEA-4BA5-4824-98F1-CAE62E7D6D5D}" name="Column11435"/>
    <tableColumn id="11447" xr3:uid="{E5E94D0B-23B8-4F70-A2E7-200E0FFEE19F}" name="Column11436"/>
    <tableColumn id="11448" xr3:uid="{93457FE7-E0DA-4E57-BEF1-7DA459009BE2}" name="Column11437"/>
    <tableColumn id="11449" xr3:uid="{209AD03D-3CC2-47A2-9742-4C8CF3FAE370}" name="Column11438"/>
    <tableColumn id="11450" xr3:uid="{51B8C86D-D1DB-4BAB-B1F8-B60AA34BA773}" name="Column11439"/>
    <tableColumn id="11451" xr3:uid="{6628DC6F-4B6F-46F8-9516-0DCB769DA155}" name="Column11440"/>
    <tableColumn id="11452" xr3:uid="{BE5D777F-F815-4BD9-A788-9472A1692DF6}" name="Column11441"/>
    <tableColumn id="11453" xr3:uid="{363D8027-7F23-4CA4-A2E1-CDAFDCFE0900}" name="Column11442"/>
    <tableColumn id="11454" xr3:uid="{FF1BC343-1D0C-45A5-BD1B-A9B206D4EEC9}" name="Column11443"/>
    <tableColumn id="11455" xr3:uid="{A21F2E8D-D9BD-4A7F-980C-995F0D7B0BB0}" name="Column11444"/>
    <tableColumn id="11456" xr3:uid="{5A8AFCB4-F2B2-41EE-8657-382D7C09C878}" name="Column11445"/>
    <tableColumn id="11457" xr3:uid="{182DE6E8-B732-4001-AE8D-2A9CE83E5D62}" name="Column11446"/>
    <tableColumn id="11458" xr3:uid="{1C6B0029-B58E-4C2B-812C-D1F54365317A}" name="Column11447"/>
    <tableColumn id="11459" xr3:uid="{1C1073D8-4C31-4902-9BB3-1E4E21A6DAEC}" name="Column11448"/>
    <tableColumn id="11460" xr3:uid="{74045D6F-DF91-4AE1-9582-A4A19EA50054}" name="Column11449"/>
    <tableColumn id="11461" xr3:uid="{FE911BDA-6B31-4BAE-B914-34481AC0E9BD}" name="Column11450"/>
    <tableColumn id="11462" xr3:uid="{77F12531-BE17-4A2F-90EA-F155130EE9DE}" name="Column11451"/>
    <tableColumn id="11463" xr3:uid="{E0D2B45E-DA6E-4091-810F-C2DB47EFC726}" name="Column11452"/>
    <tableColumn id="11464" xr3:uid="{C0289B90-3F08-478D-A1E3-DCFF5CC39D99}" name="Column11453"/>
    <tableColumn id="11465" xr3:uid="{81DCFECC-954A-46FF-8A3D-02D1296B0AB8}" name="Column11454"/>
    <tableColumn id="11466" xr3:uid="{E774674F-2454-4A35-8591-65794CB85F54}" name="Column11455"/>
    <tableColumn id="11467" xr3:uid="{FC7C1C56-DC79-4FE2-8CD9-2E8BF96F9436}" name="Column11456"/>
    <tableColumn id="11468" xr3:uid="{5980D719-6338-428A-9EF5-7E5EA06ABF70}" name="Column11457"/>
    <tableColumn id="11469" xr3:uid="{FC7899EE-2F29-4B37-AE99-C9F93576940B}" name="Column11458"/>
    <tableColumn id="11470" xr3:uid="{6D6A49BA-4B97-4425-B913-22374EF85D8E}" name="Column11459"/>
    <tableColumn id="11471" xr3:uid="{5C9D013D-5AE0-4D08-9CC5-8748BE304D86}" name="Column11460"/>
    <tableColumn id="11472" xr3:uid="{8E9C3994-A9C8-4BD6-AA84-7E4F9DB4E586}" name="Column11461"/>
    <tableColumn id="11473" xr3:uid="{1F8DF0C8-272E-4517-8CC5-3B65889E0E5D}" name="Column11462"/>
    <tableColumn id="11474" xr3:uid="{D63E7419-A304-4A04-B15E-C6DCD9087A3C}" name="Column11463"/>
    <tableColumn id="11475" xr3:uid="{9092A922-66E0-4379-93DF-C36F849604CB}" name="Column11464"/>
    <tableColumn id="11476" xr3:uid="{F2309604-8382-45D5-B794-977BA840E426}" name="Column11465"/>
    <tableColumn id="11477" xr3:uid="{9BC5BE1B-0E24-4E65-9B53-5C5CC4402DD1}" name="Column11466"/>
    <tableColumn id="11478" xr3:uid="{1C46140E-B516-4F82-A2CB-B377A990F033}" name="Column11467"/>
    <tableColumn id="11479" xr3:uid="{F355BE93-1AB9-4BAA-ABAC-8DF6DACC5A29}" name="Column11468"/>
    <tableColumn id="11480" xr3:uid="{95BD53CB-8C4C-43B0-ABE7-346CFD1BD532}" name="Column11469"/>
    <tableColumn id="11481" xr3:uid="{ADB1C332-1D8C-4AB1-8320-015C40473C8B}" name="Column11470"/>
    <tableColumn id="11482" xr3:uid="{BFB490DF-F7AD-4D15-A426-4147247D8394}" name="Column11471"/>
    <tableColumn id="11483" xr3:uid="{F34047D6-83F6-4D4F-BDCC-79DDEB101DAD}" name="Column11472"/>
    <tableColumn id="11484" xr3:uid="{4127C7BF-BBF7-4DC1-8391-9551DB75F0FE}" name="Column11473"/>
    <tableColumn id="11485" xr3:uid="{5D7B6D99-3117-479B-8CD1-F5E7AE15F59A}" name="Column11474"/>
    <tableColumn id="11486" xr3:uid="{AF22A37A-8E1F-403A-BDB6-EEDF314BE0D6}" name="Column11475"/>
    <tableColumn id="11487" xr3:uid="{9B487A5F-96FB-45B5-814C-1B264BD9D4A0}" name="Column11476"/>
    <tableColumn id="11488" xr3:uid="{40752D50-8D1C-476D-9E4A-531F3C0BED5D}" name="Column11477"/>
    <tableColumn id="11489" xr3:uid="{B1FE7B8C-BE7B-43BC-9185-074704605363}" name="Column11478"/>
    <tableColumn id="11490" xr3:uid="{2A87DF32-3202-4FEB-BEF0-E52218A823DE}" name="Column11479"/>
    <tableColumn id="11491" xr3:uid="{B2443556-5E59-4E93-A15C-58C922C93DC8}" name="Column11480"/>
    <tableColumn id="11492" xr3:uid="{27DA0B2F-D2B3-42B7-9036-BC3B300424A3}" name="Column11481"/>
    <tableColumn id="11493" xr3:uid="{E7751017-66D6-4DF3-8304-096293A016FF}" name="Column11482"/>
    <tableColumn id="11494" xr3:uid="{77F9ADE5-45DF-4D57-BA26-2859188A2E7E}" name="Column11483"/>
    <tableColumn id="11495" xr3:uid="{CAA042A3-285C-42D2-8A7A-F0AF30B2D111}" name="Column11484"/>
    <tableColumn id="11496" xr3:uid="{96F29B03-82E5-4BE7-9BA0-4607EC42E2B0}" name="Column11485"/>
    <tableColumn id="11497" xr3:uid="{F2D479C9-BBF3-4842-B243-EA883E780C26}" name="Column11486"/>
    <tableColumn id="11498" xr3:uid="{D3BA95E4-94D8-480C-8616-ABC82FB77690}" name="Column11487"/>
    <tableColumn id="11499" xr3:uid="{55C2A081-3685-400C-978F-C8BA57684BE5}" name="Column11488"/>
    <tableColumn id="11500" xr3:uid="{085BE23C-6946-4721-B8F8-4BDE371BF345}" name="Column11489"/>
    <tableColumn id="11501" xr3:uid="{E157B0FA-7FA4-4F54-A195-663FD5C55E01}" name="Column11490"/>
    <tableColumn id="11502" xr3:uid="{EF238AD7-0290-452A-A183-9E0B81B4F119}" name="Column11491"/>
    <tableColumn id="11503" xr3:uid="{F95135B6-8DAF-4A56-9AAB-F1C7F08B8BBF}" name="Column11492"/>
    <tableColumn id="11504" xr3:uid="{C5A4C292-4216-49CD-9340-DF80F92133C5}" name="Column11493"/>
    <tableColumn id="11505" xr3:uid="{052FE2B5-DE4A-4C44-893A-AE2198EE9948}" name="Column11494"/>
    <tableColumn id="11506" xr3:uid="{50646A67-ED07-4352-BC40-6E8B8EA4F8E9}" name="Column11495"/>
    <tableColumn id="11507" xr3:uid="{DBC12ACD-B052-414F-AADD-67F97FC019D3}" name="Column11496"/>
    <tableColumn id="11508" xr3:uid="{E138B440-0EE5-483F-A433-512D3DD980A1}" name="Column11497"/>
    <tableColumn id="11509" xr3:uid="{011F7173-B9D1-4874-BD70-C9A202F62AF5}" name="Column11498"/>
    <tableColumn id="11510" xr3:uid="{677D7F6D-76CB-43FB-A21F-B69AFFDE14D7}" name="Column11499"/>
    <tableColumn id="11511" xr3:uid="{1956051F-4ED8-4724-ABA0-26D75C451BDF}" name="Column11500"/>
    <tableColumn id="11512" xr3:uid="{3242E3A0-6820-4380-B67C-0437D435A619}" name="Column11501"/>
    <tableColumn id="11513" xr3:uid="{719CCF45-D9CB-432D-A4A6-F1FA1066B460}" name="Column11502"/>
    <tableColumn id="11514" xr3:uid="{A6E7D69A-DBDF-40AB-925A-459E59FCA611}" name="Column11503"/>
    <tableColumn id="11515" xr3:uid="{8453FD3F-C155-441D-B177-2318E34CD040}" name="Column11504"/>
    <tableColumn id="11516" xr3:uid="{1569B9ED-D366-4DEF-B1F6-2B3312D00863}" name="Column11505"/>
    <tableColumn id="11517" xr3:uid="{FE9AFA06-8A1A-42B2-BC62-9B6045DFB862}" name="Column11506"/>
    <tableColumn id="11518" xr3:uid="{C64BAFE0-96A7-4AC4-A91C-3A1008FD8D6B}" name="Column11507"/>
    <tableColumn id="11519" xr3:uid="{A17774E5-04B4-4A2C-8280-B0C652ADBAE2}" name="Column11508"/>
    <tableColumn id="11520" xr3:uid="{B7E24EA3-56A3-4421-9027-006EF3354FFD}" name="Column11509"/>
    <tableColumn id="11521" xr3:uid="{FC10EB6F-EA46-404F-80FE-5CA477CA4468}" name="Column11510"/>
    <tableColumn id="11522" xr3:uid="{2798395D-1051-473D-8303-8D4D645DF240}" name="Column11511"/>
    <tableColumn id="11523" xr3:uid="{C49DD8F6-76E2-4530-BFAB-A6229D701209}" name="Column11512"/>
    <tableColumn id="11524" xr3:uid="{D9A1599D-41BA-4916-9FB6-F62C984EC32B}" name="Column11513"/>
    <tableColumn id="11525" xr3:uid="{F529EE4A-1B80-473B-BBC0-6B9576A988ED}" name="Column11514"/>
    <tableColumn id="11526" xr3:uid="{1AEEB11F-CD1D-4A8C-B8D5-F71E205F4BC4}" name="Column11515"/>
    <tableColumn id="11527" xr3:uid="{3E824ED4-D868-48E5-ACAE-D6FBE1106ED9}" name="Column11516"/>
    <tableColumn id="11528" xr3:uid="{A8978858-029E-4E89-9EC5-8910C41FE146}" name="Column11517"/>
    <tableColumn id="11529" xr3:uid="{9E2F7DBB-89E5-4248-AEF4-72972E8E5672}" name="Column11518"/>
    <tableColumn id="11530" xr3:uid="{EB012D29-CDB5-4428-B6F1-0CE22F94A440}" name="Column11519"/>
    <tableColumn id="11531" xr3:uid="{8CBEC97F-8781-4EB4-96CC-62F956CCF0F4}" name="Column11520"/>
    <tableColumn id="11532" xr3:uid="{2EB13B95-3268-46B0-9D05-690176E1C267}" name="Column11521"/>
    <tableColumn id="11533" xr3:uid="{5A62421B-6F87-4981-875B-C894CE86BC36}" name="Column11522"/>
    <tableColumn id="11534" xr3:uid="{A0FB9194-9BDC-4553-AD1F-444689F199F0}" name="Column11523"/>
    <tableColumn id="11535" xr3:uid="{7BB04723-3A41-43F9-AC54-01756D1EFD63}" name="Column11524"/>
    <tableColumn id="11536" xr3:uid="{9E08982A-27FC-4870-9EAC-00028815F30E}" name="Column11525"/>
    <tableColumn id="11537" xr3:uid="{A4993399-CE2D-4FCC-8D5A-3C9A6BA0B668}" name="Column11526"/>
    <tableColumn id="11538" xr3:uid="{AB7713C7-C608-4498-ADF2-515DC67F6683}" name="Column11527"/>
    <tableColumn id="11539" xr3:uid="{BB30CA3E-E643-4F76-AFA9-58CE383C2472}" name="Column11528"/>
    <tableColumn id="11540" xr3:uid="{1ECF1A5C-C21D-4DFB-81B2-EA0765EDDFEF}" name="Column11529"/>
    <tableColumn id="11541" xr3:uid="{0473CF61-796B-419F-B7B4-78F54404699F}" name="Column11530"/>
    <tableColumn id="11542" xr3:uid="{2E92552B-8DC4-40B2-9BE4-4AF2C211E7F2}" name="Column11531"/>
    <tableColumn id="11543" xr3:uid="{8D59DA66-61D2-4E19-85AB-59D4A52CA4BA}" name="Column11532"/>
    <tableColumn id="11544" xr3:uid="{B3AF48E2-4CE9-45F2-B052-38D5B83AA480}" name="Column11533"/>
    <tableColumn id="11545" xr3:uid="{EB212ECC-CD14-456F-805F-D59EBCC213F5}" name="Column11534"/>
    <tableColumn id="11546" xr3:uid="{C695C691-AF2E-4F4E-BF0B-BE4F0B9E4552}" name="Column11535"/>
    <tableColumn id="11547" xr3:uid="{CCEC4484-328C-4A5A-AC6A-509FE333E905}" name="Column11536"/>
    <tableColumn id="11548" xr3:uid="{C9324E83-5C1F-423F-95BB-640E915CB1B8}" name="Column11537"/>
    <tableColumn id="11549" xr3:uid="{F2665A76-EE24-4EDC-A94C-EF817F123E08}" name="Column11538"/>
    <tableColumn id="11550" xr3:uid="{D49D86C4-031C-4C06-A42B-061827DA6A8F}" name="Column11539"/>
    <tableColumn id="11551" xr3:uid="{86E23454-5748-4C01-9237-1E4D12483F89}" name="Column11540"/>
    <tableColumn id="11552" xr3:uid="{2EF3C7B5-DB5E-4EDA-9712-E408FD15C1DC}" name="Column11541"/>
    <tableColumn id="11553" xr3:uid="{1848F540-DF6C-4108-91FA-B0811B6E3D10}" name="Column11542"/>
    <tableColumn id="11554" xr3:uid="{384B874C-EC62-4D5E-AC4E-59599C833D62}" name="Column11543"/>
    <tableColumn id="11555" xr3:uid="{8D39D4D7-B847-4485-ABF7-C3F44F4857DA}" name="Column11544"/>
    <tableColumn id="11556" xr3:uid="{82538CC0-3B0F-4A40-9D9E-C3A798F8752B}" name="Column11545"/>
    <tableColumn id="11557" xr3:uid="{3FB83396-FD18-454D-B0EB-46BC628AD6A2}" name="Column11546"/>
    <tableColumn id="11558" xr3:uid="{29E85D9A-B66D-43C6-9994-1B9EFFE98AC5}" name="Column11547"/>
    <tableColumn id="11559" xr3:uid="{FEBCF606-17EF-4EBB-9DFF-2F80141766CE}" name="Column11548"/>
    <tableColumn id="11560" xr3:uid="{02AD5B79-52CC-4501-8995-266F03FF6D86}" name="Column11549"/>
    <tableColumn id="11561" xr3:uid="{D5A7E5E3-E5FF-4FB4-81DB-F01D82709C45}" name="Column11550"/>
    <tableColumn id="11562" xr3:uid="{72BEBE70-3B87-4D6A-A09D-46BC55F4AE79}" name="Column11551"/>
    <tableColumn id="11563" xr3:uid="{35B5A415-F4BD-4E28-9011-64B400297DE6}" name="Column11552"/>
    <tableColumn id="11564" xr3:uid="{C023D0EF-3780-403A-84C0-BB0DBD0538E8}" name="Column11553"/>
    <tableColumn id="11565" xr3:uid="{A72B85D5-EA95-42E0-B4FB-00DE75C48643}" name="Column11554"/>
    <tableColumn id="11566" xr3:uid="{A37CE874-99D3-4A80-BDF5-82928172AC37}" name="Column11555"/>
    <tableColumn id="11567" xr3:uid="{515E94A0-F9FB-4D84-97A8-A2E5B57CEFA8}" name="Column11556"/>
    <tableColumn id="11568" xr3:uid="{5790E6F2-B468-4331-A4B1-54900BEA0B91}" name="Column11557"/>
    <tableColumn id="11569" xr3:uid="{FB8BA58C-4A16-4C7D-ABD9-268BF1F582EF}" name="Column11558"/>
    <tableColumn id="11570" xr3:uid="{119E5D85-E18C-4660-B17B-40E654A67701}" name="Column11559"/>
    <tableColumn id="11571" xr3:uid="{BAB370A1-8103-4319-AEB9-452B2C71C544}" name="Column11560"/>
    <tableColumn id="11572" xr3:uid="{261C2F87-A402-404A-90B7-6CE01C7033C6}" name="Column11561"/>
    <tableColumn id="11573" xr3:uid="{2EB6CE75-6F3B-48CE-900E-7AE289D6AD23}" name="Column11562"/>
    <tableColumn id="11574" xr3:uid="{369F9532-ED57-485C-A06A-BA2BBFCC7675}" name="Column11563"/>
    <tableColumn id="11575" xr3:uid="{2E53CAA2-FE39-4C83-9BD4-FC34035E0C18}" name="Column11564"/>
    <tableColumn id="11576" xr3:uid="{93B0C76E-F6E5-47A6-AB75-E056D718D740}" name="Column11565"/>
    <tableColumn id="11577" xr3:uid="{3576BBFD-ED95-4702-9348-F922163C8603}" name="Column11566"/>
    <tableColumn id="11578" xr3:uid="{4B43AE78-142C-4FD0-8742-01B12C265A91}" name="Column11567"/>
    <tableColumn id="11579" xr3:uid="{9B7FF940-BA76-4E7F-ABF4-21411FEEB869}" name="Column11568"/>
    <tableColumn id="11580" xr3:uid="{5A08DD00-36BA-452F-A60B-2DB82AD96854}" name="Column11569"/>
    <tableColumn id="11581" xr3:uid="{4EF93CEF-EF44-4AB4-B3CC-5AC3488E20BD}" name="Column11570"/>
    <tableColumn id="11582" xr3:uid="{9F3364E1-69FC-4658-AA40-F011D17DB787}" name="Column11571"/>
    <tableColumn id="11583" xr3:uid="{E2886615-AAD7-4B97-AD3E-DAFC64E996BB}" name="Column11572"/>
    <tableColumn id="11584" xr3:uid="{02B0C3C3-00AB-4156-B1EE-4B7D0ECE7546}" name="Column11573"/>
    <tableColumn id="11585" xr3:uid="{4AC00BB8-F2F4-4963-828A-0E243D8AC68F}" name="Column11574"/>
    <tableColumn id="11586" xr3:uid="{936EE863-3D33-4DC6-87A2-78D8D225DDA4}" name="Column11575"/>
    <tableColumn id="11587" xr3:uid="{0D71A468-D7AB-435E-A5D8-C207AE8B7134}" name="Column11576"/>
    <tableColumn id="11588" xr3:uid="{45C2CDEC-23FB-4447-9C43-F7E4B8B15AA8}" name="Column11577"/>
    <tableColumn id="11589" xr3:uid="{DE70F151-3B37-4686-A8DB-CECD4F21303A}" name="Column11578"/>
    <tableColumn id="11590" xr3:uid="{098945D2-0720-43CB-A14A-B66B655B463D}" name="Column11579"/>
    <tableColumn id="11591" xr3:uid="{53B297E5-A392-468E-8A60-6891F59E58CB}" name="Column11580"/>
    <tableColumn id="11592" xr3:uid="{53D1C52A-5615-4AF0-84CA-BE14BF6468EC}" name="Column11581"/>
    <tableColumn id="11593" xr3:uid="{0AA60955-E7BB-447E-A26A-4ADFAB462047}" name="Column11582"/>
    <tableColumn id="11594" xr3:uid="{D3C6D381-09A8-4D24-A16B-3F108C06CE0F}" name="Column11583"/>
    <tableColumn id="11595" xr3:uid="{C22471D3-5604-436A-B454-8081CF19F1BD}" name="Column11584"/>
    <tableColumn id="11596" xr3:uid="{FFC37EDA-118F-42CF-9649-79C34D22283D}" name="Column11585"/>
    <tableColumn id="11597" xr3:uid="{8C08B62B-AFC5-4957-B459-5B3FE5762231}" name="Column11586"/>
    <tableColumn id="11598" xr3:uid="{6AB3963E-E302-4A2C-83F5-EF21E0B455CD}" name="Column11587"/>
    <tableColumn id="11599" xr3:uid="{DBEBB76D-B86A-4344-8BA7-6CED446D3794}" name="Column11588"/>
    <tableColumn id="11600" xr3:uid="{1A3B69F4-EE88-45BE-BB2D-75643468D6D3}" name="Column11589"/>
    <tableColumn id="11601" xr3:uid="{FCCE4A31-3899-485F-A089-667D0269BB7B}" name="Column11590"/>
    <tableColumn id="11602" xr3:uid="{BE302FE5-672A-436D-AB87-753599F0BADD}" name="Column11591"/>
    <tableColumn id="11603" xr3:uid="{FA31A064-2802-451A-B21A-6745D765E2C5}" name="Column11592"/>
    <tableColumn id="11604" xr3:uid="{4CED1746-D439-4381-8C2B-1EC87B4BEB23}" name="Column11593"/>
    <tableColumn id="11605" xr3:uid="{BB859FAA-2870-45E2-A891-BDFFCEEEFB7D}" name="Column11594"/>
    <tableColumn id="11606" xr3:uid="{1C0DDCDE-9F35-4265-8042-2EF824A5CB9C}" name="Column11595"/>
    <tableColumn id="11607" xr3:uid="{9223DA22-96DC-45E7-947B-F6E9780B07D0}" name="Column11596"/>
    <tableColumn id="11608" xr3:uid="{B4C48BEA-2FE8-4DE4-8E6F-80F214DE28C6}" name="Column11597"/>
    <tableColumn id="11609" xr3:uid="{78F74A3B-55A9-4FA4-9CEB-1A3597371B1B}" name="Column11598"/>
    <tableColumn id="11610" xr3:uid="{602AA93B-5E7F-4615-90D5-23E15A498F43}" name="Column11599"/>
    <tableColumn id="11611" xr3:uid="{EFE514D1-624E-464C-8915-1CD2C742D024}" name="Column11600"/>
    <tableColumn id="11612" xr3:uid="{1445A99C-5878-4ED4-AAC5-A6A735AB34E4}" name="Column11601"/>
    <tableColumn id="11613" xr3:uid="{A3783661-B0C8-480A-AFAA-C3D0B94B1BD0}" name="Column11602"/>
    <tableColumn id="11614" xr3:uid="{FD99FA1D-0E82-49DE-9D6C-A153474DAD43}" name="Column11603"/>
    <tableColumn id="11615" xr3:uid="{024ACBAF-64A2-4638-80A2-4957D1AB37D4}" name="Column11604"/>
    <tableColumn id="11616" xr3:uid="{44157C5E-E397-459A-AA3D-DF776E0DCD8F}" name="Column11605"/>
    <tableColumn id="11617" xr3:uid="{1FEC0FC2-DD16-4E78-9134-BD074D83BE42}" name="Column11606"/>
    <tableColumn id="11618" xr3:uid="{8C7EDF3C-18B6-48A3-8340-C5773EDCC4BD}" name="Column11607"/>
    <tableColumn id="11619" xr3:uid="{F7E271E3-51BA-402A-A5B3-8A89ED480732}" name="Column11608"/>
    <tableColumn id="11620" xr3:uid="{660CA505-EEA2-4516-8D07-AB9E6209483F}" name="Column11609"/>
    <tableColumn id="11621" xr3:uid="{2574EB78-6B5D-4ECE-8033-B524A693DABE}" name="Column11610"/>
    <tableColumn id="11622" xr3:uid="{94AEBBF4-D978-4477-9188-74C581411AEF}" name="Column11611"/>
    <tableColumn id="11623" xr3:uid="{617F95F8-51FE-42D4-B7F7-CABB536C57EB}" name="Column11612"/>
    <tableColumn id="11624" xr3:uid="{FD55E148-F4C6-431A-9EF6-E1A4DC232B3B}" name="Column11613"/>
    <tableColumn id="11625" xr3:uid="{44E1FF84-9DAB-4466-9FCB-C6B23EB3AE93}" name="Column11614"/>
    <tableColumn id="11626" xr3:uid="{7947A8C0-02F1-405A-91F6-3AF9EF1E8D81}" name="Column11615"/>
    <tableColumn id="11627" xr3:uid="{0BE61DF3-F784-47DD-8CCD-A95E756035AC}" name="Column11616"/>
    <tableColumn id="11628" xr3:uid="{05DBE4AF-0C38-4144-B363-80DA120C4B0D}" name="Column11617"/>
    <tableColumn id="11629" xr3:uid="{A20A662E-C740-472A-A488-A1FFD70C542F}" name="Column11618"/>
    <tableColumn id="11630" xr3:uid="{10C8F152-A0B5-4C28-9299-B4BFF2572B7F}" name="Column11619"/>
    <tableColumn id="11631" xr3:uid="{33321F90-2F8E-42F4-B2A7-7F7900DD26BB}" name="Column11620"/>
    <tableColumn id="11632" xr3:uid="{BD405119-360E-4B49-B680-EF92280A9B49}" name="Column11621"/>
    <tableColumn id="11633" xr3:uid="{0A38F53F-0F8C-4055-9766-E45B6627F51F}" name="Column11622"/>
    <tableColumn id="11634" xr3:uid="{0C3B1CC8-94C3-48A8-A6D5-8937094D39B4}" name="Column11623"/>
    <tableColumn id="11635" xr3:uid="{E03F8DB7-191B-4A1C-801C-BBB864BEA397}" name="Column11624"/>
    <tableColumn id="11636" xr3:uid="{81D72912-8CB8-461D-8BD8-CB03308399E8}" name="Column11625"/>
    <tableColumn id="11637" xr3:uid="{E3B48F19-EDB5-4731-9899-C0118BB9FBF3}" name="Column11626"/>
    <tableColumn id="11638" xr3:uid="{C3D2073B-97A6-423F-8B79-284AD941F2E6}" name="Column11627"/>
    <tableColumn id="11639" xr3:uid="{0B2BFC24-BB44-41F9-89D0-830305FFE831}" name="Column11628"/>
    <tableColumn id="11640" xr3:uid="{1D04DDF3-AFD9-4D58-8DE7-D41BA8CB192F}" name="Column11629"/>
    <tableColumn id="11641" xr3:uid="{7EFE358E-1B3F-43C9-AAB8-EAC0768CC9AC}" name="Column11630"/>
    <tableColumn id="11642" xr3:uid="{5A5E479C-7EA5-4F3D-A715-FFDE4C054FEE}" name="Column11631"/>
    <tableColumn id="11643" xr3:uid="{595613C9-15C7-4A07-AE69-169D5872F132}" name="Column11632"/>
    <tableColumn id="11644" xr3:uid="{9225865D-13B7-45FB-B03A-64A04037F683}" name="Column11633"/>
    <tableColumn id="11645" xr3:uid="{07FC9080-2A89-4E2A-B82C-E81E89D87DEC}" name="Column11634"/>
    <tableColumn id="11646" xr3:uid="{92822A3E-60F4-4265-810F-1C7A80075F01}" name="Column11635"/>
    <tableColumn id="11647" xr3:uid="{991C69B4-3C48-4BCA-96D3-A820FA85DAB9}" name="Column11636"/>
    <tableColumn id="11648" xr3:uid="{4CB8790E-7A4D-4932-9BE7-F3E6B49C4B87}" name="Column11637"/>
    <tableColumn id="11649" xr3:uid="{5FA4BA90-237D-4BF0-AE2D-102A874D7B66}" name="Column11638"/>
    <tableColumn id="11650" xr3:uid="{EC1067A5-D508-4242-9A5A-A01BC79983D9}" name="Column11639"/>
    <tableColumn id="11651" xr3:uid="{8749B06F-3F44-4CD3-B671-CD73A4B6A64E}" name="Column11640"/>
    <tableColumn id="11652" xr3:uid="{8594C2ED-BC79-4402-8AE7-3D8642BD62EA}" name="Column11641"/>
    <tableColumn id="11653" xr3:uid="{A99961F7-2F76-4023-837A-ACE5A54C9D70}" name="Column11642"/>
    <tableColumn id="11654" xr3:uid="{A3C525A5-B469-4B3C-A04F-E26DC1204B73}" name="Column11643"/>
    <tableColumn id="11655" xr3:uid="{6B44CF7C-0C78-4F37-B35C-E9D0263D0539}" name="Column11644"/>
    <tableColumn id="11656" xr3:uid="{B7CF67F0-99C9-4A78-9142-B156A96CFF8A}" name="Column11645"/>
    <tableColumn id="11657" xr3:uid="{54E07132-7393-44FE-8798-571A387E8215}" name="Column11646"/>
    <tableColumn id="11658" xr3:uid="{268DC2F8-2B27-49D8-BBC6-240003D15C35}" name="Column11647"/>
    <tableColumn id="11659" xr3:uid="{48ABDB85-6C0D-4741-9190-DE718992C2BB}" name="Column11648"/>
    <tableColumn id="11660" xr3:uid="{E5F74B9E-9C7A-4D89-A14E-9F6810AE63EC}" name="Column11649"/>
    <tableColumn id="11661" xr3:uid="{B8E0BDF8-257A-448A-A359-CB768CE0D65B}" name="Column11650"/>
    <tableColumn id="11662" xr3:uid="{D48B264E-74F8-462B-B8F9-A57286DF1D7D}" name="Column11651"/>
    <tableColumn id="11663" xr3:uid="{10A7B55C-8788-4978-8087-ECEFD7CA07CC}" name="Column11652"/>
    <tableColumn id="11664" xr3:uid="{B6C80238-3119-4FCA-81F4-883723492B9B}" name="Column11653"/>
    <tableColumn id="11665" xr3:uid="{B6C06655-81D6-4FCB-9458-E7882F660126}" name="Column11654"/>
    <tableColumn id="11666" xr3:uid="{B1DB2D1E-3A47-48F3-ADA9-9BBD5080752D}" name="Column11655"/>
    <tableColumn id="11667" xr3:uid="{1C12A265-45DA-48CB-94D1-35F601C50140}" name="Column11656"/>
    <tableColumn id="11668" xr3:uid="{5149702E-7F37-433C-8554-380DEF960650}" name="Column11657"/>
    <tableColumn id="11669" xr3:uid="{DBB3E9A9-FC7E-49A4-9376-E1E2C36350CF}" name="Column11658"/>
    <tableColumn id="11670" xr3:uid="{48B8EA86-6592-4323-BD04-567AE66AA9AF}" name="Column11659"/>
    <tableColumn id="11671" xr3:uid="{14009240-84D1-4CE0-9AE5-6F07DA6E0C2D}" name="Column11660"/>
    <tableColumn id="11672" xr3:uid="{BBC08B25-57BB-4832-9E31-D0E38C5BA9D6}" name="Column11661"/>
    <tableColumn id="11673" xr3:uid="{EEE2AF5A-B51E-4435-862B-C0F323ABC440}" name="Column11662"/>
    <tableColumn id="11674" xr3:uid="{602435B9-0F49-4494-B2D6-32FD5AA9EEDE}" name="Column11663"/>
    <tableColumn id="11675" xr3:uid="{AEE6B8EF-797D-4B19-A2A1-BCB34988A814}" name="Column11664"/>
    <tableColumn id="11676" xr3:uid="{049DCAF1-EC08-4496-8DDA-8A7AB644A174}" name="Column11665"/>
    <tableColumn id="11677" xr3:uid="{AA454894-07F6-4899-BFE3-50528FC9CC1D}" name="Column11666"/>
    <tableColumn id="11678" xr3:uid="{DB749E0B-7762-4217-BCBC-0E997DC681EF}" name="Column11667"/>
    <tableColumn id="11679" xr3:uid="{D29879F0-5E68-4F56-9F29-2DED9872BF60}" name="Column11668"/>
    <tableColumn id="11680" xr3:uid="{16E2F84F-9420-4089-9712-D0DF2E2A3D4E}" name="Column11669"/>
    <tableColumn id="11681" xr3:uid="{3AC11CC3-D5F7-41C8-B294-19024F5D6767}" name="Column11670"/>
    <tableColumn id="11682" xr3:uid="{5284229E-2913-4568-BBEA-33326CCD4E0A}" name="Column11671"/>
    <tableColumn id="11683" xr3:uid="{95F6375A-A7CE-4CB7-98BD-9632D4B439D0}" name="Column11672"/>
    <tableColumn id="11684" xr3:uid="{3B3C5833-9842-4942-BC07-385A4B50F071}" name="Column11673"/>
    <tableColumn id="11685" xr3:uid="{F9A263D5-EEF1-440A-9991-37ABAFBFEEA6}" name="Column11674"/>
    <tableColumn id="11686" xr3:uid="{A48CD199-69A5-405F-A8B9-F8DAC3A94868}" name="Column11675"/>
    <tableColumn id="11687" xr3:uid="{E99E3A3E-6924-431E-BF1F-4B799D4EFB9F}" name="Column11676"/>
    <tableColumn id="11688" xr3:uid="{A8F9BF3C-6A57-4E2C-BA2E-7D4D78C02E11}" name="Column11677"/>
    <tableColumn id="11689" xr3:uid="{F186108B-6842-4963-9317-50496CAA0EE4}" name="Column11678"/>
    <tableColumn id="11690" xr3:uid="{B97F5C06-5F22-475D-AAB4-1FBE442FC60F}" name="Column11679"/>
    <tableColumn id="11691" xr3:uid="{E5CC82EE-2D71-484F-A522-3F07F685FB9C}" name="Column11680"/>
    <tableColumn id="11692" xr3:uid="{C3EB6646-881A-4548-9AD8-E73F6574F585}" name="Column11681"/>
    <tableColumn id="11693" xr3:uid="{8F4EDB8A-E22C-4469-AE66-927D92EB0C28}" name="Column11682"/>
    <tableColumn id="11694" xr3:uid="{3F633B80-4298-4CB4-91D7-745BB67E557A}" name="Column11683"/>
    <tableColumn id="11695" xr3:uid="{7FA1A777-D21A-4C9C-8DA0-B07355F85F9D}" name="Column11684"/>
    <tableColumn id="11696" xr3:uid="{1D3455A0-3AF2-4501-941F-AFC860A54CB5}" name="Column11685"/>
    <tableColumn id="11697" xr3:uid="{B7D932E8-53B8-4A85-A02D-DBCA3832BC7B}" name="Column11686"/>
    <tableColumn id="11698" xr3:uid="{1AA522FA-FC70-408F-94D1-FB9C08B99D8D}" name="Column11687"/>
    <tableColumn id="11699" xr3:uid="{DE6B5F2E-7905-4340-8A36-29E868AE1798}" name="Column11688"/>
    <tableColumn id="11700" xr3:uid="{D8F55F6C-9E3D-41D9-9026-3BE7FDBF4058}" name="Column11689"/>
    <tableColumn id="11701" xr3:uid="{BDBA7D95-9410-4A6E-9061-B29353BF8C97}" name="Column11690"/>
    <tableColumn id="11702" xr3:uid="{27AEB57A-36A6-4839-80FE-742538C19601}" name="Column11691"/>
    <tableColumn id="11703" xr3:uid="{CBF3A49B-7A87-4022-9C83-4EA570339502}" name="Column11692"/>
    <tableColumn id="11704" xr3:uid="{118888F8-1F87-4DD3-8DEB-D63BB71CBFD9}" name="Column11693"/>
    <tableColumn id="11705" xr3:uid="{5C2F5CE3-CAE1-4101-A51A-F8E72F7755E9}" name="Column11694"/>
    <tableColumn id="11706" xr3:uid="{D025F9AB-72F3-485F-B3C0-E422067061B9}" name="Column11695"/>
    <tableColumn id="11707" xr3:uid="{D014A47E-9C21-4A71-888A-E33D678283AF}" name="Column11696"/>
    <tableColumn id="11708" xr3:uid="{8FF79E66-6A94-4F85-AD43-1A137E1339AE}" name="Column11697"/>
    <tableColumn id="11709" xr3:uid="{57432051-8B59-4E1D-856C-654598C44A73}" name="Column11698"/>
    <tableColumn id="11710" xr3:uid="{C2ED7B0F-4B5D-4FBB-8474-33FC66EAE5A6}" name="Column11699"/>
    <tableColumn id="11711" xr3:uid="{A7B167B5-84D4-4F4F-8982-69F9D5FAE171}" name="Column11700"/>
    <tableColumn id="11712" xr3:uid="{A36B0496-1DBE-4A37-9FE0-B5CD77C28497}" name="Column11701"/>
    <tableColumn id="11713" xr3:uid="{74D83F1A-694B-4858-B60A-3B3454CAEC4D}" name="Column11702"/>
    <tableColumn id="11714" xr3:uid="{68BA1156-838A-4C5C-9AC6-0922B948241C}" name="Column11703"/>
    <tableColumn id="11715" xr3:uid="{5DE21E5A-3A14-48A6-9C69-E6870C555A1B}" name="Column11704"/>
    <tableColumn id="11716" xr3:uid="{9086C0BC-D527-43E8-87C7-1704D3723041}" name="Column11705"/>
    <tableColumn id="11717" xr3:uid="{A6ACBC09-9667-497D-B069-89F9686A9C5F}" name="Column11706"/>
    <tableColumn id="11718" xr3:uid="{F14D997E-D60D-44C5-8604-E4BE9D09A7F5}" name="Column11707"/>
    <tableColumn id="11719" xr3:uid="{AFBED5F4-FB44-4EDE-92D7-4DF28509A727}" name="Column11708"/>
    <tableColumn id="11720" xr3:uid="{83F61937-2512-4BB8-A2E3-27F787C341F5}" name="Column11709"/>
    <tableColumn id="11721" xr3:uid="{5E16959B-AD03-4D36-8E2A-3D4F78B2A023}" name="Column11710"/>
    <tableColumn id="11722" xr3:uid="{34712CD7-BCCA-4AD3-8C67-D81462E0C18F}" name="Column11711"/>
    <tableColumn id="11723" xr3:uid="{3F0CBD08-2E6F-446A-864F-9672583EE50A}" name="Column11712"/>
    <tableColumn id="11724" xr3:uid="{34B6FE2B-22E8-4236-B826-3237A33A80A8}" name="Column11713"/>
    <tableColumn id="11725" xr3:uid="{FAB9ED64-31A4-492D-B849-65571FB93B6E}" name="Column11714"/>
    <tableColumn id="11726" xr3:uid="{91500248-B7B4-4DA7-B400-C2E3ED546E9F}" name="Column11715"/>
    <tableColumn id="11727" xr3:uid="{2F16180E-05BD-4235-B50E-68304C5226FD}" name="Column11716"/>
    <tableColumn id="11728" xr3:uid="{4430E008-3B72-4C33-9671-2D8154ACD425}" name="Column11717"/>
    <tableColumn id="11729" xr3:uid="{1EE3D694-6802-41E2-8950-ADB18D1AAADE}" name="Column11718"/>
    <tableColumn id="11730" xr3:uid="{E7B5AACC-ED68-4950-93D5-DC4B06D258C5}" name="Column11719"/>
    <tableColumn id="11731" xr3:uid="{57C5B04F-A0B3-45EA-8E57-1A381FF7F56F}" name="Column11720"/>
    <tableColumn id="11732" xr3:uid="{B70F7414-B8A8-4617-9DD0-2AD1E54129FD}" name="Column11721"/>
    <tableColumn id="11733" xr3:uid="{2EB3D319-5FC3-4675-956F-48215082AC07}" name="Column11722"/>
    <tableColumn id="11734" xr3:uid="{D1CD1332-D6CC-40D7-B1FA-BB061C65A02C}" name="Column11723"/>
    <tableColumn id="11735" xr3:uid="{DB5B1152-0B72-4ABB-B76D-E1C94B0DEE77}" name="Column11724"/>
    <tableColumn id="11736" xr3:uid="{582C9A49-5718-4D1E-B4E7-8FFA79578FB7}" name="Column11725"/>
    <tableColumn id="11737" xr3:uid="{EA44725B-74EB-40ED-8772-5DF871EC9EFF}" name="Column11726"/>
    <tableColumn id="11738" xr3:uid="{672A20F8-4320-4C46-96DF-2ABF2861CBF2}" name="Column11727"/>
    <tableColumn id="11739" xr3:uid="{87875154-2795-48AC-A7F7-DCFF87D974F8}" name="Column11728"/>
    <tableColumn id="11740" xr3:uid="{F7357F62-1BC4-4D05-B059-BAF77C2FA8A9}" name="Column11729"/>
    <tableColumn id="11741" xr3:uid="{51758FF8-22D9-4859-998F-88ECE23B9666}" name="Column11730"/>
    <tableColumn id="11742" xr3:uid="{CB62A9D6-5794-4541-849A-155F59C6CB20}" name="Column11731"/>
    <tableColumn id="11743" xr3:uid="{36CC67D7-2A7D-437C-BEBA-F3368EC23B7F}" name="Column11732"/>
    <tableColumn id="11744" xr3:uid="{0D1DA84D-2A01-4C2A-97C5-F126ACBDA126}" name="Column11733"/>
    <tableColumn id="11745" xr3:uid="{BE10F137-C5E4-4EFD-AC8E-8C17661E32D2}" name="Column11734"/>
    <tableColumn id="11746" xr3:uid="{A8A29E33-FEA0-422C-95F2-96A201D2BA6D}" name="Column11735"/>
    <tableColumn id="11747" xr3:uid="{E33A347C-25AD-46A6-B380-C387CC0436E5}" name="Column11736"/>
    <tableColumn id="11748" xr3:uid="{B295986F-44E6-46CE-8E11-F2FC0C5645F3}" name="Column11737"/>
    <tableColumn id="11749" xr3:uid="{30CAE663-DE84-4CBA-BEF8-3B71575B82D9}" name="Column11738"/>
    <tableColumn id="11750" xr3:uid="{630A0682-BCEC-48C5-A0B2-9E267EA112B9}" name="Column11739"/>
    <tableColumn id="11751" xr3:uid="{E54E8EA5-E768-4797-B46C-BEADA3F57C10}" name="Column11740"/>
    <tableColumn id="11752" xr3:uid="{B1709472-518E-413F-8199-02D695F2EF87}" name="Column11741"/>
    <tableColumn id="11753" xr3:uid="{A0A05368-C93B-4062-8378-44E8C909F6A2}" name="Column11742"/>
    <tableColumn id="11754" xr3:uid="{C18A914A-A992-4B0E-9A73-DDFEC8476650}" name="Column11743"/>
    <tableColumn id="11755" xr3:uid="{289A08F9-882D-491C-A1A7-AC3CCD66EDC5}" name="Column11744"/>
    <tableColumn id="11756" xr3:uid="{9B66753C-2BD3-409D-8A6B-F75DFD42A2E6}" name="Column11745"/>
    <tableColumn id="11757" xr3:uid="{18300343-D3D2-4C63-98F8-957B10C65F24}" name="Column11746"/>
    <tableColumn id="11758" xr3:uid="{C1EC3716-5BDD-434C-8280-B44201884311}" name="Column11747"/>
    <tableColumn id="11759" xr3:uid="{DCEFE312-CF1F-444B-B866-F333CAD9B122}" name="Column11748"/>
    <tableColumn id="11760" xr3:uid="{ACEDFD6B-EDDA-451B-90E3-958367F35FBB}" name="Column11749"/>
    <tableColumn id="11761" xr3:uid="{683B8C77-93AB-4640-935A-7EC78A219CFF}" name="Column11750"/>
    <tableColumn id="11762" xr3:uid="{9C36DFB1-AECD-460F-B90A-7145E0AD5BB4}" name="Column11751"/>
    <tableColumn id="11763" xr3:uid="{5D432A56-339E-499D-BE3F-A2078571847A}" name="Column11752"/>
    <tableColumn id="11764" xr3:uid="{A325D6C4-02DB-4E8B-97B7-EE7330C8ABD8}" name="Column11753"/>
    <tableColumn id="11765" xr3:uid="{355A2CE0-F7A7-4A44-95DA-A3879D30839B}" name="Column11754"/>
    <tableColumn id="11766" xr3:uid="{B08F9746-9CB7-47DA-B096-FD941E98C3EB}" name="Column11755"/>
    <tableColumn id="11767" xr3:uid="{728F6EBB-C720-46C9-AD23-B17DE4DA1ED1}" name="Column11756"/>
    <tableColumn id="11768" xr3:uid="{9EE8B76B-88D9-4FC6-B96A-93321D97AE85}" name="Column11757"/>
    <tableColumn id="11769" xr3:uid="{BF917E10-2E76-49EE-A7DC-D435547BC755}" name="Column11758"/>
    <tableColumn id="11770" xr3:uid="{F13AE0F4-03E5-4F43-8A9E-541BB66803B7}" name="Column11759"/>
    <tableColumn id="11771" xr3:uid="{78684893-7478-4167-841B-0236E395CD30}" name="Column11760"/>
    <tableColumn id="11772" xr3:uid="{2719B9D1-4BDB-4823-8761-AB14A2483CEE}" name="Column11761"/>
    <tableColumn id="11773" xr3:uid="{4223EF04-E598-4459-AE9F-8DC65D28AA79}" name="Column11762"/>
    <tableColumn id="11774" xr3:uid="{C25F4E61-D719-4A52-AEE4-6CA5632D7138}" name="Column11763"/>
    <tableColumn id="11775" xr3:uid="{469BC1E4-66E0-4FFE-AE9E-ABCD7A09AFA5}" name="Column11764"/>
    <tableColumn id="11776" xr3:uid="{9784FB7E-EF12-4D03-BE39-999ABDBF4923}" name="Column11765"/>
    <tableColumn id="11777" xr3:uid="{2592C521-0C9B-42A9-9A28-6B8375C40234}" name="Column11766"/>
    <tableColumn id="11778" xr3:uid="{AA21BB95-6D5C-44D2-A800-A35D561EA4DE}" name="Column11767"/>
    <tableColumn id="11779" xr3:uid="{AF8DDA9B-38D4-4B82-9233-8B1BDAC9E518}" name="Column11768"/>
    <tableColumn id="11780" xr3:uid="{478E753F-F480-4CCC-A168-B09B1A373E39}" name="Column11769"/>
    <tableColumn id="11781" xr3:uid="{BFA0F65F-A92B-4909-85B7-D41F5FCF18AB}" name="Column11770"/>
    <tableColumn id="11782" xr3:uid="{ACFB3D33-5602-47E7-9B1B-80ECAD867C12}" name="Column11771"/>
    <tableColumn id="11783" xr3:uid="{DE9126FC-0FAF-405F-9EFA-FA1BA436874D}" name="Column11772"/>
    <tableColumn id="11784" xr3:uid="{E20606DF-B321-4373-B13A-B1518D9E8303}" name="Column11773"/>
    <tableColumn id="11785" xr3:uid="{1D0300AF-180D-453E-9291-797DCB8D7FC6}" name="Column11774"/>
    <tableColumn id="11786" xr3:uid="{27044417-7410-4F3C-BB52-17B2DA8A4309}" name="Column11775"/>
    <tableColumn id="11787" xr3:uid="{E2011052-7BAF-4A51-BB82-F56AD73A5212}" name="Column11776"/>
    <tableColumn id="11788" xr3:uid="{FDED9210-D156-4F9F-B29C-3685F3C90A63}" name="Column11777"/>
    <tableColumn id="11789" xr3:uid="{F61DE059-3597-46AC-A070-A29BB8425AED}" name="Column11778"/>
    <tableColumn id="11790" xr3:uid="{F8EF4C96-09E6-4343-8C70-5A685A385C2A}" name="Column11779"/>
    <tableColumn id="11791" xr3:uid="{DA0401C9-47D4-420B-A71E-F87AD3B39891}" name="Column11780"/>
    <tableColumn id="11792" xr3:uid="{7CC6DF9E-2504-4ED1-8DE0-0B91EE2A5557}" name="Column11781"/>
    <tableColumn id="11793" xr3:uid="{052A39EE-6052-43E8-8969-4690DB578779}" name="Column11782"/>
    <tableColumn id="11794" xr3:uid="{E69A4A4F-2039-472E-B636-950FBA6AEEAB}" name="Column11783"/>
    <tableColumn id="11795" xr3:uid="{8F8A1449-508C-46FB-9640-EFB03F9FEFC2}" name="Column11784"/>
    <tableColumn id="11796" xr3:uid="{45B18997-A58E-4542-9289-6F939C9F5662}" name="Column11785"/>
    <tableColumn id="11797" xr3:uid="{C7E667F0-4B39-47A3-9CF8-88D3BA4538BC}" name="Column11786"/>
    <tableColumn id="11798" xr3:uid="{C49DB51D-C423-4320-AFB3-D69716FD5E22}" name="Column11787"/>
    <tableColumn id="11799" xr3:uid="{4E249964-D5B4-4AD1-B627-81C6F51AAFF6}" name="Column11788"/>
    <tableColumn id="11800" xr3:uid="{5DA22B16-D2C1-4070-843F-53A2984E73AE}" name="Column11789"/>
    <tableColumn id="11801" xr3:uid="{8E40EA4D-3829-45BC-A452-F6F38A55F780}" name="Column11790"/>
    <tableColumn id="11802" xr3:uid="{1350B3C0-BB28-413C-9F94-AB5F2936399D}" name="Column11791"/>
    <tableColumn id="11803" xr3:uid="{3169D8D0-C61E-46AF-ACEE-C80F4375BF86}" name="Column11792"/>
    <tableColumn id="11804" xr3:uid="{A7910DA5-EA95-4F8A-8725-B919DEF48DB3}" name="Column11793"/>
    <tableColumn id="11805" xr3:uid="{FC339018-04FB-4858-A742-31F2076522EC}" name="Column11794"/>
    <tableColumn id="11806" xr3:uid="{D55A3948-B5BF-4892-81DF-93A96F7ADEDB}" name="Column11795"/>
    <tableColumn id="11807" xr3:uid="{B8DAECF7-D57C-4E8C-9CF2-FD89C79C58AD}" name="Column11796"/>
    <tableColumn id="11808" xr3:uid="{E2E8D741-AE0D-4541-B296-B890F3A4C56C}" name="Column11797"/>
    <tableColumn id="11809" xr3:uid="{7C0D2AE8-0D43-40CF-AAC7-0899C43C2B9F}" name="Column11798"/>
    <tableColumn id="11810" xr3:uid="{90D5AD4B-9DFC-47A3-AFD1-6C8E182AB35F}" name="Column11799"/>
    <tableColumn id="11811" xr3:uid="{414A2BCD-8BB1-4F02-8EB5-EA0EE75EB1DD}" name="Column11800"/>
    <tableColumn id="11812" xr3:uid="{089BE4E1-B302-4491-B475-9088B63F00DE}" name="Column11801"/>
    <tableColumn id="11813" xr3:uid="{96A524BC-B0E6-4E53-AE31-5A6C7E37B14E}" name="Column11802"/>
    <tableColumn id="11814" xr3:uid="{80489173-8215-47B8-B6A0-1138589F3988}" name="Column11803"/>
    <tableColumn id="11815" xr3:uid="{40688F0D-DEB8-432A-9969-31DD882934A2}" name="Column11804"/>
    <tableColumn id="11816" xr3:uid="{F9908D64-E9BA-4699-91D5-BD4B742A6229}" name="Column11805"/>
    <tableColumn id="11817" xr3:uid="{5E6B6DCB-FD89-4B0C-8CC8-4FE4F82430AC}" name="Column11806"/>
    <tableColumn id="11818" xr3:uid="{C1B93C05-F3DC-4370-82CA-CAB4CEAAE6AA}" name="Column11807"/>
    <tableColumn id="11819" xr3:uid="{F7C02126-9D5A-4DE3-8C5E-86ABDE1EAFEA}" name="Column11808"/>
    <tableColumn id="11820" xr3:uid="{9B185930-70EE-4CD1-8E6E-A712937AF826}" name="Column11809"/>
    <tableColumn id="11821" xr3:uid="{F70A313E-D04B-47D4-9800-F002409AEEC7}" name="Column11810"/>
    <tableColumn id="11822" xr3:uid="{23A24B0E-58E5-4D2B-9ECD-4B99B82DE01B}" name="Column11811"/>
    <tableColumn id="11823" xr3:uid="{D2C7488E-E9B4-485B-8CE0-1721222D5D95}" name="Column11812"/>
    <tableColumn id="11824" xr3:uid="{EA4A17BE-3CBC-483F-B5D1-FF2AF38C0A5F}" name="Column11813"/>
    <tableColumn id="11825" xr3:uid="{52BA05DF-9A42-4C42-A85C-577B8735ED2E}" name="Column11814"/>
    <tableColumn id="11826" xr3:uid="{4BDBCC89-C3F7-4465-ABE0-F82231CD7887}" name="Column11815"/>
    <tableColumn id="11827" xr3:uid="{3F7B39C3-8728-4340-A03F-DCACCF8107A5}" name="Column11816"/>
    <tableColumn id="11828" xr3:uid="{777510B2-B836-45F8-B008-D480C556987A}" name="Column11817"/>
    <tableColumn id="11829" xr3:uid="{FDD38AC3-D7FA-4B7F-9978-534BF4B6FA6B}" name="Column11818"/>
    <tableColumn id="11830" xr3:uid="{2FFA297A-1761-448B-A4F3-FF56EBDC6EBD}" name="Column11819"/>
    <tableColumn id="11831" xr3:uid="{8D90E55F-BB5E-42A9-A5FE-90D7900D2352}" name="Column11820"/>
    <tableColumn id="11832" xr3:uid="{B032D98A-6582-42AB-8D5C-5E4CA912473F}" name="Column11821"/>
    <tableColumn id="11833" xr3:uid="{7EA55F7D-66A2-47A7-BF7D-DDD357B2C250}" name="Column11822"/>
    <tableColumn id="11834" xr3:uid="{34893C9A-30EF-49CE-B83C-CAA9C3C1D597}" name="Column11823"/>
    <tableColumn id="11835" xr3:uid="{7E659EBD-F962-4106-A5DF-8EE6CCEDE892}" name="Column11824"/>
    <tableColumn id="11836" xr3:uid="{78A013DF-2AEC-446C-B63A-86E268C56364}" name="Column11825"/>
    <tableColumn id="11837" xr3:uid="{B0351338-5833-4798-A571-68948B150EA6}" name="Column11826"/>
    <tableColumn id="11838" xr3:uid="{F6BB138B-F978-4916-9315-4AFF414AD442}" name="Column11827"/>
    <tableColumn id="11839" xr3:uid="{0731F41B-7832-465B-946B-A88734DA7BE3}" name="Column11828"/>
    <tableColumn id="11840" xr3:uid="{E0C20B01-47B4-4ABE-9ABF-EC6D46098785}" name="Column11829"/>
    <tableColumn id="11841" xr3:uid="{8645B8D7-6A8E-455D-A475-92E18386FCA3}" name="Column11830"/>
    <tableColumn id="11842" xr3:uid="{622FC1B7-AC5A-4D1B-B8F7-3289217AEC31}" name="Column11831"/>
    <tableColumn id="11843" xr3:uid="{C463AA20-0528-47B6-A4F3-68D99A1E66C0}" name="Column11832"/>
    <tableColumn id="11844" xr3:uid="{DC69F168-B965-40EE-BA3C-971484315FD6}" name="Column11833"/>
    <tableColumn id="11845" xr3:uid="{701A695A-8B38-4B33-8D18-10304DB51223}" name="Column11834"/>
    <tableColumn id="11846" xr3:uid="{1D7A84C5-75F8-4071-BB90-95CE3AE831F1}" name="Column11835"/>
    <tableColumn id="11847" xr3:uid="{F077F855-5954-4DDC-9524-8C24449178AE}" name="Column11836"/>
    <tableColumn id="11848" xr3:uid="{883C9EAE-2BC1-4F3B-9529-E0AE1A01AC50}" name="Column11837"/>
    <tableColumn id="11849" xr3:uid="{3D416FC6-20D7-4FB4-BDEA-13A3C9BDE5D2}" name="Column11838"/>
    <tableColumn id="11850" xr3:uid="{83FEEB98-630F-4520-BA61-D2ADD9C771D6}" name="Column11839"/>
    <tableColumn id="11851" xr3:uid="{5C8843E1-16A1-43F3-BF72-A3B0EFE99C30}" name="Column11840"/>
    <tableColumn id="11852" xr3:uid="{7DBEB4B3-61F0-4A52-BB3C-E6932FC3AD45}" name="Column11841"/>
    <tableColumn id="11853" xr3:uid="{81A5DEF5-FB59-4AB3-8A83-7B46591C5253}" name="Column11842"/>
    <tableColumn id="11854" xr3:uid="{FAC159C8-354F-4F23-8BA3-C4666E623C40}" name="Column11843"/>
    <tableColumn id="11855" xr3:uid="{314C735C-EA61-4CBD-AF7C-6EF214CDE29A}" name="Column11844"/>
    <tableColumn id="11856" xr3:uid="{03067B79-3DBA-43B9-BBB3-F061A42FA56A}" name="Column11845"/>
    <tableColumn id="11857" xr3:uid="{790D5A0A-86DC-49C9-8F60-38C43E1909E6}" name="Column11846"/>
    <tableColumn id="11858" xr3:uid="{59694A64-DF76-48EC-94B8-D869B02579F7}" name="Column11847"/>
    <tableColumn id="11859" xr3:uid="{28E2778C-9987-45D0-814E-56D09351BE76}" name="Column11848"/>
    <tableColumn id="11860" xr3:uid="{8DE43CD2-6F17-46FB-AD6D-DD8239803E4C}" name="Column11849"/>
    <tableColumn id="11861" xr3:uid="{21CA0172-3714-4B49-84F7-5EC574C29FD0}" name="Column11850"/>
    <tableColumn id="11862" xr3:uid="{461B57F5-715F-4D4E-A0D8-AB6DC37A6812}" name="Column11851"/>
    <tableColumn id="11863" xr3:uid="{B0E0DAFD-9A3D-4D32-AEA2-930CA147ECA4}" name="Column11852"/>
    <tableColumn id="11864" xr3:uid="{79971AB3-38F9-44B3-8E78-86D3DF206630}" name="Column11853"/>
    <tableColumn id="11865" xr3:uid="{F9632D31-43BA-47BF-92D3-7A2FB1FF147F}" name="Column11854"/>
    <tableColumn id="11866" xr3:uid="{4BD46119-DDE9-4212-B10F-7DD84F0C3E4A}" name="Column11855"/>
    <tableColumn id="11867" xr3:uid="{78B1BD14-E580-4EDE-A4C4-B1C2DD8277E7}" name="Column11856"/>
    <tableColumn id="11868" xr3:uid="{3DD27B49-74EF-4000-9D0A-BAD9C3E63447}" name="Column11857"/>
    <tableColumn id="11869" xr3:uid="{4E77F4DB-9AA4-4BF0-B74B-6CEA778568D4}" name="Column11858"/>
    <tableColumn id="11870" xr3:uid="{CB6D2DD2-6F80-4213-A8EB-DBCDD1211BE8}" name="Column11859"/>
    <tableColumn id="11871" xr3:uid="{BC78954E-6828-4E89-BB96-42FC061AE932}" name="Column11860"/>
    <tableColumn id="11872" xr3:uid="{294B4BA7-1EDD-47B7-868F-78539DB84F58}" name="Column11861"/>
    <tableColumn id="11873" xr3:uid="{162E9C58-2499-496B-BC95-D678BDD2BB0F}" name="Column11862"/>
    <tableColumn id="11874" xr3:uid="{EF4B904B-DF10-4E5B-B396-710169E642C3}" name="Column11863"/>
    <tableColumn id="11875" xr3:uid="{DDF50102-8621-4071-AE89-37C269A74F01}" name="Column11864"/>
    <tableColumn id="11876" xr3:uid="{687CA940-BB21-4887-8B0E-C26BC7697FA0}" name="Column11865"/>
    <tableColumn id="11877" xr3:uid="{88A4531E-BD44-4576-B19D-4C2E2FCA2086}" name="Column11866"/>
    <tableColumn id="11878" xr3:uid="{21CDD663-BD72-48F4-8813-A8DA0DDF60FA}" name="Column11867"/>
    <tableColumn id="11879" xr3:uid="{7778B3C3-A30D-429D-84F4-C9B2E47BE56E}" name="Column11868"/>
    <tableColumn id="11880" xr3:uid="{AAC0D839-8E69-4B3E-8B31-A96A9A6E7645}" name="Column11869"/>
    <tableColumn id="11881" xr3:uid="{5785E931-E2CD-4729-98B7-A24B87CD5B4C}" name="Column11870"/>
    <tableColumn id="11882" xr3:uid="{A7658341-6B1C-45D3-8512-4F80FE272495}" name="Column11871"/>
    <tableColumn id="11883" xr3:uid="{0CD39024-9FEE-4FB4-93BF-878BD9364223}" name="Column11872"/>
    <tableColumn id="11884" xr3:uid="{BBEB6F0E-EF0D-4191-8869-1D2471E8E9B6}" name="Column11873"/>
    <tableColumn id="11885" xr3:uid="{7EAC55D9-D77E-4D9C-9451-08696C3BDD87}" name="Column11874"/>
    <tableColumn id="11886" xr3:uid="{BC9AC9F4-C7AF-41B1-84E9-7241636E8F2F}" name="Column11875"/>
    <tableColumn id="11887" xr3:uid="{75CF05D1-2A73-401E-BF0C-584285B51E54}" name="Column11876"/>
    <tableColumn id="11888" xr3:uid="{8B5DCE6E-CFCB-4128-BCE8-17B86FD41B2C}" name="Column11877"/>
    <tableColumn id="11889" xr3:uid="{8D626D56-2C7D-4D3B-9092-8909EB1B7E60}" name="Column11878"/>
    <tableColumn id="11890" xr3:uid="{28714768-EEC3-44C7-A8D8-4EA1205C1D21}" name="Column11879"/>
    <tableColumn id="11891" xr3:uid="{9322046E-D885-4EA4-846C-F8A966CD9AAE}" name="Column11880"/>
    <tableColumn id="11892" xr3:uid="{82D787A9-3286-43D7-9309-489163A3E88F}" name="Column11881"/>
    <tableColumn id="11893" xr3:uid="{CC0E39C8-9299-4299-AE95-939DCBCB0DCD}" name="Column11882"/>
    <tableColumn id="11894" xr3:uid="{6A4417BD-D617-4A84-90C5-48DB219BC92B}" name="Column11883"/>
    <tableColumn id="11895" xr3:uid="{E874306E-B492-4AE5-93C7-F78025EAA916}" name="Column11884"/>
    <tableColumn id="11896" xr3:uid="{8839BF9C-B2F2-494D-AEF8-CC351B9E95D1}" name="Column11885"/>
    <tableColumn id="11897" xr3:uid="{808738F2-93B7-414E-B523-20EFE0C4676C}" name="Column11886"/>
    <tableColumn id="11898" xr3:uid="{CFBE6B7D-0307-4404-BF5C-9BC31A8057DF}" name="Column11887"/>
    <tableColumn id="11899" xr3:uid="{83F20947-7870-4450-A97D-C1049D2FB638}" name="Column11888"/>
    <tableColumn id="11900" xr3:uid="{92616336-32B9-44E0-82C0-E5B1343D3DCE}" name="Column11889"/>
    <tableColumn id="11901" xr3:uid="{E89518BC-E766-4ACA-A62B-0F0BB4A77B9E}" name="Column11890"/>
    <tableColumn id="11902" xr3:uid="{4F1B9E82-06C6-4FDA-9434-AA702B0DB10F}" name="Column11891"/>
    <tableColumn id="11903" xr3:uid="{2EBF1EC6-23D2-47E5-BA24-C8623642EB15}" name="Column11892"/>
    <tableColumn id="11904" xr3:uid="{99C53A68-54A1-4953-A4DD-21F09D20BCAF}" name="Column11893"/>
    <tableColumn id="11905" xr3:uid="{BF25C94F-2B75-4CBE-9E9C-CE2AA3A06ED4}" name="Column11894"/>
    <tableColumn id="11906" xr3:uid="{03F8EA57-A7FD-4005-8AA1-5090401ED63F}" name="Column11895"/>
    <tableColumn id="11907" xr3:uid="{8C42C758-CDEF-4745-9551-12174448DD7B}" name="Column11896"/>
    <tableColumn id="11908" xr3:uid="{38E5F651-7900-4213-8127-908EA48D5B22}" name="Column11897"/>
    <tableColumn id="11909" xr3:uid="{1A358414-3BBC-47EF-BFF8-767ACD07C4A8}" name="Column11898"/>
    <tableColumn id="11910" xr3:uid="{80291DFF-F5F1-403B-9C00-51345B91F520}" name="Column11899"/>
    <tableColumn id="11911" xr3:uid="{AE2B06A4-68D4-4FAF-9C9C-7459B644E6F4}" name="Column11900"/>
    <tableColumn id="11912" xr3:uid="{399FB5F3-8B94-478C-9D5B-FBF5C8EAD171}" name="Column11901"/>
    <tableColumn id="11913" xr3:uid="{43C2C68C-D4A5-4A3E-9C25-C5E689C4E5AD}" name="Column11902"/>
    <tableColumn id="11914" xr3:uid="{C85523DF-B49F-4690-A4BA-6D3F38184D46}" name="Column11903"/>
    <tableColumn id="11915" xr3:uid="{A374D903-D380-427C-AEA8-7C00E1B7C7F1}" name="Column11904"/>
    <tableColumn id="11916" xr3:uid="{5AC8CF28-7779-426C-AFAD-14111864C5F0}" name="Column11905"/>
    <tableColumn id="11917" xr3:uid="{9E0A73BB-60F5-4A4A-A565-28256A615D07}" name="Column11906"/>
    <tableColumn id="11918" xr3:uid="{F106E73A-2BE3-47DD-AD38-0929418BDCD0}" name="Column11907"/>
    <tableColumn id="11919" xr3:uid="{E608D1F5-9A5C-4524-B36D-198C3B5AEC9D}" name="Column11908"/>
    <tableColumn id="11920" xr3:uid="{647E4961-C6DB-4CC4-BF88-1CD75DE6C597}" name="Column11909"/>
    <tableColumn id="11921" xr3:uid="{93B13610-DCA2-45E4-AF5E-C6280EE79C7F}" name="Column11910"/>
    <tableColumn id="11922" xr3:uid="{D190BA77-81EE-4FA8-BFFC-BCA6DC98F927}" name="Column11911"/>
    <tableColumn id="11923" xr3:uid="{260DC45F-B0FC-459A-93B7-6943D74571C6}" name="Column11912"/>
    <tableColumn id="11924" xr3:uid="{3BD6B30F-F29E-4FDB-BDFB-2856B775818D}" name="Column11913"/>
    <tableColumn id="11925" xr3:uid="{B9D2D86F-5567-4821-9B15-BCC1DE66FA30}" name="Column11914"/>
    <tableColumn id="11926" xr3:uid="{FA5F4261-0BFB-45E8-A496-12173457DA08}" name="Column11915"/>
    <tableColumn id="11927" xr3:uid="{C0EE84B7-7BA6-4C51-A443-5369BF433628}" name="Column11916"/>
    <tableColumn id="11928" xr3:uid="{7A04FECB-9168-4A67-BD32-13CE59AC14C1}" name="Column11917"/>
    <tableColumn id="11929" xr3:uid="{F46272F8-C6D9-4DD2-942C-06A532E06679}" name="Column11918"/>
    <tableColumn id="11930" xr3:uid="{C5A89F6A-CEAD-47D1-A8C7-E7631C472DB1}" name="Column11919"/>
    <tableColumn id="11931" xr3:uid="{F8EF076E-CA37-4F50-86B5-75A24BFC4982}" name="Column11920"/>
    <tableColumn id="11932" xr3:uid="{7E4FB231-81B9-42F9-BBB1-E4EEE9B937B9}" name="Column11921"/>
    <tableColumn id="11933" xr3:uid="{B965034E-804C-476C-A7CB-C020CC281A39}" name="Column11922"/>
    <tableColumn id="11934" xr3:uid="{25E2AA95-4E9C-435E-A738-539FE2D3E436}" name="Column11923"/>
    <tableColumn id="11935" xr3:uid="{C3D937DB-7BF3-4E37-B46B-383B0D88DCB8}" name="Column11924"/>
    <tableColumn id="11936" xr3:uid="{3BD26839-95D8-492A-A9C7-017E1016D0E7}" name="Column11925"/>
    <tableColumn id="11937" xr3:uid="{A9BDAD00-ABF2-432D-A819-492916AAB1BB}" name="Column11926"/>
    <tableColumn id="11938" xr3:uid="{FD8DB381-1EB0-4550-8BBF-6FE80A86EC7C}" name="Column11927"/>
    <tableColumn id="11939" xr3:uid="{88E296AE-2A63-42F6-AE7A-71497D64D9B0}" name="Column11928"/>
    <tableColumn id="11940" xr3:uid="{361C2778-182F-4BDF-94BE-C97D4DECE603}" name="Column11929"/>
    <tableColumn id="11941" xr3:uid="{60EAFE09-EEFF-410F-AB42-52D64C1E005B}" name="Column11930"/>
    <tableColumn id="11942" xr3:uid="{7AA083FC-6356-40C1-846D-16BFA33F2958}" name="Column11931"/>
    <tableColumn id="11943" xr3:uid="{BD5C1051-3FA7-45D1-81FB-C36271D06AFC}" name="Column11932"/>
    <tableColumn id="11944" xr3:uid="{B9583569-0E0E-4C82-8594-3191B5E8A143}" name="Column11933"/>
    <tableColumn id="11945" xr3:uid="{86495379-A88B-4D7C-AA75-E7131C0B89A8}" name="Column11934"/>
    <tableColumn id="11946" xr3:uid="{1A38B856-DC42-4DB4-A23E-9867C0FAE307}" name="Column11935"/>
    <tableColumn id="11947" xr3:uid="{2395BDBD-D9CF-4B77-8BD3-94113157FF8F}" name="Column11936"/>
    <tableColumn id="11948" xr3:uid="{275223E5-82B7-4E26-9197-FF05975428C9}" name="Column11937"/>
    <tableColumn id="11949" xr3:uid="{FC18713E-C976-4BFF-9F51-01CF2B8BE5E9}" name="Column11938"/>
    <tableColumn id="11950" xr3:uid="{7FAE56FA-1884-40A8-A9F3-AB2E60FB3CD4}" name="Column11939"/>
    <tableColumn id="11951" xr3:uid="{5C5202D8-7BF3-42A6-B171-F4AE4C672EA5}" name="Column11940"/>
    <tableColumn id="11952" xr3:uid="{8815B6F5-057B-4756-A334-C6B0D8C96218}" name="Column11941"/>
    <tableColumn id="11953" xr3:uid="{E254DAD0-1C16-44CC-9455-C6EBCFD6AE6C}" name="Column11942"/>
    <tableColumn id="11954" xr3:uid="{BF1D0668-D9C2-4135-8109-98038A3A1654}" name="Column11943"/>
    <tableColumn id="11955" xr3:uid="{3980F555-0930-4F16-9BAA-E7B33AF4FCF5}" name="Column11944"/>
    <tableColumn id="11956" xr3:uid="{8343CDBD-6068-48AE-9294-1C62277BCDA6}" name="Column11945"/>
    <tableColumn id="11957" xr3:uid="{97A43E19-5A86-4306-A85E-DD53B6EEF22C}" name="Column11946"/>
    <tableColumn id="11958" xr3:uid="{FC747BEF-417F-4083-8A80-3176C4AF098E}" name="Column11947"/>
    <tableColumn id="11959" xr3:uid="{9D1DF47B-C9DF-4FC8-AC56-0B9C0C7AC5C7}" name="Column11948"/>
    <tableColumn id="11960" xr3:uid="{7C5286F7-2348-44F9-A54E-DBCAE1069B33}" name="Column11949"/>
    <tableColumn id="11961" xr3:uid="{758BEB06-2AA0-447E-AD58-9A39724C158F}" name="Column11950"/>
    <tableColumn id="11962" xr3:uid="{04259E41-E68A-48F0-AE07-BE9686BBD51D}" name="Column11951"/>
    <tableColumn id="11963" xr3:uid="{A6278AA7-28CD-4379-998C-5F7DC0AFDE86}" name="Column11952"/>
    <tableColumn id="11964" xr3:uid="{09DDDFE8-211E-4C57-AA12-9F39D6AFCB29}" name="Column11953"/>
    <tableColumn id="11965" xr3:uid="{5BDE55E8-4514-4BE0-99CE-3A05AEF861F5}" name="Column11954"/>
    <tableColumn id="11966" xr3:uid="{86B5F08B-79AA-450E-A8AE-44E6FC553CE5}" name="Column11955"/>
    <tableColumn id="11967" xr3:uid="{459443A6-AAE7-4E21-B488-C6DBD84FDF07}" name="Column11956"/>
    <tableColumn id="11968" xr3:uid="{CC6D85D2-BEF6-45BD-8724-E1BC22638297}" name="Column11957"/>
    <tableColumn id="11969" xr3:uid="{6BCC8B8B-8D93-44A5-89A5-249AB68218A4}" name="Column11958"/>
    <tableColumn id="11970" xr3:uid="{C3059650-AA63-4A1E-9690-FE235AC9D763}" name="Column11959"/>
    <tableColumn id="11971" xr3:uid="{CF1024AC-35DC-4B5A-86CC-90EE004B15A6}" name="Column11960"/>
    <tableColumn id="11972" xr3:uid="{E130AF83-17E3-45CB-B21E-39073D87F5F9}" name="Column11961"/>
    <tableColumn id="11973" xr3:uid="{F3258B1E-0C91-4317-82F5-9E3129A1823F}" name="Column11962"/>
    <tableColumn id="11974" xr3:uid="{D5A28721-51C3-4DF7-B611-E38ECA09E62A}" name="Column11963"/>
    <tableColumn id="11975" xr3:uid="{08C28EEF-B5AA-4845-B338-6B1D9E4D006B}" name="Column11964"/>
    <tableColumn id="11976" xr3:uid="{5B77C817-EB74-480A-93CC-4131A628AB9A}" name="Column11965"/>
    <tableColumn id="11977" xr3:uid="{08977F9E-0B84-48D4-BACA-D069D9E8E7A3}" name="Column11966"/>
    <tableColumn id="11978" xr3:uid="{9FEA4FCC-8F86-4614-80F8-9C355B89F72C}" name="Column11967"/>
    <tableColumn id="11979" xr3:uid="{2A0B5032-C6AE-4C9E-87E0-D0D85112F451}" name="Column11968"/>
    <tableColumn id="11980" xr3:uid="{43B52E9C-B5D0-4CB4-A164-8228B67EB876}" name="Column11969"/>
    <tableColumn id="11981" xr3:uid="{BFF9AD31-4CED-42AF-B25D-B438376F8C61}" name="Column11970"/>
    <tableColumn id="11982" xr3:uid="{34F79E3E-FC6C-491A-AD5F-1664CF22EA56}" name="Column11971"/>
    <tableColumn id="11983" xr3:uid="{017713C3-E1A1-477D-A45F-BDC27E2F54D2}" name="Column11972"/>
    <tableColumn id="11984" xr3:uid="{2F04F816-F5F2-4940-8A35-2A76280D7B8B}" name="Column11973"/>
    <tableColumn id="11985" xr3:uid="{E332FB89-E924-49F4-8A15-03952B65CBAF}" name="Column11974"/>
    <tableColumn id="11986" xr3:uid="{A52852A0-427D-4856-BDF7-F6476D1CFEC5}" name="Column11975"/>
    <tableColumn id="11987" xr3:uid="{E9AF53D7-F592-4271-8C79-AFE99A00D294}" name="Column11976"/>
    <tableColumn id="11988" xr3:uid="{1FF806D4-5065-46E5-B063-F67EE7074A15}" name="Column11977"/>
    <tableColumn id="11989" xr3:uid="{D803348E-6034-40C3-8459-0DFA07487CF4}" name="Column11978"/>
    <tableColumn id="11990" xr3:uid="{888C1510-B646-42A9-B7B3-7899247043FB}" name="Column11979"/>
    <tableColumn id="11991" xr3:uid="{0F80E02C-DEB6-47C2-BF4C-991EE97AA3DA}" name="Column11980"/>
    <tableColumn id="11992" xr3:uid="{B524FF2F-6DEB-4F28-96BA-6299CF1BB5C1}" name="Column11981"/>
    <tableColumn id="11993" xr3:uid="{D2C8A078-7076-4666-99EF-E2D9D6DC63C2}" name="Column11982"/>
    <tableColumn id="11994" xr3:uid="{E1DB6055-2BB9-4A1C-8862-F798F7945E9C}" name="Column11983"/>
    <tableColumn id="11995" xr3:uid="{4FC89687-93DD-4C54-8457-2DE652026D96}" name="Column11984"/>
    <tableColumn id="11996" xr3:uid="{BF059075-BAFD-4424-A3C6-1F44D8C7218E}" name="Column11985"/>
    <tableColumn id="11997" xr3:uid="{33DCE675-CF90-4F3D-8873-6A33BE216637}" name="Column11986"/>
    <tableColumn id="11998" xr3:uid="{273566BD-842C-4951-AEDD-7AD2BF04B2AC}" name="Column11987"/>
    <tableColumn id="11999" xr3:uid="{2603B6E0-DB32-44FB-80DC-CFC50FD9225F}" name="Column11988"/>
    <tableColumn id="12000" xr3:uid="{6A8E6089-5C73-4506-8E5C-04649912DAC0}" name="Column11989"/>
    <tableColumn id="12001" xr3:uid="{654AE8C3-8C7D-4F3C-863C-A872DE8377A3}" name="Column11990"/>
    <tableColumn id="12002" xr3:uid="{05810398-A3EC-47DD-BE96-B9EF164706B2}" name="Column11991"/>
    <tableColumn id="12003" xr3:uid="{34DB3966-42AD-44BE-90DA-CBB416150388}" name="Column11992"/>
    <tableColumn id="12004" xr3:uid="{0FB62E4B-EA75-441D-A224-A3CB4BB9C8EA}" name="Column11993"/>
    <tableColumn id="12005" xr3:uid="{543235F4-4900-4A7F-A712-C0C8AFA8B431}" name="Column11994"/>
    <tableColumn id="12006" xr3:uid="{630CD8A3-4422-43D8-BDDA-AAF2C8A79D40}" name="Column11995"/>
    <tableColumn id="12007" xr3:uid="{048B684D-6CAA-470B-B789-1899241CE0B9}" name="Column11996"/>
    <tableColumn id="12008" xr3:uid="{F408CCFF-4EAE-4B5B-88DE-165502BA6EAD}" name="Column11997"/>
    <tableColumn id="12009" xr3:uid="{A538E99D-F071-4220-9215-D288CD75ED08}" name="Column11998"/>
    <tableColumn id="12010" xr3:uid="{2CE70163-FB41-48CB-A4F8-799ACF2C10C6}" name="Column11999"/>
    <tableColumn id="12011" xr3:uid="{7DFE4F43-15D6-4A91-BF56-C34231C3BD6E}" name="Column12000"/>
    <tableColumn id="12012" xr3:uid="{1DC63E9C-CEDF-461A-9DF0-E0C5CD5EA1A2}" name="Column12001"/>
    <tableColumn id="12013" xr3:uid="{A797C286-EFE9-4AD2-B73A-24C0491CA1BC}" name="Column12002"/>
    <tableColumn id="12014" xr3:uid="{6E45CEFE-D2C7-4C6F-A154-3F251E68C73A}" name="Column12003"/>
    <tableColumn id="12015" xr3:uid="{BBF731B4-A659-45C1-B9F5-D9D13DD67C4A}" name="Column12004"/>
    <tableColumn id="12016" xr3:uid="{73F04B21-B357-4F5E-AC6A-F2131D3B329A}" name="Column12005"/>
    <tableColumn id="12017" xr3:uid="{168A3EF5-CFC4-4D92-ADB2-4D7E915FB015}" name="Column12006"/>
    <tableColumn id="12018" xr3:uid="{1CB9DAE8-1C0D-4FBA-990D-E54272B9BC19}" name="Column12007"/>
    <tableColumn id="12019" xr3:uid="{D77B8E02-293C-4DA1-8BAF-8BC2356B5F11}" name="Column12008"/>
    <tableColumn id="12020" xr3:uid="{1763E70F-BE90-4EB5-A2F3-D3A977A6DF65}" name="Column12009"/>
    <tableColumn id="12021" xr3:uid="{6318EFF6-C812-4656-AB67-A654BB9C9928}" name="Column12010"/>
    <tableColumn id="12022" xr3:uid="{F75FE579-2B3F-4C0D-AFE8-1114C61109EB}" name="Column12011"/>
    <tableColumn id="12023" xr3:uid="{70FD1356-242A-46C7-AF6D-7FA4CD87C588}" name="Column12012"/>
    <tableColumn id="12024" xr3:uid="{4DC3CD8D-66BE-40CD-92DE-3EF642564C5D}" name="Column12013"/>
    <tableColumn id="12025" xr3:uid="{85445AE5-D8FD-4412-A12A-1EC9DEAEE64D}" name="Column12014"/>
    <tableColumn id="12026" xr3:uid="{DF8DA166-C3B2-4DB8-9B5A-8959B1FD69D9}" name="Column12015"/>
    <tableColumn id="12027" xr3:uid="{629B7252-DFF2-4EAE-9A08-AB85910ED402}" name="Column12016"/>
    <tableColumn id="12028" xr3:uid="{122EE210-C3E8-4180-A44D-26CC72263BDD}" name="Column12017"/>
    <tableColumn id="12029" xr3:uid="{387B4267-AD2A-4732-BA30-719F90CA87AA}" name="Column12018"/>
    <tableColumn id="12030" xr3:uid="{0088567B-6A53-4C5F-927D-70F317FF8156}" name="Column12019"/>
    <tableColumn id="12031" xr3:uid="{A991526F-1C13-4B6E-A92A-02FCCE8FB8D8}" name="Column12020"/>
    <tableColumn id="12032" xr3:uid="{0AA3DF4F-6FE3-4476-9E23-36C7AB2C1D8F}" name="Column12021"/>
    <tableColumn id="12033" xr3:uid="{45FD13A7-E186-4926-916C-476C104927C7}" name="Column12022"/>
    <tableColumn id="12034" xr3:uid="{455CF7EA-A96F-4EAA-BFD3-6A8F9B192C61}" name="Column12023"/>
    <tableColumn id="12035" xr3:uid="{995DF46C-7224-4DF2-8968-0CC088E8A007}" name="Column12024"/>
    <tableColumn id="12036" xr3:uid="{607C7703-5C0E-4C4D-AE24-79B2063303EB}" name="Column12025"/>
    <tableColumn id="12037" xr3:uid="{CDD229C2-0C02-47B5-A1A7-873300712276}" name="Column12026"/>
    <tableColumn id="12038" xr3:uid="{E89CD302-E68E-4211-9873-3AC6AB8A19DB}" name="Column12027"/>
    <tableColumn id="12039" xr3:uid="{6C4398E3-A350-4F6A-97B0-76C4742995ED}" name="Column12028"/>
    <tableColumn id="12040" xr3:uid="{456C50F3-ABF1-47CC-B8AE-7AC40FAD9C8D}" name="Column12029"/>
    <tableColumn id="12041" xr3:uid="{27868930-03C3-4E10-8224-A0EFBD7C669D}" name="Column12030"/>
    <tableColumn id="12042" xr3:uid="{11DFBEF4-FC40-4A11-A230-2AB2E86D3ED2}" name="Column12031"/>
    <tableColumn id="12043" xr3:uid="{CAC97020-1331-4867-8344-47902E8EDBFB}" name="Column12032"/>
    <tableColumn id="12044" xr3:uid="{701DFF22-3C89-4414-9967-6CF9AE686EDE}" name="Column12033"/>
    <tableColumn id="12045" xr3:uid="{7D022FB1-B8D4-49A8-A2F3-3C2713AE295E}" name="Column12034"/>
    <tableColumn id="12046" xr3:uid="{44F74EA2-84F6-42BA-8ABE-5210F2BFA45F}" name="Column12035"/>
    <tableColumn id="12047" xr3:uid="{C32F6264-86C6-4B10-8867-72998B6F2256}" name="Column12036"/>
    <tableColumn id="12048" xr3:uid="{AC065244-BE97-48C2-AB7C-A05F8EEDAB5C}" name="Column12037"/>
    <tableColumn id="12049" xr3:uid="{86CCB4D8-21EF-4ECD-B075-29CDE8E96860}" name="Column12038"/>
    <tableColumn id="12050" xr3:uid="{9C4320DF-700F-4EE9-A660-058CB15F55F0}" name="Column12039"/>
    <tableColumn id="12051" xr3:uid="{79971453-4968-470B-9826-4C39777967E0}" name="Column12040"/>
    <tableColumn id="12052" xr3:uid="{69FF9408-C9E6-4D9D-828D-731E2F391A14}" name="Column12041"/>
    <tableColumn id="12053" xr3:uid="{98B4EB8E-4578-4339-AF27-7CDED9716154}" name="Column12042"/>
    <tableColumn id="12054" xr3:uid="{96DAB3D9-CE6F-4A6A-A966-0B1DC5346E98}" name="Column12043"/>
    <tableColumn id="12055" xr3:uid="{5245FF06-E492-4631-81DF-A128CE67E86D}" name="Column12044"/>
    <tableColumn id="12056" xr3:uid="{074AF77D-1EEF-4AD1-9A46-3F2C3386E578}" name="Column12045"/>
    <tableColumn id="12057" xr3:uid="{4EA8E543-B34F-44FC-AE40-1CDEDA3829FE}" name="Column12046"/>
    <tableColumn id="12058" xr3:uid="{C4153C19-B653-4A60-9D75-ABA28E263BEA}" name="Column12047"/>
    <tableColumn id="12059" xr3:uid="{FF168F43-9741-4227-9A51-2D2BE5AA30CF}" name="Column12048"/>
    <tableColumn id="12060" xr3:uid="{E968ECA6-8ED3-4E01-B3F2-972C41D73DDD}" name="Column12049"/>
    <tableColumn id="12061" xr3:uid="{288D0D16-3863-4D16-8EBF-BCA552294EA8}" name="Column12050"/>
    <tableColumn id="12062" xr3:uid="{128B5583-9463-404C-9885-B9336C35A90E}" name="Column12051"/>
    <tableColumn id="12063" xr3:uid="{7DD02489-1C44-4934-8FD6-41F2647202CE}" name="Column12052"/>
    <tableColumn id="12064" xr3:uid="{CD52FDA7-D3E9-4E2F-9661-EC55BE4857E2}" name="Column12053"/>
    <tableColumn id="12065" xr3:uid="{60F5F21F-8E9B-4E30-BAFA-7AB645204548}" name="Column12054"/>
    <tableColumn id="12066" xr3:uid="{84C31F63-A2E0-4459-90E4-47F37BCC5A82}" name="Column12055"/>
    <tableColumn id="12067" xr3:uid="{5F1218E9-D70C-4E44-8ADB-4BBCB56405C4}" name="Column12056"/>
    <tableColumn id="12068" xr3:uid="{1E902E61-A430-4F74-9792-4B9F84214549}" name="Column12057"/>
    <tableColumn id="12069" xr3:uid="{8CA91D15-DDCC-4286-A665-767A7389ACFB}" name="Column12058"/>
    <tableColumn id="12070" xr3:uid="{9CBAD5A6-1FF7-4BBA-A64F-EA72BADD7C31}" name="Column12059"/>
    <tableColumn id="12071" xr3:uid="{EF5B9B82-DD4C-4781-AD1A-C269C1017137}" name="Column12060"/>
    <tableColumn id="12072" xr3:uid="{790E032A-62E2-4DC3-A171-23DD657DB01D}" name="Column12061"/>
    <tableColumn id="12073" xr3:uid="{31805343-E4D6-4938-BEE3-93D972DBF7C7}" name="Column12062"/>
    <tableColumn id="12074" xr3:uid="{1D15E2B2-9D04-4661-80F2-488CD8FD57E7}" name="Column12063"/>
    <tableColumn id="12075" xr3:uid="{ABD78E77-2458-4B0C-95D6-9C6BE1124ABF}" name="Column12064"/>
    <tableColumn id="12076" xr3:uid="{468BDD0D-7FCD-4372-8F44-B956E5D41657}" name="Column12065"/>
    <tableColumn id="12077" xr3:uid="{E132FED1-DBF8-4BA9-9B8F-CB22C00ADA9A}" name="Column12066"/>
    <tableColumn id="12078" xr3:uid="{5F0E9EFB-2C88-447D-8053-668802915480}" name="Column12067"/>
    <tableColumn id="12079" xr3:uid="{231685BC-6364-49B9-836B-5DC93B36FEB4}" name="Column12068"/>
    <tableColumn id="12080" xr3:uid="{D96867B2-2DE6-4870-B0B8-2CC21AADB4DA}" name="Column12069"/>
    <tableColumn id="12081" xr3:uid="{7739B9B2-D41B-4505-BDD4-B82A72CA025F}" name="Column12070"/>
    <tableColumn id="12082" xr3:uid="{3E5DDF3C-DFB8-4162-9482-272B3D6D9CD9}" name="Column12071"/>
    <tableColumn id="12083" xr3:uid="{97B84AA4-1108-4FBA-969A-D3A71A10124B}" name="Column12072"/>
    <tableColumn id="12084" xr3:uid="{A97F4953-CD06-4D82-9B1B-5CB33D87E629}" name="Column12073"/>
    <tableColumn id="12085" xr3:uid="{04370DAE-47C4-4D4C-BDAE-7887CBFA8543}" name="Column12074"/>
    <tableColumn id="12086" xr3:uid="{5E846545-F6B8-4179-A438-C79FEE334027}" name="Column12075"/>
    <tableColumn id="12087" xr3:uid="{7195CC8F-0599-4128-8786-3575CBC85ED3}" name="Column12076"/>
    <tableColumn id="12088" xr3:uid="{FC372A55-05B5-4467-89A7-A8B2C13AEFEE}" name="Column12077"/>
    <tableColumn id="12089" xr3:uid="{50B41812-8543-4539-9669-552AE46107FF}" name="Column12078"/>
    <tableColumn id="12090" xr3:uid="{DB9D7249-A186-4133-BC52-0FE415978596}" name="Column12079"/>
    <tableColumn id="12091" xr3:uid="{06603CC7-EC64-4528-9EC4-DEC18313ECB8}" name="Column12080"/>
    <tableColumn id="12092" xr3:uid="{86DB2940-6BA3-459A-A64A-D0C66FBF2440}" name="Column12081"/>
    <tableColumn id="12093" xr3:uid="{325A5896-3D6E-4F73-B1FB-06D3B27AF968}" name="Column12082"/>
    <tableColumn id="12094" xr3:uid="{6E743B0B-7463-4972-9911-25C0E95B5700}" name="Column12083"/>
    <tableColumn id="12095" xr3:uid="{64E24CFB-4E99-42BE-A0B0-9AA189574F13}" name="Column12084"/>
    <tableColumn id="12096" xr3:uid="{7BF9A7BC-B4E3-4B25-8B5F-27B8B7E7BF71}" name="Column12085"/>
    <tableColumn id="12097" xr3:uid="{7A98244C-56DA-441A-9E0F-49A764B626FE}" name="Column12086"/>
    <tableColumn id="12098" xr3:uid="{349C8B4C-36DE-4898-ABE1-75984C2FB409}" name="Column12087"/>
    <tableColumn id="12099" xr3:uid="{632919DF-3521-4A1B-9305-09BBF5F92191}" name="Column12088"/>
    <tableColumn id="12100" xr3:uid="{3A5479D1-AA8E-4DD2-A2D1-8A51ACBD01E2}" name="Column12089"/>
    <tableColumn id="12101" xr3:uid="{A0FC95C2-FC38-41A8-9E44-752AE221AC16}" name="Column12090"/>
    <tableColumn id="12102" xr3:uid="{48E28CBC-B05F-49F9-93C8-93E8530E11D1}" name="Column12091"/>
    <tableColumn id="12103" xr3:uid="{E4638224-524C-43F9-8FCC-EEC7127B8998}" name="Column12092"/>
    <tableColumn id="12104" xr3:uid="{756CDFD1-2BC7-44E9-B9C9-46D5D4737B4D}" name="Column12093"/>
    <tableColumn id="12105" xr3:uid="{ADEB631E-EFD8-42B9-AE7E-52780E1A4243}" name="Column12094"/>
    <tableColumn id="12106" xr3:uid="{48AA569F-EB2D-4C2B-ACA3-FF426DB2A000}" name="Column12095"/>
    <tableColumn id="12107" xr3:uid="{F8447E73-FF37-4BBC-8A9F-D998A27F4756}" name="Column12096"/>
    <tableColumn id="12108" xr3:uid="{6D1761E3-B9FC-4F24-A362-1713D5A7CBDD}" name="Column12097"/>
    <tableColumn id="12109" xr3:uid="{E51B1EF7-849D-4E50-A72C-EF5DF24912A6}" name="Column12098"/>
    <tableColumn id="12110" xr3:uid="{586C99C0-2F5F-4B58-B9EA-8946AC159B8F}" name="Column12099"/>
    <tableColumn id="12111" xr3:uid="{00563CC1-F6F6-40BE-855D-C526C9451514}" name="Column12100"/>
    <tableColumn id="12112" xr3:uid="{5D428D81-FEE9-4B63-9231-D23601DEDCD3}" name="Column12101"/>
    <tableColumn id="12113" xr3:uid="{1A3FA33C-623E-42D2-89DA-CCD4684BD49D}" name="Column12102"/>
    <tableColumn id="12114" xr3:uid="{6C46C7AD-CEDB-4C26-B30F-1380E67CCECC}" name="Column12103"/>
    <tableColumn id="12115" xr3:uid="{2B3C7954-26FA-426E-A671-CF34BD19231B}" name="Column12104"/>
    <tableColumn id="12116" xr3:uid="{0BD39FE9-D123-4D27-B733-A52F8EAEAE93}" name="Column12105"/>
    <tableColumn id="12117" xr3:uid="{CD4AE4CB-4812-4538-9D8E-0FCEAE336466}" name="Column12106"/>
    <tableColumn id="12118" xr3:uid="{608236EF-7F99-4F47-8C6E-7DFEA6AA4940}" name="Column12107"/>
    <tableColumn id="12119" xr3:uid="{0F63CEF4-9A1A-4E33-8F71-2F43DDBF7BB0}" name="Column12108"/>
    <tableColumn id="12120" xr3:uid="{2DA81121-91F8-4835-95AB-25FD21375889}" name="Column12109"/>
    <tableColumn id="12121" xr3:uid="{FED052A2-EDBB-425D-AECD-D5E279D34AC0}" name="Column12110"/>
    <tableColumn id="12122" xr3:uid="{9A054926-B047-4EEA-920A-CBEEABBFF979}" name="Column12111"/>
    <tableColumn id="12123" xr3:uid="{B0F6668C-6D5C-4ECE-B231-292F577D7511}" name="Column12112"/>
    <tableColumn id="12124" xr3:uid="{2EFFB66D-64AC-4629-B101-2079C11E119A}" name="Column12113"/>
    <tableColumn id="12125" xr3:uid="{31C60E7A-C437-495D-8B51-92FA8F505820}" name="Column12114"/>
    <tableColumn id="12126" xr3:uid="{F30984AD-9312-4A78-B2DB-ECB713713BC6}" name="Column12115"/>
    <tableColumn id="12127" xr3:uid="{FDB3F071-0B4B-419E-9C69-045D20D7E30A}" name="Column12116"/>
    <tableColumn id="12128" xr3:uid="{BFD2807E-BA1C-49CC-A4A7-7F176F8FD181}" name="Column12117"/>
    <tableColumn id="12129" xr3:uid="{3CDE7317-DD2D-49A2-AEC1-38559F008D22}" name="Column12118"/>
    <tableColumn id="12130" xr3:uid="{121E88F4-7FD8-4C1E-8A2D-CF93E9A47085}" name="Column12119"/>
    <tableColumn id="12131" xr3:uid="{928E5D60-F6A4-452B-A39E-DA3A81F7877B}" name="Column12120"/>
    <tableColumn id="12132" xr3:uid="{E6990A79-BC9D-4CCD-8F6D-69339C32A0DB}" name="Column12121"/>
    <tableColumn id="12133" xr3:uid="{95B8A347-CD33-4697-9AB8-402F77E17197}" name="Column12122"/>
    <tableColumn id="12134" xr3:uid="{77049B77-A3EF-4F16-93F1-933123058233}" name="Column12123"/>
    <tableColumn id="12135" xr3:uid="{001FA988-4EB4-4A78-A056-8C57AB019AC4}" name="Column12124"/>
    <tableColumn id="12136" xr3:uid="{D5C34F41-9F99-4117-808C-63ECE9097F8D}" name="Column12125"/>
    <tableColumn id="12137" xr3:uid="{2DA7EDF8-02EE-4511-91BA-C73FCED92B7A}" name="Column12126"/>
    <tableColumn id="12138" xr3:uid="{643F8506-626E-438F-A3D2-A2DE9A6628DB}" name="Column12127"/>
    <tableColumn id="12139" xr3:uid="{07E62B6C-031E-4D9A-8DCC-17FAC967A483}" name="Column12128"/>
    <tableColumn id="12140" xr3:uid="{1FC80D18-E42E-4514-8F90-A8A266656A41}" name="Column12129"/>
    <tableColumn id="12141" xr3:uid="{005F6FE0-C009-4414-945A-2590E2E12787}" name="Column12130"/>
    <tableColumn id="12142" xr3:uid="{5C5494E6-25D6-4444-BD8B-09B9EF4B0892}" name="Column12131"/>
    <tableColumn id="12143" xr3:uid="{52280BC8-4B65-432D-823C-227FAB9BC80D}" name="Column12132"/>
    <tableColumn id="12144" xr3:uid="{17FAB82E-45B6-430C-AE6B-6A25239D5490}" name="Column12133"/>
    <tableColumn id="12145" xr3:uid="{3DA53DD9-5E1F-48D9-8F93-45E19625BDAB}" name="Column12134"/>
    <tableColumn id="12146" xr3:uid="{70FE1CB7-2BAC-4FCB-A02B-C60A075F1C4D}" name="Column12135"/>
    <tableColumn id="12147" xr3:uid="{1BC44A99-A399-4AFB-889D-0ADEF29A20F9}" name="Column12136"/>
    <tableColumn id="12148" xr3:uid="{E92002A4-6F8C-44EB-BE2C-C5CA1A8EE39D}" name="Column12137"/>
    <tableColumn id="12149" xr3:uid="{3F62C882-CC98-4124-8FB3-031C1E2EDA8A}" name="Column12138"/>
    <tableColumn id="12150" xr3:uid="{753EE05A-D499-4EFF-8FF6-4AA6BD26B110}" name="Column12139"/>
    <tableColumn id="12151" xr3:uid="{F4049CE9-86B4-491D-95A5-4A1BC382FA34}" name="Column12140"/>
    <tableColumn id="12152" xr3:uid="{AC5ADC3E-1D72-43AF-A248-22ABC83970EF}" name="Column12141"/>
    <tableColumn id="12153" xr3:uid="{A901994F-6394-4737-9C13-1161D4F88E13}" name="Column12142"/>
    <tableColumn id="12154" xr3:uid="{3C182523-86AC-4172-8D7B-5E4B58A271A3}" name="Column12143"/>
    <tableColumn id="12155" xr3:uid="{F55079DD-E7A3-403A-921B-15ED6FA6FA25}" name="Column12144"/>
    <tableColumn id="12156" xr3:uid="{26C4BCB9-D671-43FD-92B2-0C01E79AC87E}" name="Column12145"/>
    <tableColumn id="12157" xr3:uid="{28732E00-DB35-4331-A251-05EF6F946D94}" name="Column12146"/>
    <tableColumn id="12158" xr3:uid="{67C2B061-DA57-4CED-A020-768BED7C6136}" name="Column12147"/>
    <tableColumn id="12159" xr3:uid="{9E8C9FDD-BE1F-443F-9251-BD61146CD201}" name="Column12148"/>
    <tableColumn id="12160" xr3:uid="{401F738E-FFD1-4BA6-B508-0748064E73E8}" name="Column12149"/>
    <tableColumn id="12161" xr3:uid="{1A1A747A-6332-4A27-9D2F-FBBE5B54262F}" name="Column12150"/>
    <tableColumn id="12162" xr3:uid="{05B818D3-C977-4C0F-A771-849FAAB3873D}" name="Column12151"/>
    <tableColumn id="12163" xr3:uid="{1CCA254E-0CD8-43BF-83B7-8844360DB252}" name="Column12152"/>
    <tableColumn id="12164" xr3:uid="{7FB209F4-D7E2-491D-B2DC-C183785935FB}" name="Column12153"/>
    <tableColumn id="12165" xr3:uid="{618E4D28-8EA7-4D37-9396-FE972E8BA765}" name="Column12154"/>
    <tableColumn id="12166" xr3:uid="{3823B34B-FBAD-4824-A880-7070CF226719}" name="Column12155"/>
    <tableColumn id="12167" xr3:uid="{15D8856D-23E6-43EA-8608-FA197EF242E7}" name="Column12156"/>
    <tableColumn id="12168" xr3:uid="{A5BA415E-AAAE-4111-99B6-41C9BD21D7A1}" name="Column12157"/>
    <tableColumn id="12169" xr3:uid="{9C59FE44-DDA2-4BF2-BDFC-D55C03786F75}" name="Column12158"/>
    <tableColumn id="12170" xr3:uid="{710AB5CF-458B-47C7-8D1C-E1EC750CE6B2}" name="Column12159"/>
    <tableColumn id="12171" xr3:uid="{8E371A2D-D72D-478C-A696-317593BFFC98}" name="Column12160"/>
    <tableColumn id="12172" xr3:uid="{7D400392-6BF5-4A39-92A2-7D315F528092}" name="Column12161"/>
    <tableColumn id="12173" xr3:uid="{FB81C9C3-9F7B-42BA-BF43-1F4666EBDBA2}" name="Column12162"/>
    <tableColumn id="12174" xr3:uid="{C36C282E-B4B9-4F4F-9684-BEDD03F6C676}" name="Column12163"/>
    <tableColumn id="12175" xr3:uid="{2828AD6F-E0C9-4C91-8B41-6C8F80B3B272}" name="Column12164"/>
    <tableColumn id="12176" xr3:uid="{F18E10F5-3D80-4282-854F-3D60E2AAE1B3}" name="Column12165"/>
    <tableColumn id="12177" xr3:uid="{A57B77E8-1C9A-4FE0-84F1-DF273AF22A41}" name="Column12166"/>
    <tableColumn id="12178" xr3:uid="{56CE15B6-91DE-4E91-873D-D30D6EF3C090}" name="Column12167"/>
    <tableColumn id="12179" xr3:uid="{621001CF-E7D3-4783-88AF-E95081392050}" name="Column12168"/>
    <tableColumn id="12180" xr3:uid="{494CA297-1D94-4BAC-B292-FA3737DFC371}" name="Column12169"/>
    <tableColumn id="12181" xr3:uid="{C227C922-A4B5-49E3-9129-967BEA49D2C8}" name="Column12170"/>
    <tableColumn id="12182" xr3:uid="{092668A0-0B62-4677-B91D-AFD442914DF9}" name="Column12171"/>
    <tableColumn id="12183" xr3:uid="{DEBEC88A-FD63-48F7-84A1-55E069C2CBAE}" name="Column12172"/>
    <tableColumn id="12184" xr3:uid="{3440A432-6C16-4970-B41A-041AAA694F88}" name="Column12173"/>
    <tableColumn id="12185" xr3:uid="{65F19910-BF21-49E9-A7AC-DF6662B20CF9}" name="Column12174"/>
    <tableColumn id="12186" xr3:uid="{861FA0A7-D35D-41AA-9660-3B287BF8EEC5}" name="Column12175"/>
    <tableColumn id="12187" xr3:uid="{E0160B03-DC79-44DE-AD87-955E30F0251D}" name="Column12176"/>
    <tableColumn id="12188" xr3:uid="{98933906-4D98-4D8A-B7C8-2EC81C676CAA}" name="Column12177"/>
    <tableColumn id="12189" xr3:uid="{8464FA70-5858-447A-A555-47DEAB5F65BD}" name="Column12178"/>
    <tableColumn id="12190" xr3:uid="{8EAF435A-7CE3-4D67-BCE4-BC202CF7A154}" name="Column12179"/>
    <tableColumn id="12191" xr3:uid="{48DE29D2-4565-4101-80CA-E76CF23EE3BA}" name="Column12180"/>
    <tableColumn id="12192" xr3:uid="{5CB53D30-391A-41F0-B7F8-E28CB3DEF52E}" name="Column12181"/>
    <tableColumn id="12193" xr3:uid="{51993DE1-234F-44DF-8F00-45EBBF351E91}" name="Column12182"/>
    <tableColumn id="12194" xr3:uid="{4FFEBE19-1BF5-453C-ABE7-A3E1B4064DE0}" name="Column12183"/>
    <tableColumn id="12195" xr3:uid="{9C657E05-8CD2-4F2D-9FA1-4DAAA2FA127F}" name="Column12184"/>
    <tableColumn id="12196" xr3:uid="{F50AF1E9-2264-47A5-A46E-7F09EBCA189B}" name="Column12185"/>
    <tableColumn id="12197" xr3:uid="{1544F46C-DD48-4E8E-93CA-FEC57BBBC4E1}" name="Column12186"/>
    <tableColumn id="12198" xr3:uid="{F44523E6-C61D-4C4C-A777-3D7E05876F7A}" name="Column12187"/>
    <tableColumn id="12199" xr3:uid="{57FEAFBF-2066-4F9C-A8FF-F2041CF60DF4}" name="Column12188"/>
    <tableColumn id="12200" xr3:uid="{B5E36D99-966E-4D36-AC4A-9C13DD553AD6}" name="Column12189"/>
    <tableColumn id="12201" xr3:uid="{8993D85F-F0A2-439E-8C00-22DB0D869A04}" name="Column12190"/>
    <tableColumn id="12202" xr3:uid="{CAFF4804-6DC6-41B4-9548-0BEEBB7CDA3F}" name="Column12191"/>
    <tableColumn id="12203" xr3:uid="{7D7CECD1-F016-4002-B1FE-40C2D245F392}" name="Column12192"/>
    <tableColumn id="12204" xr3:uid="{CA449230-E983-4732-9EA6-75CF186F32C0}" name="Column12193"/>
    <tableColumn id="12205" xr3:uid="{D62E8D53-7C7A-4190-8689-2D403C7740D3}" name="Column12194"/>
    <tableColumn id="12206" xr3:uid="{528A9F56-BD0C-4013-9757-805340E4A144}" name="Column12195"/>
    <tableColumn id="12207" xr3:uid="{68AB89E1-A4BE-4180-A11B-5C3B2343DF27}" name="Column12196"/>
    <tableColumn id="12208" xr3:uid="{87DA0553-43E2-4BF8-B4C5-B7584110A540}" name="Column12197"/>
    <tableColumn id="12209" xr3:uid="{A1D40799-98C4-4E6D-8BF4-88FB24FD70A9}" name="Column12198"/>
    <tableColumn id="12210" xr3:uid="{20021E9E-5C8C-449F-8F97-586644FB0CE8}" name="Column12199"/>
    <tableColumn id="12211" xr3:uid="{4EE55B97-5615-4327-984A-CFB57CC99037}" name="Column12200"/>
    <tableColumn id="12212" xr3:uid="{023C030D-DD90-4166-9D84-24864A328BA2}" name="Column12201"/>
    <tableColumn id="12213" xr3:uid="{2899D99A-8977-4CD5-9C1C-5E5B6D8A1B15}" name="Column12202"/>
    <tableColumn id="12214" xr3:uid="{C12DA84D-ACC2-4AC0-BD47-2B95B9C435CD}" name="Column12203"/>
    <tableColumn id="12215" xr3:uid="{7590D630-5CDC-441F-80AF-7AF484B5D727}" name="Column12204"/>
    <tableColumn id="12216" xr3:uid="{C2D9DA7A-F7E3-4898-9DAF-64A465D083F5}" name="Column12205"/>
    <tableColumn id="12217" xr3:uid="{C90AD1EE-3343-4870-914F-CE5135BB2471}" name="Column12206"/>
    <tableColumn id="12218" xr3:uid="{843B6F65-EAB7-4A05-93EE-3EA0BB4FAD81}" name="Column12207"/>
    <tableColumn id="12219" xr3:uid="{724A69D1-CB54-41ED-8895-4B12DD70BA46}" name="Column12208"/>
    <tableColumn id="12220" xr3:uid="{23FB77C2-C6B2-437C-AD88-F0DF91E60C42}" name="Column12209"/>
    <tableColumn id="12221" xr3:uid="{7E769F2B-5B02-406A-A55A-C64812DE87A2}" name="Column12210"/>
    <tableColumn id="12222" xr3:uid="{086ECA16-ABCC-41F0-81B6-164E60959027}" name="Column12211"/>
    <tableColumn id="12223" xr3:uid="{234FE2DD-0F54-4A87-B4CF-206E67A729B1}" name="Column12212"/>
    <tableColumn id="12224" xr3:uid="{615E6FCE-A3AE-4227-9A3D-3417F5004F0F}" name="Column12213"/>
    <tableColumn id="12225" xr3:uid="{F7057985-3DA8-4F8D-A735-B328999AEBEF}" name="Column12214"/>
    <tableColumn id="12226" xr3:uid="{609B1BD5-B9B6-434D-8DC0-A2EAFC46A3DA}" name="Column12215"/>
    <tableColumn id="12227" xr3:uid="{07A88CC1-AAD3-42AA-8C49-52F6EF4F92D2}" name="Column12216"/>
    <tableColumn id="12228" xr3:uid="{B8B02F73-CE8D-419A-8F67-143FDCB3FA04}" name="Column12217"/>
    <tableColumn id="12229" xr3:uid="{EBF0C3C0-208E-4090-9A4B-3DBB78F67926}" name="Column12218"/>
    <tableColumn id="12230" xr3:uid="{9A4E9771-0021-4C4F-9A52-76AF1F63E0FF}" name="Column12219"/>
    <tableColumn id="12231" xr3:uid="{9ADEF73E-7EC8-4F81-9A7D-46D9D30CF543}" name="Column12220"/>
    <tableColumn id="12232" xr3:uid="{2AAD71B9-CC7A-4D48-A509-8F3759DA4056}" name="Column12221"/>
    <tableColumn id="12233" xr3:uid="{DEFE3A2C-9034-41CB-A2E4-022B772AB224}" name="Column12222"/>
    <tableColumn id="12234" xr3:uid="{5BC17C7E-49A5-4502-84C7-AA3EEDBF7D5F}" name="Column12223"/>
    <tableColumn id="12235" xr3:uid="{D2485020-FC00-4C29-B217-07CEB6E4910B}" name="Column12224"/>
    <tableColumn id="12236" xr3:uid="{B8AE127F-3C77-4E5E-81FB-DFFD5D032902}" name="Column12225"/>
    <tableColumn id="12237" xr3:uid="{6CA9902B-D494-4414-8428-A2B14AD9340D}" name="Column12226"/>
    <tableColumn id="12238" xr3:uid="{CCF2BB3D-B1C5-4511-9819-0EF29416F4AA}" name="Column12227"/>
    <tableColumn id="12239" xr3:uid="{2CD2280C-7072-474D-B4EE-75D7BF9E61B2}" name="Column12228"/>
    <tableColumn id="12240" xr3:uid="{2D6DD254-6F5E-45F9-BC48-BB998D6C0202}" name="Column12229"/>
    <tableColumn id="12241" xr3:uid="{6B2B5EB3-3824-4588-A8C1-9AD6DF6A9EBB}" name="Column12230"/>
    <tableColumn id="12242" xr3:uid="{0E39793A-2BF9-4B0B-8D88-3315004781A8}" name="Column12231"/>
    <tableColumn id="12243" xr3:uid="{C043E826-6CDB-4FEC-B0E9-7F1F7576C203}" name="Column12232"/>
    <tableColumn id="12244" xr3:uid="{931DD410-138B-4F78-89B8-8E284394CC87}" name="Column12233"/>
    <tableColumn id="12245" xr3:uid="{CC5E95D2-E190-494F-BEBE-5211BAAAFA34}" name="Column12234"/>
    <tableColumn id="12246" xr3:uid="{FB55F7AB-779B-44D2-881A-1B0F221BBD08}" name="Column12235"/>
    <tableColumn id="12247" xr3:uid="{FB4E4D6C-A665-4124-A3AE-DC78B44A7BE5}" name="Column12236"/>
    <tableColumn id="12248" xr3:uid="{8A0F9583-81C6-4946-985E-7BAF9F8475FE}" name="Column12237"/>
    <tableColumn id="12249" xr3:uid="{F1C3746B-2BE3-49F6-97B5-864B883FA1B8}" name="Column12238"/>
    <tableColumn id="12250" xr3:uid="{1A60B1AD-0CE7-43F1-B8F5-3863D20AEC47}" name="Column12239"/>
    <tableColumn id="12251" xr3:uid="{A4537653-3A53-4DFA-863A-8DE9C2700DD4}" name="Column12240"/>
    <tableColumn id="12252" xr3:uid="{04CE2394-C14F-416D-95F0-607973E1CD46}" name="Column12241"/>
    <tableColumn id="12253" xr3:uid="{44338706-88E6-4D2A-A398-DF54234348F2}" name="Column12242"/>
    <tableColumn id="12254" xr3:uid="{8BB8D66F-E8CA-4DC4-9304-0130A05A92A8}" name="Column12243"/>
    <tableColumn id="12255" xr3:uid="{120FD847-F722-4E13-9B44-11FAF485FBB0}" name="Column12244"/>
    <tableColumn id="12256" xr3:uid="{487B89BC-6AA0-43F8-9CAB-E21D7554D52C}" name="Column12245"/>
    <tableColumn id="12257" xr3:uid="{254CCE9A-4C44-4DCC-82B3-3609C6399750}" name="Column12246"/>
    <tableColumn id="12258" xr3:uid="{CBD10D78-5291-488E-A79A-9DC16ED3BA16}" name="Column12247"/>
    <tableColumn id="12259" xr3:uid="{819C148E-631A-46D9-A983-18C323FC3A4E}" name="Column12248"/>
    <tableColumn id="12260" xr3:uid="{F8629E4B-E567-4A2D-9487-B363BE5CD576}" name="Column12249"/>
    <tableColumn id="12261" xr3:uid="{F2395D6C-7D67-4E2B-988C-6D7E8053A403}" name="Column12250"/>
    <tableColumn id="12262" xr3:uid="{91ACA90C-AF62-4C79-B8F1-EF8F8E5E9607}" name="Column12251"/>
    <tableColumn id="12263" xr3:uid="{F11F59BD-1152-439D-939C-607824CD13D1}" name="Column12252"/>
    <tableColumn id="12264" xr3:uid="{B11B7F51-3E02-41CA-9588-49A3F2774034}" name="Column12253"/>
    <tableColumn id="12265" xr3:uid="{706F6378-9CF5-4F36-81E3-870C2BA68693}" name="Column12254"/>
    <tableColumn id="12266" xr3:uid="{58CC6B05-4D88-4A1B-ACF9-4FFAF00F98C5}" name="Column12255"/>
    <tableColumn id="12267" xr3:uid="{7D7DED18-9538-4D05-9CFE-B8AA1369DEDA}" name="Column12256"/>
    <tableColumn id="12268" xr3:uid="{31C1ABA6-DA7D-41DD-8714-E28D1D60B898}" name="Column12257"/>
    <tableColumn id="12269" xr3:uid="{0A9D30D3-2992-4D9C-975E-4F410F1D109E}" name="Column12258"/>
    <tableColumn id="12270" xr3:uid="{98DB4378-E181-4B3A-81BD-E17A9F9221D5}" name="Column12259"/>
    <tableColumn id="12271" xr3:uid="{3AD7979A-0391-45A4-8295-6EEDD07B87A3}" name="Column12260"/>
    <tableColumn id="12272" xr3:uid="{7BA3889D-45BA-47FC-B459-B23245CD3D50}" name="Column12261"/>
    <tableColumn id="12273" xr3:uid="{1A0F0FAC-4F43-4D53-AF6E-2D66F3246365}" name="Column12262"/>
    <tableColumn id="12274" xr3:uid="{5099565B-5157-4A4A-919E-CDD79EEDA40F}" name="Column12263"/>
    <tableColumn id="12275" xr3:uid="{7A04A741-AF91-4D59-A110-A80C67640175}" name="Column12264"/>
    <tableColumn id="12276" xr3:uid="{90D928C9-E63E-4377-8079-5598FC5132A0}" name="Column12265"/>
    <tableColumn id="12277" xr3:uid="{EE972CAF-1CC2-461C-93EC-142C5D4ABDA4}" name="Column12266"/>
    <tableColumn id="12278" xr3:uid="{4DB90C62-7D24-4AE6-B1E0-9E8AECC49EED}" name="Column12267"/>
    <tableColumn id="12279" xr3:uid="{E3067EDC-BCCD-4153-A923-02BDCE931043}" name="Column12268"/>
    <tableColumn id="12280" xr3:uid="{21B35158-B8B3-4E4D-9E92-627D583423D0}" name="Column12269"/>
    <tableColumn id="12281" xr3:uid="{FFC00A31-A6A9-476A-9F68-F96D15A33C4C}" name="Column12270"/>
    <tableColumn id="12282" xr3:uid="{33C39772-FA1F-42D0-BAAF-939B5C17A841}" name="Column12271"/>
    <tableColumn id="12283" xr3:uid="{7F3A643B-45E0-4477-9508-882C6868CD1E}" name="Column12272"/>
    <tableColumn id="12284" xr3:uid="{62C7473B-6DAC-4D2D-8F9F-489B162CE26C}" name="Column12273"/>
    <tableColumn id="12285" xr3:uid="{EABCFE62-0DC7-44A6-BC4F-1669D7EE16AA}" name="Column12274"/>
    <tableColumn id="12286" xr3:uid="{E59BF75F-FEDD-4348-B40A-FF6259D66D48}" name="Column12275"/>
    <tableColumn id="12287" xr3:uid="{9197D179-D7E5-455E-B124-D9A1849AABA5}" name="Column12276"/>
    <tableColumn id="12288" xr3:uid="{F737AAC6-5C9E-4329-BB19-63BFC06291EC}" name="Column12277"/>
    <tableColumn id="12289" xr3:uid="{6916F0C9-DAFF-4B60-A533-0821D978FBE4}" name="Column12278"/>
    <tableColumn id="12290" xr3:uid="{114124CF-F261-495F-B097-4256AA5FB122}" name="Column12279"/>
    <tableColumn id="12291" xr3:uid="{39764145-EFBD-46A7-A46E-90D4C03B0688}" name="Column12280"/>
    <tableColumn id="12292" xr3:uid="{1CF7F85A-EE0E-4B0B-AD9F-259D0EDDF6BB}" name="Column12281"/>
    <tableColumn id="12293" xr3:uid="{70F918A3-C4D1-4188-B4E4-B049AB639073}" name="Column12282"/>
    <tableColumn id="12294" xr3:uid="{1472837F-BF06-4BC1-BF88-25915915E961}" name="Column12283"/>
    <tableColumn id="12295" xr3:uid="{1FB72D77-ACF8-46C9-B84F-DA0FC90AFB83}" name="Column12284"/>
    <tableColumn id="12296" xr3:uid="{A4F0DEE0-2CB0-4BA3-9D9C-81EB409074FB}" name="Column12285"/>
    <tableColumn id="12297" xr3:uid="{E183C328-EEB5-4768-8376-B78058EFF738}" name="Column12286"/>
    <tableColumn id="12298" xr3:uid="{808763FD-33AB-4800-8A6D-8B25D6588C12}" name="Column12287"/>
    <tableColumn id="12299" xr3:uid="{55B0E9E1-BF05-4CCA-B5E4-A45D4ABB819F}" name="Column12288"/>
    <tableColumn id="12300" xr3:uid="{886B3187-7FFE-4E36-AFDB-2F895ED32763}" name="Column12289"/>
    <tableColumn id="12301" xr3:uid="{DBF4D5B7-8249-48DB-8E7C-960601B0B587}" name="Column12290"/>
    <tableColumn id="12302" xr3:uid="{8336FD94-685C-4BBE-807C-AFCAA7114E7E}" name="Column12291"/>
    <tableColumn id="12303" xr3:uid="{94665134-C6A5-456C-8294-9A35B6D9420C}" name="Column12292"/>
    <tableColumn id="12304" xr3:uid="{19A1EDC8-C2CD-429F-9796-1D4FEC107003}" name="Column12293"/>
    <tableColumn id="12305" xr3:uid="{536E0D03-EE25-4DEC-BFCA-CEF4CE7FCDB3}" name="Column12294"/>
    <tableColumn id="12306" xr3:uid="{4316C80F-F1FE-4CF8-AE91-51C5EC87987F}" name="Column12295"/>
    <tableColumn id="12307" xr3:uid="{1288A95E-70AE-44EF-98BE-3490A69C250F}" name="Column12296"/>
    <tableColumn id="12308" xr3:uid="{9069842E-6C8B-44FD-B31A-CF5EF0852C57}" name="Column12297"/>
    <tableColumn id="12309" xr3:uid="{AA2E6040-4469-4918-A068-CFF12062AB46}" name="Column12298"/>
    <tableColumn id="12310" xr3:uid="{CD65EDE1-3368-4F57-98A5-D5569E66A98E}" name="Column12299"/>
    <tableColumn id="12311" xr3:uid="{A07DF4EC-399B-414F-951C-DA04D84F9108}" name="Column12300"/>
    <tableColumn id="12312" xr3:uid="{145DD5C4-F471-4148-8CA2-294E9CBD6904}" name="Column12301"/>
    <tableColumn id="12313" xr3:uid="{C1C03194-35F9-4C00-8007-31D800C1F0E9}" name="Column12302"/>
    <tableColumn id="12314" xr3:uid="{33E6DEA4-894E-4CFF-94F1-A9614EB30F98}" name="Column12303"/>
    <tableColumn id="12315" xr3:uid="{CF3B82F6-A898-4F16-9B9F-2D451BAA13FE}" name="Column12304"/>
    <tableColumn id="12316" xr3:uid="{541F1432-076D-405B-8419-310FCA4032C0}" name="Column12305"/>
    <tableColumn id="12317" xr3:uid="{50EEAB8C-8F46-4EA4-8E11-447EB22CB7A8}" name="Column12306"/>
    <tableColumn id="12318" xr3:uid="{3B8F4101-F4BC-4472-947D-A840D2038276}" name="Column12307"/>
    <tableColumn id="12319" xr3:uid="{FF5748B9-FC3C-4D19-9976-665510B022A3}" name="Column12308"/>
    <tableColumn id="12320" xr3:uid="{FBE15448-4BA3-451F-9710-E1391F89DB3A}" name="Column12309"/>
    <tableColumn id="12321" xr3:uid="{0AF0C4F8-3167-41C3-A549-D8AEFFAE4AEF}" name="Column12310"/>
    <tableColumn id="12322" xr3:uid="{4509CAA8-AD2A-4E1B-8A1B-42BAB3C88415}" name="Column12311"/>
    <tableColumn id="12323" xr3:uid="{B716DA48-0B64-4C97-A2C2-73659DA7422F}" name="Column12312"/>
    <tableColumn id="12324" xr3:uid="{8D45866D-9FAC-48C7-89AB-2D99ABE00555}" name="Column12313"/>
    <tableColumn id="12325" xr3:uid="{EF29A0CE-402E-4A40-8CFD-5FD8A980C432}" name="Column12314"/>
    <tableColumn id="12326" xr3:uid="{D41AD126-9959-4E9A-BACB-DA142E4F549B}" name="Column12315"/>
    <tableColumn id="12327" xr3:uid="{64D9BECA-371D-4FC7-BEE1-4200467C0300}" name="Column12316"/>
    <tableColumn id="12328" xr3:uid="{9EAC047B-1934-45B1-A7A3-B10211065D06}" name="Column12317"/>
    <tableColumn id="12329" xr3:uid="{F1FB5879-F408-4FEA-946E-AC7976DE930A}" name="Column12318"/>
    <tableColumn id="12330" xr3:uid="{72E76C74-3B93-454D-855A-A51417940ED0}" name="Column12319"/>
    <tableColumn id="12331" xr3:uid="{B1023568-4C7E-4FE1-B0E1-9D74B21C1184}" name="Column12320"/>
    <tableColumn id="12332" xr3:uid="{E0574ADF-C059-4A26-AE40-4B12D4D2AC2C}" name="Column12321"/>
    <tableColumn id="12333" xr3:uid="{D2016445-1E3B-46F1-A6CF-60AE100292C6}" name="Column12322"/>
    <tableColumn id="12334" xr3:uid="{0197A581-DBFD-4F49-901F-7EBC1287E5FA}" name="Column12323"/>
    <tableColumn id="12335" xr3:uid="{95762839-EC91-4B72-A72B-B91E4FBAB645}" name="Column12324"/>
    <tableColumn id="12336" xr3:uid="{26B562AF-37E6-4313-9986-5724240275B7}" name="Column12325"/>
    <tableColumn id="12337" xr3:uid="{5EB400E4-F39D-4EB6-9390-75F48647AD51}" name="Column12326"/>
    <tableColumn id="12338" xr3:uid="{DBF869AD-C6C2-4243-9847-3EF39195B968}" name="Column12327"/>
    <tableColumn id="12339" xr3:uid="{319F09CF-67D7-4E47-A203-D7F239D4DF0A}" name="Column12328"/>
    <tableColumn id="12340" xr3:uid="{0A4D0257-FBDD-4BDB-8824-E6F0E5F23E79}" name="Column12329"/>
    <tableColumn id="12341" xr3:uid="{34A7AA6B-2016-40B1-ADB5-2CA5A5722B7D}" name="Column12330"/>
    <tableColumn id="12342" xr3:uid="{C0421F4D-6C41-4CCF-814B-9038FB55D5AA}" name="Column12331"/>
    <tableColumn id="12343" xr3:uid="{21695379-EDFB-43C3-84AD-C04B7DB6C14D}" name="Column12332"/>
    <tableColumn id="12344" xr3:uid="{B2981E8D-7515-4BAC-B717-BBA2A188F116}" name="Column12333"/>
    <tableColumn id="12345" xr3:uid="{08F7D3AD-9F35-4772-BD78-E6FDEB084969}" name="Column12334"/>
    <tableColumn id="12346" xr3:uid="{D400B814-EA25-461B-A0DB-BE5313BB1C26}" name="Column12335"/>
    <tableColumn id="12347" xr3:uid="{47312D4E-B0DF-4ECE-A168-C817362AA724}" name="Column12336"/>
    <tableColumn id="12348" xr3:uid="{A964A94A-4B99-47D7-985E-E8EC243D440B}" name="Column12337"/>
    <tableColumn id="12349" xr3:uid="{4ABFEFDF-F178-4B51-B74C-9FF188E52675}" name="Column12338"/>
    <tableColumn id="12350" xr3:uid="{5AFA5F02-250C-4458-979F-F78A1BE733D2}" name="Column12339"/>
    <tableColumn id="12351" xr3:uid="{330BCE5D-C1EE-4D0B-8AB6-5F3F32F2E493}" name="Column12340"/>
    <tableColumn id="12352" xr3:uid="{BE1684C6-832A-4089-A511-41BEF473D702}" name="Column12341"/>
    <tableColumn id="12353" xr3:uid="{2D580983-229F-4914-B920-7068EF74F030}" name="Column12342"/>
    <tableColumn id="12354" xr3:uid="{BA2BD2D2-E0F6-4CD7-B3D4-CB42A62C6FA5}" name="Column12343"/>
    <tableColumn id="12355" xr3:uid="{82F44D93-067B-40C7-A5BC-F33B80A105BB}" name="Column12344"/>
    <tableColumn id="12356" xr3:uid="{3BF95B26-C340-4E3C-AF20-3FCE167AC01E}" name="Column12345"/>
    <tableColumn id="12357" xr3:uid="{98727C4B-A1E2-43E2-B8B2-E2CA5DFF6FB8}" name="Column12346"/>
    <tableColumn id="12358" xr3:uid="{AF1AF7BE-8713-4B8B-9BB9-315A8CFC17F1}" name="Column12347"/>
    <tableColumn id="12359" xr3:uid="{4CF0C3A0-A189-4919-A924-DB9EFD7DFDE9}" name="Column12348"/>
    <tableColumn id="12360" xr3:uid="{E1EBF8DC-3853-430E-A43A-210B223C2A54}" name="Column12349"/>
    <tableColumn id="12361" xr3:uid="{EF0EBA52-F203-45C7-95FE-311F258DC63D}" name="Column12350"/>
    <tableColumn id="12362" xr3:uid="{A4029C29-B17F-46D1-8788-720FDD28A88A}" name="Column12351"/>
    <tableColumn id="12363" xr3:uid="{7E41E670-0B45-41A2-8CF7-0A5A7901B390}" name="Column12352"/>
    <tableColumn id="12364" xr3:uid="{CE758F72-9A55-4143-9000-F84DBAB8A3FB}" name="Column12353"/>
    <tableColumn id="12365" xr3:uid="{EDC125C0-0468-48FE-9617-0DF38CD52B6E}" name="Column12354"/>
    <tableColumn id="12366" xr3:uid="{F2FC7A9A-D4B7-48DE-A2EC-3FD7C5335DD7}" name="Column12355"/>
    <tableColumn id="12367" xr3:uid="{B839E281-D43A-4489-861C-8F31474F4F6F}" name="Column12356"/>
    <tableColumn id="12368" xr3:uid="{E7230A3F-5EAD-4E18-9A4E-C495E33CCCA2}" name="Column12357"/>
    <tableColumn id="12369" xr3:uid="{CDF9F564-9180-4F03-8D6E-73693B05FDD9}" name="Column12358"/>
    <tableColumn id="12370" xr3:uid="{51737880-9B70-46D3-8D62-02EFFE1482C7}" name="Column12359"/>
    <tableColumn id="12371" xr3:uid="{9A1D0020-6A6E-427F-995A-588EC545921D}" name="Column12360"/>
    <tableColumn id="12372" xr3:uid="{C2AAFD2F-D88D-407D-8DD6-1B448244ECDB}" name="Column12361"/>
    <tableColumn id="12373" xr3:uid="{1A8EC94A-E942-4304-A0D5-238D34834CFE}" name="Column12362"/>
    <tableColumn id="12374" xr3:uid="{582C0542-9F05-41BD-BFC7-B96096339425}" name="Column12363"/>
    <tableColumn id="12375" xr3:uid="{49E5EEFE-8CA4-424E-94FA-7A4C14B9661A}" name="Column12364"/>
    <tableColumn id="12376" xr3:uid="{A21818EF-5F69-40B5-BF46-5E697529E6DA}" name="Column12365"/>
    <tableColumn id="12377" xr3:uid="{9C3AA393-F88D-4FBE-B811-64F4768E3FF7}" name="Column12366"/>
    <tableColumn id="12378" xr3:uid="{239C2A6A-9923-4A4B-9CEA-F00F11F6BF8F}" name="Column12367"/>
    <tableColumn id="12379" xr3:uid="{0630C6F7-161E-4A19-BE33-9953CDC04329}" name="Column12368"/>
    <tableColumn id="12380" xr3:uid="{8AFA79B0-6606-45FC-BFFD-99A082505C6E}" name="Column12369"/>
    <tableColumn id="12381" xr3:uid="{4E2E1D29-272F-4DFE-86D1-61195B25A775}" name="Column12370"/>
    <tableColumn id="12382" xr3:uid="{B4ADD796-9269-4C9E-8C04-685C1AA525BA}" name="Column12371"/>
    <tableColumn id="12383" xr3:uid="{3107A9D0-ED64-4D7D-AF4D-004DC2F44A12}" name="Column12372"/>
    <tableColumn id="12384" xr3:uid="{1F73B774-1DAF-471A-B0C9-BEABBE537EF1}" name="Column12373"/>
    <tableColumn id="12385" xr3:uid="{84A5B65C-857E-4F3B-A309-088073C5F111}" name="Column12374"/>
    <tableColumn id="12386" xr3:uid="{4A9F5B1E-49A6-4436-B598-DBE56EA52745}" name="Column12375"/>
    <tableColumn id="12387" xr3:uid="{4AA661EA-CB69-4CF0-8A46-858AC0848D3C}" name="Column12376"/>
    <tableColumn id="12388" xr3:uid="{3F355080-CB89-40DA-ABDC-45BF3EE9A010}" name="Column12377"/>
    <tableColumn id="12389" xr3:uid="{7056B6E8-BCD6-4D23-BB1A-4CDE80F28E75}" name="Column12378"/>
    <tableColumn id="12390" xr3:uid="{052376F1-6115-44E3-8025-585CDCE4E23A}" name="Column12379"/>
    <tableColumn id="12391" xr3:uid="{F12466B0-DED4-4498-85B3-22DF0BC8893C}" name="Column12380"/>
    <tableColumn id="12392" xr3:uid="{52846320-53C9-4346-9302-D0975FA2D0C4}" name="Column12381"/>
    <tableColumn id="12393" xr3:uid="{F1E74C4E-E208-4052-879F-EF340C758489}" name="Column12382"/>
    <tableColumn id="12394" xr3:uid="{2629B7D1-2F36-46FF-8CDB-ED0A38FC6CC0}" name="Column12383"/>
    <tableColumn id="12395" xr3:uid="{0230E68E-01A1-48E3-BB13-1C2282BA21F8}" name="Column12384"/>
    <tableColumn id="12396" xr3:uid="{20D2020B-500A-4B2E-B19D-31DA50CA9905}" name="Column12385"/>
    <tableColumn id="12397" xr3:uid="{BE8C1053-6A2A-45C2-A31F-16F32FF6F847}" name="Column12386"/>
    <tableColumn id="12398" xr3:uid="{857F4302-E1FE-47B5-BCCF-9F524C4D812E}" name="Column12387"/>
    <tableColumn id="12399" xr3:uid="{83FE4D0C-1A65-4DEC-80F8-18F40655989B}" name="Column12388"/>
    <tableColumn id="12400" xr3:uid="{B505897F-B117-4C47-8698-24E411E95084}" name="Column12389"/>
    <tableColumn id="12401" xr3:uid="{A6C1E42C-AB33-4C27-83F4-4336B2BED40C}" name="Column12390"/>
    <tableColumn id="12402" xr3:uid="{6CC96CC0-7C4D-46BB-861C-202D141F2D7E}" name="Column12391"/>
    <tableColumn id="12403" xr3:uid="{239DD9AF-679C-4831-A8DC-DBDC8CBD8445}" name="Column12392"/>
    <tableColumn id="12404" xr3:uid="{AEF03D68-F3D8-4C81-957F-106C1B7943BD}" name="Column12393"/>
    <tableColumn id="12405" xr3:uid="{3475F1CF-297D-4690-8677-3681AB825BCA}" name="Column12394"/>
    <tableColumn id="12406" xr3:uid="{C84A838A-5883-4964-B13C-A4D4944AE97B}" name="Column12395"/>
    <tableColumn id="12407" xr3:uid="{41003D97-27FF-4026-970C-D1B24A54A89A}" name="Column12396"/>
    <tableColumn id="12408" xr3:uid="{299F00A0-E10F-438D-A4B3-E05610481B18}" name="Column12397"/>
    <tableColumn id="12409" xr3:uid="{66EC5019-A46B-4A95-8559-86A9E499F9C8}" name="Column12398"/>
    <tableColumn id="12410" xr3:uid="{F8B0A891-22C2-4285-91B4-E13488249D79}" name="Column12399"/>
    <tableColumn id="12411" xr3:uid="{3A5872CB-ABA2-4ED1-91D7-7D4C6920A978}" name="Column12400"/>
    <tableColumn id="12412" xr3:uid="{59FCDCE6-9183-4F11-83B6-D6B4329B2C8B}" name="Column12401"/>
    <tableColumn id="12413" xr3:uid="{B0A45611-BA57-41AA-A2E5-B026F748B45C}" name="Column12402"/>
    <tableColumn id="12414" xr3:uid="{DBF232D8-45AA-435F-8450-292C4C992B5A}" name="Column12403"/>
    <tableColumn id="12415" xr3:uid="{7BB5B45F-291C-4CA7-8F5A-D064EFE0255C}" name="Column12404"/>
    <tableColumn id="12416" xr3:uid="{6E60B66A-9E72-475A-A5B9-254DEF72155B}" name="Column12405"/>
    <tableColumn id="12417" xr3:uid="{3200479A-9784-419F-A729-289E42688989}" name="Column12406"/>
    <tableColumn id="12418" xr3:uid="{B9663AE2-C60F-4F28-8C37-B1308CA3C489}" name="Column12407"/>
    <tableColumn id="12419" xr3:uid="{8C581F70-C127-4A78-8C44-558110B7BB2D}" name="Column12408"/>
    <tableColumn id="12420" xr3:uid="{EB2991FA-5963-4FDC-A05A-032D685A5064}" name="Column12409"/>
    <tableColumn id="12421" xr3:uid="{76EF0A98-E943-45A8-BB1B-BDB3AE9282D3}" name="Column12410"/>
    <tableColumn id="12422" xr3:uid="{A2AADB20-CA5C-4627-BA39-8337A278B54B}" name="Column12411"/>
    <tableColumn id="12423" xr3:uid="{FCE3030E-3F34-4132-813C-EABEE896B5B3}" name="Column12412"/>
    <tableColumn id="12424" xr3:uid="{592A0CE5-2241-4F58-B903-ECA6CFBB2623}" name="Column12413"/>
    <tableColumn id="12425" xr3:uid="{654A76AC-87BF-4821-8202-3D2B65EF0194}" name="Column12414"/>
    <tableColumn id="12426" xr3:uid="{F99CB440-9267-40B8-BC70-F4B15AC8C325}" name="Column12415"/>
    <tableColumn id="12427" xr3:uid="{CF52E147-A11C-46BF-BDF9-A87E4A5FBE4B}" name="Column12416"/>
    <tableColumn id="12428" xr3:uid="{4EC4B2DF-79D1-4151-9155-39D9C948F793}" name="Column12417"/>
    <tableColumn id="12429" xr3:uid="{81B555A5-8079-4D3B-BD5A-FAE7A2EA6603}" name="Column12418"/>
    <tableColumn id="12430" xr3:uid="{BB49A8BA-4F21-4669-A457-365E26AB82BB}" name="Column12419"/>
    <tableColumn id="12431" xr3:uid="{9F591202-9103-4657-B2DC-EACB610FC901}" name="Column12420"/>
    <tableColumn id="12432" xr3:uid="{E2D639F1-EDA4-493C-B6E8-E4A9C2008382}" name="Column12421"/>
    <tableColumn id="12433" xr3:uid="{612B04AC-8C81-48FA-BFE5-C2592B984FD2}" name="Column12422"/>
    <tableColumn id="12434" xr3:uid="{7E993088-55D2-465C-98AB-BEEC2BDD1F06}" name="Column12423"/>
    <tableColumn id="12435" xr3:uid="{C6A5062B-8FD7-470F-B5C0-CE7DF0836718}" name="Column12424"/>
    <tableColumn id="12436" xr3:uid="{6BB259AE-0D94-4B70-973A-6310EAE3ABBA}" name="Column12425"/>
    <tableColumn id="12437" xr3:uid="{1D9A58CD-2E6B-46C0-8760-36D8D17B4775}" name="Column12426"/>
    <tableColumn id="12438" xr3:uid="{0C245F6C-0EA3-49CF-AE09-D35E18CA2C50}" name="Column12427"/>
    <tableColumn id="12439" xr3:uid="{2F82BBF6-B5FC-4AF7-9F25-BF7E05029529}" name="Column12428"/>
    <tableColumn id="12440" xr3:uid="{AAAF7BE2-749D-4FC7-B400-BD7ECAA751B7}" name="Column12429"/>
    <tableColumn id="12441" xr3:uid="{4D6C4183-9480-45FA-9AA6-CFC9FFE13E15}" name="Column12430"/>
    <tableColumn id="12442" xr3:uid="{7FE2085E-ECE4-4FE7-A741-14758BE725F4}" name="Column12431"/>
    <tableColumn id="12443" xr3:uid="{352578B3-EEF8-474C-B5CB-A309A9D4C566}" name="Column12432"/>
    <tableColumn id="12444" xr3:uid="{8C7C55D3-3A95-43A1-B3FB-EAA1C0059830}" name="Column12433"/>
    <tableColumn id="12445" xr3:uid="{603EF953-04F0-4575-9976-4677514F0764}" name="Column12434"/>
    <tableColumn id="12446" xr3:uid="{36874C40-C079-4B79-AC04-AB94BE09A2DC}" name="Column12435"/>
    <tableColumn id="12447" xr3:uid="{BE71F201-0005-4A27-9921-F3C61857427F}" name="Column12436"/>
    <tableColumn id="12448" xr3:uid="{905F0526-A79A-47AE-BA59-D25903B04808}" name="Column12437"/>
    <tableColumn id="12449" xr3:uid="{2C4B3F11-B058-432C-A413-7770F1E3E4C5}" name="Column12438"/>
    <tableColumn id="12450" xr3:uid="{3E2A99DD-6919-4CC0-A3A3-38962275B7CA}" name="Column12439"/>
    <tableColumn id="12451" xr3:uid="{720C1A9C-DDB2-4813-AA1B-642D0A619F23}" name="Column12440"/>
    <tableColumn id="12452" xr3:uid="{1C4BD10A-260B-43B1-8C95-A40DCF41ED73}" name="Column12441"/>
    <tableColumn id="12453" xr3:uid="{6FADF2F4-DE1A-4127-80E0-420080AAD75A}" name="Column12442"/>
    <tableColumn id="12454" xr3:uid="{42DA1154-9032-44E3-865A-493BDE304D84}" name="Column12443"/>
    <tableColumn id="12455" xr3:uid="{3BB5C6F2-1128-48D1-96BE-4682B65B2274}" name="Column12444"/>
    <tableColumn id="12456" xr3:uid="{5A92A5BF-6780-430A-88D4-A45B478B7EEE}" name="Column12445"/>
    <tableColumn id="12457" xr3:uid="{8FD0B747-CD50-49DF-B849-0A2962D9DA90}" name="Column12446"/>
    <tableColumn id="12458" xr3:uid="{B55E869B-7C77-409F-BA79-F6807244FC08}" name="Column12447"/>
    <tableColumn id="12459" xr3:uid="{86D09F69-B4F8-4792-B39A-B922FF16A72B}" name="Column12448"/>
    <tableColumn id="12460" xr3:uid="{5C98ED71-BC10-4F5E-B575-4883DC78F92B}" name="Column12449"/>
    <tableColumn id="12461" xr3:uid="{FF3E30EF-F0CE-4353-BA6B-119017238DAE}" name="Column12450"/>
    <tableColumn id="12462" xr3:uid="{FACACB4A-8F98-47F3-ACEE-CF3BBCFD01F6}" name="Column12451"/>
    <tableColumn id="12463" xr3:uid="{19E648B1-2AAE-4E55-BCDB-CCAA8AE19959}" name="Column12452"/>
    <tableColumn id="12464" xr3:uid="{A62C19AF-9095-4DB7-968C-0A6B93F2FCAA}" name="Column12453"/>
    <tableColumn id="12465" xr3:uid="{B7EF274A-4E60-4EE4-997B-1F2709D8C299}" name="Column12454"/>
    <tableColumn id="12466" xr3:uid="{6B2D0663-6A18-42AC-BD2F-C6EA314711D5}" name="Column12455"/>
    <tableColumn id="12467" xr3:uid="{3A4068E7-6B66-4915-B948-3AC6772E6FCE}" name="Column12456"/>
    <tableColumn id="12468" xr3:uid="{D828DB0B-0A2A-4E48-BCD2-B20CE02ADD87}" name="Column12457"/>
    <tableColumn id="12469" xr3:uid="{BCFDF2E7-4E48-49AA-A2FB-012CFAEADAAF}" name="Column12458"/>
    <tableColumn id="12470" xr3:uid="{6F121493-995D-49C0-876F-CEB5E972D5B5}" name="Column12459"/>
    <tableColumn id="12471" xr3:uid="{5311B426-FA17-43E3-84AC-2D9B84968BC5}" name="Column12460"/>
    <tableColumn id="12472" xr3:uid="{89697F39-799F-49EC-A70B-A8F7A32D5F6C}" name="Column12461"/>
    <tableColumn id="12473" xr3:uid="{C463F0AC-52C5-40DF-8883-D83D5EAACF7C}" name="Column12462"/>
    <tableColumn id="12474" xr3:uid="{D188F9E0-9463-458C-A3B2-BBCB99E9BCFE}" name="Column12463"/>
    <tableColumn id="12475" xr3:uid="{7B8B1A85-4D7C-498D-84F8-9B9400A3EDA6}" name="Column12464"/>
    <tableColumn id="12476" xr3:uid="{59BCED8F-4CDB-49F0-8238-5EC02A9FA0DE}" name="Column12465"/>
    <tableColumn id="12477" xr3:uid="{FED68BF1-0F2E-46AA-B95B-A5965BA01C4F}" name="Column12466"/>
    <tableColumn id="12478" xr3:uid="{736192C3-7E89-4154-B116-181F7402AB9D}" name="Column12467"/>
    <tableColumn id="12479" xr3:uid="{51BB092C-D8CA-4B73-9EFC-628E595ADBC6}" name="Column12468"/>
    <tableColumn id="12480" xr3:uid="{7FBDC825-1C11-4631-9D2D-BCD7EA1CC381}" name="Column12469"/>
    <tableColumn id="12481" xr3:uid="{E5767493-17AD-4BB9-B08F-F04CC6F1386C}" name="Column12470"/>
    <tableColumn id="12482" xr3:uid="{976122E7-0158-4702-A993-19631B5C8C27}" name="Column12471"/>
    <tableColumn id="12483" xr3:uid="{6D6B2145-7ED0-4213-8B0E-1C359EA6FEE4}" name="Column12472"/>
    <tableColumn id="12484" xr3:uid="{5CA8A521-E5DE-4393-8012-ED1067C65D7E}" name="Column12473"/>
    <tableColumn id="12485" xr3:uid="{220DE9DA-095C-4F1F-B66D-2F3278F89437}" name="Column12474"/>
    <tableColumn id="12486" xr3:uid="{5E5B41A3-E6F3-4AB1-8D95-54A784402CFC}" name="Column12475"/>
    <tableColumn id="12487" xr3:uid="{E5A21A38-C4A1-427D-93D0-7AFC533E4BCC}" name="Column12476"/>
    <tableColumn id="12488" xr3:uid="{53E7257B-4310-410D-84FB-7EC140F9BE9D}" name="Column12477"/>
    <tableColumn id="12489" xr3:uid="{AAA27752-6978-403A-8C06-318BC67D10DD}" name="Column12478"/>
    <tableColumn id="12490" xr3:uid="{8B0EFFEA-6B02-4117-8880-3444F4517DAE}" name="Column12479"/>
    <tableColumn id="12491" xr3:uid="{8691D708-969C-4A8B-BF69-8E59D3EEBE2D}" name="Column12480"/>
    <tableColumn id="12492" xr3:uid="{12CBF46A-FBE4-4353-92C9-D59E0D68980C}" name="Column12481"/>
    <tableColumn id="12493" xr3:uid="{E1C7169A-9C3C-4DA4-B356-EB00C2847C2C}" name="Column12482"/>
    <tableColumn id="12494" xr3:uid="{EA7355F3-C24D-426E-90A2-83C0575E42BD}" name="Column12483"/>
    <tableColumn id="12495" xr3:uid="{11D7ABD7-13F8-4BB3-BDA8-9CC5A736E900}" name="Column12484"/>
    <tableColumn id="12496" xr3:uid="{CF3257E4-4B4E-4931-B37D-36F211ED9680}" name="Column12485"/>
    <tableColumn id="12497" xr3:uid="{FCA93A60-9FE2-400D-B02E-17D6F2A1CA4A}" name="Column12486"/>
    <tableColumn id="12498" xr3:uid="{99AB9929-5B1F-46D2-BC66-464B3A389599}" name="Column12487"/>
    <tableColumn id="12499" xr3:uid="{79EB96A1-A043-4F4D-8E3B-37B38682FA87}" name="Column12488"/>
    <tableColumn id="12500" xr3:uid="{18272024-5658-4D94-83A2-A3C6F3A86960}" name="Column12489"/>
    <tableColumn id="12501" xr3:uid="{A7D6BD14-0F53-454B-8576-B931E6EC9CC2}" name="Column12490"/>
    <tableColumn id="12502" xr3:uid="{8943E2FC-DAF6-4C18-92D5-8DDFDBB320FF}" name="Column12491"/>
    <tableColumn id="12503" xr3:uid="{6644114E-9197-46EA-947A-2392D2014F7D}" name="Column12492"/>
    <tableColumn id="12504" xr3:uid="{0EF5B128-EE2E-4715-A6CB-239C1A87545F}" name="Column12493"/>
    <tableColumn id="12505" xr3:uid="{2F704059-6E8B-4F5B-B173-B27A01014929}" name="Column12494"/>
    <tableColumn id="12506" xr3:uid="{002D05F7-526E-413A-AABB-45351FCD0C96}" name="Column12495"/>
    <tableColumn id="12507" xr3:uid="{250E1765-204B-49B1-83BF-00D509C6981A}" name="Column12496"/>
    <tableColumn id="12508" xr3:uid="{FA3F127F-EC66-4406-88AE-630A6B85B6D7}" name="Column12497"/>
    <tableColumn id="12509" xr3:uid="{AB4C9971-3052-418C-A4AC-EE07C7970599}" name="Column12498"/>
    <tableColumn id="12510" xr3:uid="{1E2A38CF-1596-435C-BEE8-E1D3F6E2588E}" name="Column12499"/>
    <tableColumn id="12511" xr3:uid="{1DFAA050-920A-467B-A00D-B39989720389}" name="Column12500"/>
    <tableColumn id="12512" xr3:uid="{64B12FD8-3B11-45C3-AF3F-38C0962A8A7F}" name="Column12501"/>
    <tableColumn id="12513" xr3:uid="{0832CD04-F40B-4C26-B80E-8351AADBCB3F}" name="Column12502"/>
    <tableColumn id="12514" xr3:uid="{CE71A435-8D92-4D5F-8112-E5E8FC1D0FB3}" name="Column12503"/>
    <tableColumn id="12515" xr3:uid="{C005204B-EC7A-4099-AD29-04B77F475140}" name="Column12504"/>
    <tableColumn id="12516" xr3:uid="{222B52D7-89FB-4F0E-9CBA-81CEA1A419A5}" name="Column12505"/>
    <tableColumn id="12517" xr3:uid="{AEE16BF4-190A-4402-8B9E-D4B034863832}" name="Column12506"/>
    <tableColumn id="12518" xr3:uid="{E2F728AC-8ACC-4EB7-A1EC-7C4CC8BE61F1}" name="Column12507"/>
    <tableColumn id="12519" xr3:uid="{D3800F2C-F41A-4B21-A64F-74ED11B151D1}" name="Column12508"/>
    <tableColumn id="12520" xr3:uid="{6B2B2111-FAFD-4A05-B0C2-2AD0BB94190E}" name="Column12509"/>
    <tableColumn id="12521" xr3:uid="{4BDED349-4053-4617-BEF8-C39461CD24F3}" name="Column12510"/>
    <tableColumn id="12522" xr3:uid="{878BE1CB-ABC9-418C-B4AC-9C20489E920E}" name="Column12511"/>
    <tableColumn id="12523" xr3:uid="{50B66A64-4900-4FF5-AA67-DA78AB33010D}" name="Column12512"/>
    <tableColumn id="12524" xr3:uid="{A2E314C5-11ED-48B5-B31E-FD7A8FBE17D8}" name="Column12513"/>
    <tableColumn id="12525" xr3:uid="{B967700A-72F7-4216-8505-353E4DF16F81}" name="Column12514"/>
    <tableColumn id="12526" xr3:uid="{0597529B-99A5-4F72-ACEC-B330ED5B7DBC}" name="Column12515"/>
    <tableColumn id="12527" xr3:uid="{FD07B2A7-8899-4ACF-B728-64BA620B5ADE}" name="Column12516"/>
    <tableColumn id="12528" xr3:uid="{A76D5D53-967F-4929-A31C-05A6972B908B}" name="Column12517"/>
    <tableColumn id="12529" xr3:uid="{0860CD62-EEE4-4944-875B-DCDF69A9F479}" name="Column12518"/>
    <tableColumn id="12530" xr3:uid="{B58A063A-80D3-4798-9701-ACAABC07E855}" name="Column12519"/>
    <tableColumn id="12531" xr3:uid="{80574DD8-F21A-4A77-ADAC-88B07544F8E3}" name="Column12520"/>
    <tableColumn id="12532" xr3:uid="{BA0B0B8A-079F-4985-98F1-91F02AB0867E}" name="Column12521"/>
    <tableColumn id="12533" xr3:uid="{D3201D8C-0D16-48BA-979C-5EBAF5772428}" name="Column12522"/>
    <tableColumn id="12534" xr3:uid="{5EFD302A-4B10-4AE9-8ACA-898A679C962A}" name="Column12523"/>
    <tableColumn id="12535" xr3:uid="{42DF9004-67C7-4F8E-8044-578E95F111D9}" name="Column12524"/>
    <tableColumn id="12536" xr3:uid="{05BA91D2-99A2-4D6D-BC6A-31382F94A9ED}" name="Column12525"/>
    <tableColumn id="12537" xr3:uid="{959F7935-57FB-4A5C-820A-B8614FFF8BB1}" name="Column12526"/>
    <tableColumn id="12538" xr3:uid="{32F5CA28-37D0-4D36-B8E5-01E63B1D2910}" name="Column12527"/>
    <tableColumn id="12539" xr3:uid="{B61ABEF6-B354-40FB-A9CD-151E06ADD07B}" name="Column12528"/>
    <tableColumn id="12540" xr3:uid="{96035486-6EEB-4D9D-BE62-F709425B7D93}" name="Column12529"/>
    <tableColumn id="12541" xr3:uid="{46638D5A-C4B7-4590-9776-53CBE327BAA9}" name="Column12530"/>
    <tableColumn id="12542" xr3:uid="{4BF9B027-421D-47B5-B687-3DFAD8B4B8B9}" name="Column12531"/>
    <tableColumn id="12543" xr3:uid="{F8B78F04-AB5F-4DD2-8653-1E54E0C295CB}" name="Column12532"/>
    <tableColumn id="12544" xr3:uid="{0C7F1A44-29DC-45C5-9D61-FC4C08D5DD68}" name="Column12533"/>
    <tableColumn id="12545" xr3:uid="{EE1FBF45-86AF-44A7-806C-4871D5D49E5B}" name="Column12534"/>
    <tableColumn id="12546" xr3:uid="{8E47AEFC-3CC3-45ED-9C6D-19E3A7BFC36F}" name="Column12535"/>
    <tableColumn id="12547" xr3:uid="{ABE61C17-5DA6-482D-BC11-35985812A219}" name="Column12536"/>
    <tableColumn id="12548" xr3:uid="{512CAA1A-AAF7-4C83-B17D-A40F68B2506A}" name="Column12537"/>
    <tableColumn id="12549" xr3:uid="{66F6B6F3-5D19-4653-98FC-5B9F56745526}" name="Column12538"/>
    <tableColumn id="12550" xr3:uid="{D6E821E4-ECA3-4B87-BAA1-5BE7FA743465}" name="Column12539"/>
    <tableColumn id="12551" xr3:uid="{6C68EF89-4D3C-48FB-BD4B-ECEF475334DF}" name="Column12540"/>
    <tableColumn id="12552" xr3:uid="{EA53D928-F58D-4B61-B87D-D0CC18B16836}" name="Column12541"/>
    <tableColumn id="12553" xr3:uid="{29B1F8FF-B102-4FB7-A5B9-CD35B586C031}" name="Column12542"/>
    <tableColumn id="12554" xr3:uid="{C7545F05-25CE-47BB-AB11-57ABFF3EDA41}" name="Column12543"/>
    <tableColumn id="12555" xr3:uid="{6D56DCEC-8AF4-4899-BD7B-53265C770AC3}" name="Column12544"/>
    <tableColumn id="12556" xr3:uid="{6CF1ACFE-9151-483A-8D7F-3413BD87D0B1}" name="Column12545"/>
    <tableColumn id="12557" xr3:uid="{FD6CD4B6-374C-4CC7-BBCB-E8B236A002DB}" name="Column12546"/>
    <tableColumn id="12558" xr3:uid="{9ADBE4AE-F189-49AF-B1C3-F3F80F806841}" name="Column12547"/>
    <tableColumn id="12559" xr3:uid="{9B59E0A6-E1D7-4AD0-A391-98E41AAED9B7}" name="Column12548"/>
    <tableColumn id="12560" xr3:uid="{E9541F4C-5E3A-4BDD-A831-EE9B3FFDAE8F}" name="Column12549"/>
    <tableColumn id="12561" xr3:uid="{82029885-5398-4839-A11E-37F056760325}" name="Column12550"/>
    <tableColumn id="12562" xr3:uid="{61DA0FD6-70CC-4AA2-88A4-5DCAD492BFE4}" name="Column12551"/>
    <tableColumn id="12563" xr3:uid="{9D7E75B8-4BEC-4C7F-88A5-BB2FC7E3434C}" name="Column12552"/>
    <tableColumn id="12564" xr3:uid="{B5B6529D-9479-48AE-891C-84CABA475C61}" name="Column12553"/>
    <tableColumn id="12565" xr3:uid="{5BCD553C-18CE-4EFE-A5FE-75C089093C33}" name="Column12554"/>
    <tableColumn id="12566" xr3:uid="{576A95EE-0A5C-479D-B9FC-E03A4C80EB36}" name="Column12555"/>
    <tableColumn id="12567" xr3:uid="{F1DB58BE-16B2-4304-8CE9-BCB2EF274940}" name="Column12556"/>
    <tableColumn id="12568" xr3:uid="{907A1C7E-848B-439F-8CDE-478D18E26BCC}" name="Column12557"/>
    <tableColumn id="12569" xr3:uid="{FECD6142-C1A5-4945-9AEE-A60111491788}" name="Column12558"/>
    <tableColumn id="12570" xr3:uid="{81C7A0B9-880B-4862-A9AA-3A2666F0F133}" name="Column12559"/>
    <tableColumn id="12571" xr3:uid="{49EAFE4E-04AA-4A72-A791-5296A2510E0B}" name="Column12560"/>
    <tableColumn id="12572" xr3:uid="{9B3873FA-7B54-4A7A-A794-A8E4DD2C8D7D}" name="Column12561"/>
    <tableColumn id="12573" xr3:uid="{F8409707-8037-4EC2-8B41-CC483E282E83}" name="Column12562"/>
    <tableColumn id="12574" xr3:uid="{305F7FBA-6C37-406F-B235-AD8A9B493C5A}" name="Column12563"/>
    <tableColumn id="12575" xr3:uid="{AB5AD950-4774-4322-A053-790E2DDFE3A5}" name="Column12564"/>
    <tableColumn id="12576" xr3:uid="{A8B7A32F-DE95-49BC-B1D4-D9A30CC5DB47}" name="Column12565"/>
    <tableColumn id="12577" xr3:uid="{2F6986A5-40FB-4B96-9F11-93FBCFE89882}" name="Column12566"/>
    <tableColumn id="12578" xr3:uid="{6CF406AC-4EED-4C22-BE7E-22DD449B304D}" name="Column12567"/>
    <tableColumn id="12579" xr3:uid="{68FFC561-8F60-4DA0-A135-500A63490E3E}" name="Column12568"/>
    <tableColumn id="12580" xr3:uid="{85DA1848-8F37-4D1C-B537-6233460E0DF6}" name="Column12569"/>
    <tableColumn id="12581" xr3:uid="{4853DD04-0F8A-42DF-AC69-308C0811CB0B}" name="Column12570"/>
    <tableColumn id="12582" xr3:uid="{99B56B43-0ED4-4697-B3AB-52F9AA8BD944}" name="Column12571"/>
    <tableColumn id="12583" xr3:uid="{40696033-D091-4640-8B7A-F7550D9D9AEA}" name="Column12572"/>
    <tableColumn id="12584" xr3:uid="{008C103A-42A4-4EE9-A84A-6454E8386955}" name="Column12573"/>
    <tableColumn id="12585" xr3:uid="{6F8A096E-C50F-43A8-A6D7-8A96BA5140AE}" name="Column12574"/>
    <tableColumn id="12586" xr3:uid="{F6628A45-88E1-4CF0-B163-F7DCE06C3B67}" name="Column12575"/>
    <tableColumn id="12587" xr3:uid="{77563380-FA8E-4E2A-B2DB-E427BA2D9450}" name="Column12576"/>
    <tableColumn id="12588" xr3:uid="{5EEDAB94-212D-4059-9543-DC71D5DD54D1}" name="Column12577"/>
    <tableColumn id="12589" xr3:uid="{611E12EC-E626-41AE-A999-654AD0DF9832}" name="Column12578"/>
    <tableColumn id="12590" xr3:uid="{3D741530-47B0-432C-8995-2E8EF0051BC4}" name="Column12579"/>
    <tableColumn id="12591" xr3:uid="{4FB720F6-D749-4578-9600-0D423BF46F2F}" name="Column12580"/>
    <tableColumn id="12592" xr3:uid="{1BB9CBD5-7E5D-4FAD-BACD-BAD139506285}" name="Column12581"/>
    <tableColumn id="12593" xr3:uid="{896D3D90-5A3A-47C1-8DC2-FA8080E9CBB4}" name="Column12582"/>
    <tableColumn id="12594" xr3:uid="{6998CE0C-9700-4B42-8474-3C4947E6224F}" name="Column12583"/>
    <tableColumn id="12595" xr3:uid="{A75374B6-90C0-4790-9641-C79E2D5A9B59}" name="Column12584"/>
    <tableColumn id="12596" xr3:uid="{18AD789F-8537-45B5-99E0-94AD799477D4}" name="Column12585"/>
    <tableColumn id="12597" xr3:uid="{5E3B2F78-B8CD-4142-9379-9357FE973CD2}" name="Column12586"/>
    <tableColumn id="12598" xr3:uid="{FC57D1CC-D6AD-4BCF-B36D-9A24E32BC33B}" name="Column12587"/>
    <tableColumn id="12599" xr3:uid="{EF86D997-BDE0-4CB7-AEA0-473971FE24C2}" name="Column12588"/>
    <tableColumn id="12600" xr3:uid="{5035BADF-BE1C-4A57-896D-67619E9D6605}" name="Column12589"/>
    <tableColumn id="12601" xr3:uid="{FB2DF4DB-9C44-4BBA-B68E-C4DEDB729CCF}" name="Column12590"/>
    <tableColumn id="12602" xr3:uid="{9427C5AB-91E1-4FC4-B872-5A14479E9B38}" name="Column12591"/>
    <tableColumn id="12603" xr3:uid="{3D411E6C-81F4-4BDA-89E1-8AE4497F78A7}" name="Column12592"/>
    <tableColumn id="12604" xr3:uid="{F9F7AD86-96FF-4C94-A12A-03DD7507F633}" name="Column12593"/>
    <tableColumn id="12605" xr3:uid="{650910CA-970C-400F-A89D-0A4FCD527327}" name="Column12594"/>
    <tableColumn id="12606" xr3:uid="{D28AD22F-C437-406F-AA26-7EEA129ADC88}" name="Column12595"/>
    <tableColumn id="12607" xr3:uid="{438E67DB-3615-439E-A2F0-C04B276905C4}" name="Column12596"/>
    <tableColumn id="12608" xr3:uid="{F94BDA50-8E64-4E42-9290-D65E05D8B203}" name="Column12597"/>
    <tableColumn id="12609" xr3:uid="{C65FDF2F-B505-4824-8754-0C743B058765}" name="Column12598"/>
    <tableColumn id="12610" xr3:uid="{98B32AB0-5691-4399-92E2-7A2841E2BFEF}" name="Column12599"/>
    <tableColumn id="12611" xr3:uid="{DAA7D054-7B49-40A4-B13C-3F981B166A23}" name="Column12600"/>
    <tableColumn id="12612" xr3:uid="{41E96480-15B3-4EFB-8363-DD399DF1FDB8}" name="Column12601"/>
    <tableColumn id="12613" xr3:uid="{7D2F9E5C-892A-4EAD-893E-C460CE06CC72}" name="Column12602"/>
    <tableColumn id="12614" xr3:uid="{114EB387-5730-46B7-8D05-56FBB620271B}" name="Column12603"/>
    <tableColumn id="12615" xr3:uid="{17A687D7-CE38-4F68-94DD-9176608658C3}" name="Column12604"/>
    <tableColumn id="12616" xr3:uid="{13F564DC-5E16-4E21-8A60-C6521AC5744E}" name="Column12605"/>
    <tableColumn id="12617" xr3:uid="{F6C20F6A-AFD2-4C44-9E01-0C98648F155D}" name="Column12606"/>
    <tableColumn id="12618" xr3:uid="{5A4721F9-CED6-405F-B51D-60926EADBB30}" name="Column12607"/>
    <tableColumn id="12619" xr3:uid="{8FB2ADD8-8330-48B1-8DD7-492404570860}" name="Column12608"/>
    <tableColumn id="12620" xr3:uid="{B4C80BE2-F7FE-410D-8170-BD48175B15DA}" name="Column12609"/>
    <tableColumn id="12621" xr3:uid="{8490665A-0A21-478D-887C-79455C25DFD9}" name="Column12610"/>
    <tableColumn id="12622" xr3:uid="{F84BDFCC-D5B7-4077-AB9A-D863306DC477}" name="Column12611"/>
    <tableColumn id="12623" xr3:uid="{CBBD3989-A8D8-4DE7-B712-B6B3168427B7}" name="Column12612"/>
    <tableColumn id="12624" xr3:uid="{C3674961-A576-444B-9EC3-FC7A87D68B2C}" name="Column12613"/>
    <tableColumn id="12625" xr3:uid="{16C8739D-7B90-4B79-8D76-00DA6469AE07}" name="Column12614"/>
    <tableColumn id="12626" xr3:uid="{33F1EF83-AEB1-4F34-986F-32AB585AE996}" name="Column12615"/>
    <tableColumn id="12627" xr3:uid="{7C663E54-C72D-40F0-8845-F48CE50D9BD7}" name="Column12616"/>
    <tableColumn id="12628" xr3:uid="{2B5BBB35-6607-42FE-A9E6-46538C8877D6}" name="Column12617"/>
    <tableColumn id="12629" xr3:uid="{B6F271B4-8EC7-4ABD-B3B6-31C2BBE43475}" name="Column12618"/>
    <tableColumn id="12630" xr3:uid="{3F97C417-0927-45CE-891E-18131A85BB22}" name="Column12619"/>
    <tableColumn id="12631" xr3:uid="{F29DFA04-8D44-4307-BAB9-49D7B133DF6C}" name="Column12620"/>
    <tableColumn id="12632" xr3:uid="{C3731ADD-5E8F-4A41-BCA2-EEAF5338B772}" name="Column12621"/>
    <tableColumn id="12633" xr3:uid="{202F04A9-43C8-4D4D-8383-E8C06640280E}" name="Column12622"/>
    <tableColumn id="12634" xr3:uid="{C53343E5-1039-444A-9C0A-07CF3E9AE1E8}" name="Column12623"/>
    <tableColumn id="12635" xr3:uid="{B54E561F-8A78-471A-91E8-3B84C1411C9C}" name="Column12624"/>
    <tableColumn id="12636" xr3:uid="{9BA76FC8-CCB6-4A89-BF37-782184E00A3C}" name="Column12625"/>
    <tableColumn id="12637" xr3:uid="{7AC9B88F-7271-4B51-BAD5-0D811C6BB205}" name="Column12626"/>
    <tableColumn id="12638" xr3:uid="{975C0D29-4B14-444C-A316-2761C9488EC9}" name="Column12627"/>
    <tableColumn id="12639" xr3:uid="{1C91D9A7-28C6-41D4-88E7-502632BB0C9F}" name="Column12628"/>
    <tableColumn id="12640" xr3:uid="{FC1D7F83-A5C0-4592-BA58-475185E05FC2}" name="Column12629"/>
    <tableColumn id="12641" xr3:uid="{4C11F4EC-BD8A-48AD-9833-0CE94FACCD2B}" name="Column12630"/>
    <tableColumn id="12642" xr3:uid="{6474AAFE-BC1C-48E9-8C9F-B3BC552E621A}" name="Column12631"/>
    <tableColumn id="12643" xr3:uid="{6C98A2EA-74B5-4FB0-8FED-355E98525E55}" name="Column12632"/>
    <tableColumn id="12644" xr3:uid="{C938B0F6-1687-4C6E-BC3D-1CFD80B09419}" name="Column12633"/>
    <tableColumn id="12645" xr3:uid="{D78C886C-FE55-4DFC-9BF9-9F61B1028A26}" name="Column12634"/>
    <tableColumn id="12646" xr3:uid="{29427047-C89C-4CF0-84DE-D45C70B94BF9}" name="Column12635"/>
    <tableColumn id="12647" xr3:uid="{6A514013-BEDA-4073-A847-20F6004915D4}" name="Column12636"/>
    <tableColumn id="12648" xr3:uid="{31A29A29-6DA8-4809-ACEC-EE6E27274E1B}" name="Column12637"/>
    <tableColumn id="12649" xr3:uid="{D98194FC-06A8-4D0E-BE67-EF47E33C7465}" name="Column12638"/>
    <tableColumn id="12650" xr3:uid="{CC2B2848-6524-4190-9C05-13D5E8DAEE86}" name="Column12639"/>
    <tableColumn id="12651" xr3:uid="{EE02967E-63E9-4026-A37C-78897EFD923C}" name="Column12640"/>
    <tableColumn id="12652" xr3:uid="{BA1731C5-C620-4322-88B7-D17989D78260}" name="Column12641"/>
    <tableColumn id="12653" xr3:uid="{9700B012-CBF2-4859-B67D-DA1E98B703CB}" name="Column12642"/>
    <tableColumn id="12654" xr3:uid="{711E00DB-E21D-4AEF-B592-3559A2A1B228}" name="Column12643"/>
    <tableColumn id="12655" xr3:uid="{B1E47980-1E46-4BD0-9A7E-6259B9B91666}" name="Column12644"/>
    <tableColumn id="12656" xr3:uid="{ED164B7C-4A06-4468-875D-1A3225844F42}" name="Column12645"/>
    <tableColumn id="12657" xr3:uid="{628D5F32-E494-4562-9FAE-621AB45303D5}" name="Column12646"/>
    <tableColumn id="12658" xr3:uid="{049B3DD1-0E90-483E-80AA-F2374690E677}" name="Column12647"/>
    <tableColumn id="12659" xr3:uid="{98E7B03B-F3C4-4AE2-8F80-D3DCF3F9A4A0}" name="Column12648"/>
    <tableColumn id="12660" xr3:uid="{9F550E30-F6BA-4CAC-BBB9-85FEAB8EACB0}" name="Column12649"/>
    <tableColumn id="12661" xr3:uid="{81DCAB44-CB08-4B67-96EE-B48E52B8E373}" name="Column12650"/>
    <tableColumn id="12662" xr3:uid="{CDFFF8DE-8C0D-4821-A68C-064110633C5D}" name="Column12651"/>
    <tableColumn id="12663" xr3:uid="{2773C5F0-0A64-4017-B5A8-686DD595E171}" name="Column12652"/>
    <tableColumn id="12664" xr3:uid="{A196A938-B757-4361-8FD6-EF48182016DA}" name="Column12653"/>
    <tableColumn id="12665" xr3:uid="{BD739EC5-69B5-4CC2-9154-D89C90743D7E}" name="Column12654"/>
    <tableColumn id="12666" xr3:uid="{AF3A41E4-DE06-4ED9-8C02-722A0B702310}" name="Column12655"/>
    <tableColumn id="12667" xr3:uid="{A10E55F3-EE8B-463C-8FDD-96C16CAF9D1D}" name="Column12656"/>
    <tableColumn id="12668" xr3:uid="{4559E971-C250-4582-934C-03C8BEA8E04F}" name="Column12657"/>
    <tableColumn id="12669" xr3:uid="{1CEAF92A-A323-49BA-8226-68A5ADF66552}" name="Column12658"/>
    <tableColumn id="12670" xr3:uid="{5CF02FE8-9F7E-45D9-8CD4-F2B89DD35505}" name="Column12659"/>
    <tableColumn id="12671" xr3:uid="{ADD340BE-A896-447A-8FC8-F1107D761ABF}" name="Column12660"/>
    <tableColumn id="12672" xr3:uid="{12091374-3EAE-4F5A-A5BB-2161AF789541}" name="Column12661"/>
    <tableColumn id="12673" xr3:uid="{30FA4D6D-BD05-411C-99E9-46861D763050}" name="Column12662"/>
    <tableColumn id="12674" xr3:uid="{E3E18F6D-4247-48B2-8FF5-AFDD225B1655}" name="Column12663"/>
    <tableColumn id="12675" xr3:uid="{72B94958-2794-44D0-918E-513016B94685}" name="Column12664"/>
    <tableColumn id="12676" xr3:uid="{E6ABC474-3456-4D4F-A7E7-D1F7BB23FBF4}" name="Column12665"/>
    <tableColumn id="12677" xr3:uid="{E3AB9EFA-E029-4B61-A7CC-04E784FAE353}" name="Column12666"/>
    <tableColumn id="12678" xr3:uid="{E2962974-2CFC-49F2-9E75-CCA32861ECB5}" name="Column12667"/>
    <tableColumn id="12679" xr3:uid="{A10D99C1-509D-48F0-8052-1E3A135EEEBD}" name="Column12668"/>
    <tableColumn id="12680" xr3:uid="{A95D3B2E-B7F5-4838-8CF7-D88FE8FEB706}" name="Column12669"/>
    <tableColumn id="12681" xr3:uid="{8DE7780C-429D-4A70-A81D-37C791880062}" name="Column12670"/>
    <tableColumn id="12682" xr3:uid="{FD22692F-08D7-42AC-A4C4-912557F9101B}" name="Column12671"/>
    <tableColumn id="12683" xr3:uid="{08A7A8BF-470C-47BF-B173-259BCD64F21F}" name="Column12672"/>
    <tableColumn id="12684" xr3:uid="{169F0F5B-82C1-42C2-90E6-0672BBDD0AF0}" name="Column12673"/>
    <tableColumn id="12685" xr3:uid="{8B4AC830-6241-4983-817F-385531798FC4}" name="Column12674"/>
    <tableColumn id="12686" xr3:uid="{8CACF4F2-75DE-48E3-8E2E-9CA114558FBF}" name="Column12675"/>
    <tableColumn id="12687" xr3:uid="{3F6EB268-AAC4-4E03-A946-38070B46CE79}" name="Column12676"/>
    <tableColumn id="12688" xr3:uid="{4BB61767-9732-4FA9-8D7B-76C932B0BAA0}" name="Column12677"/>
    <tableColumn id="12689" xr3:uid="{CBC85B9B-06BF-4D6E-AB36-63B2080E518A}" name="Column12678"/>
    <tableColumn id="12690" xr3:uid="{FC805180-58F1-4F9C-95D8-965DE3A43287}" name="Column12679"/>
    <tableColumn id="12691" xr3:uid="{34087A1C-B6DD-45E9-8E08-38CEE7212250}" name="Column12680"/>
    <tableColumn id="12692" xr3:uid="{73B59B51-AD87-42FE-B27D-98279129920C}" name="Column12681"/>
    <tableColumn id="12693" xr3:uid="{EF6E6609-757F-4240-945F-74D9701D074F}" name="Column12682"/>
    <tableColumn id="12694" xr3:uid="{57129CC8-709E-41E6-82C6-B700DF180A58}" name="Column12683"/>
    <tableColumn id="12695" xr3:uid="{86235EAF-360E-4904-AACF-FF1BFAF9E70D}" name="Column12684"/>
    <tableColumn id="12696" xr3:uid="{75E1FEA3-2131-48DC-9B1F-5F5448412914}" name="Column12685"/>
    <tableColumn id="12697" xr3:uid="{438F9D9F-E56F-4793-BC1C-65C4DA31A7E6}" name="Column12686"/>
    <tableColumn id="12698" xr3:uid="{30D17CF6-04B9-4423-88F3-FD82F1113B20}" name="Column12687"/>
    <tableColumn id="12699" xr3:uid="{02F0C291-F717-4B00-94CB-3717D3A65CBD}" name="Column12688"/>
    <tableColumn id="12700" xr3:uid="{01F1A8CA-A17A-4A31-AB66-84D695177960}" name="Column12689"/>
    <tableColumn id="12701" xr3:uid="{0274FE30-94A4-4E1D-B1AF-B1FA58FEEA10}" name="Column12690"/>
    <tableColumn id="12702" xr3:uid="{77E92353-D1A8-45BE-B678-B36FB210E2A2}" name="Column12691"/>
    <tableColumn id="12703" xr3:uid="{42FFD214-1310-4A5D-BADA-B48EC565D3DC}" name="Column12692"/>
    <tableColumn id="12704" xr3:uid="{91B47E34-2C87-4C66-98D0-06B63C19054F}" name="Column12693"/>
    <tableColumn id="12705" xr3:uid="{8F7069D1-A2E6-4AA5-AFB7-391556307B04}" name="Column12694"/>
    <tableColumn id="12706" xr3:uid="{9D40446F-EC83-4A45-9640-CA30BA1CB04F}" name="Column12695"/>
    <tableColumn id="12707" xr3:uid="{5F8F15AA-9E8F-4998-B8F9-ACFD603856AC}" name="Column12696"/>
    <tableColumn id="12708" xr3:uid="{7A6296A5-B0EC-41A0-B606-01E77314D240}" name="Column12697"/>
    <tableColumn id="12709" xr3:uid="{D290CC3C-D577-4541-BBF2-9C033FDE0260}" name="Column12698"/>
    <tableColumn id="12710" xr3:uid="{12375F61-6A7B-45B8-BFE9-3469E2455DBC}" name="Column12699"/>
    <tableColumn id="12711" xr3:uid="{D3FC2A87-3A37-48F2-950E-E0E35D29FC99}" name="Column12700"/>
    <tableColumn id="12712" xr3:uid="{8CE1631D-A7AB-40B2-BF9D-AA037716EC29}" name="Column12701"/>
    <tableColumn id="12713" xr3:uid="{35175409-F592-4815-A471-AEA246CAC8AA}" name="Column12702"/>
    <tableColumn id="12714" xr3:uid="{044091FB-B71F-4579-BF6D-BD23FFA95CB8}" name="Column12703"/>
    <tableColumn id="12715" xr3:uid="{C7625D67-CFA2-430A-BE29-2A90C45BAD07}" name="Column12704"/>
    <tableColumn id="12716" xr3:uid="{E454CD17-DB01-48D9-8D41-6DE2D295C825}" name="Column12705"/>
    <tableColumn id="12717" xr3:uid="{01A59087-91D0-49AC-8263-A726815A8CAF}" name="Column12706"/>
    <tableColumn id="12718" xr3:uid="{0C90C050-A5DF-426B-8C80-7D6337CEA44D}" name="Column12707"/>
    <tableColumn id="12719" xr3:uid="{35FA2FA4-D9A5-4C9F-A425-AB1460A56FEE}" name="Column12708"/>
    <tableColumn id="12720" xr3:uid="{4BC668BB-60FB-4EA7-9F73-8EC39EC66E49}" name="Column12709"/>
    <tableColumn id="12721" xr3:uid="{CCA206BB-915E-42A5-84CA-7707F5C1CB73}" name="Column12710"/>
    <tableColumn id="12722" xr3:uid="{453FACD3-D662-4857-84DC-FFAD58626AF7}" name="Column12711"/>
    <tableColumn id="12723" xr3:uid="{937B6068-A56C-49C0-A17B-D1FD710290AE}" name="Column12712"/>
    <tableColumn id="12724" xr3:uid="{43E51540-0D45-40F2-BCC8-70DC4E44B579}" name="Column12713"/>
    <tableColumn id="12725" xr3:uid="{5F411619-89D9-4524-BC05-D64D6C03C888}" name="Column12714"/>
    <tableColumn id="12726" xr3:uid="{7E53776A-981A-4553-84D9-96C9AE6C7DB1}" name="Column12715"/>
    <tableColumn id="12727" xr3:uid="{50B0799F-8F8D-464D-927F-D58C25DD9059}" name="Column12716"/>
    <tableColumn id="12728" xr3:uid="{A48ADD3F-5823-45F7-B74E-3BE2DB96BA66}" name="Column12717"/>
    <tableColumn id="12729" xr3:uid="{AF6DEEC2-083D-42FF-BE54-4971A28F1E5F}" name="Column12718"/>
    <tableColumn id="12730" xr3:uid="{E7028AAC-1D33-4606-B9FF-92C82005D530}" name="Column12719"/>
    <tableColumn id="12731" xr3:uid="{FD932FB4-A345-4E4D-AED2-055F8D5EA42D}" name="Column12720"/>
    <tableColumn id="12732" xr3:uid="{AC45F826-7B0F-4928-9A61-3C492721D9FD}" name="Column12721"/>
    <tableColumn id="12733" xr3:uid="{B60929D4-F8DB-4A35-8EBF-11ADF4A98ABA}" name="Column12722"/>
    <tableColumn id="12734" xr3:uid="{FEEB6DC9-C49B-4C7D-8AD9-6E241757948F}" name="Column12723"/>
    <tableColumn id="12735" xr3:uid="{C08265E1-C50A-4F5F-A63B-5CF3C9689147}" name="Column12724"/>
    <tableColumn id="12736" xr3:uid="{D1AA8E8D-16CA-4968-9AB0-F4C98F0ACA34}" name="Column12725"/>
    <tableColumn id="12737" xr3:uid="{45AFA35F-DBEB-438C-9279-73478FB6D522}" name="Column12726"/>
    <tableColumn id="12738" xr3:uid="{97D0DDCE-C189-4D30-B5DB-C3884A603311}" name="Column12727"/>
    <tableColumn id="12739" xr3:uid="{49C3E85B-7589-40CF-AE65-C6E63472D856}" name="Column12728"/>
    <tableColumn id="12740" xr3:uid="{A8A84FF9-215D-4385-8E68-D68D2890CAD7}" name="Column12729"/>
    <tableColumn id="12741" xr3:uid="{F539B6F8-ABDD-44E7-9C20-094B4DF625B1}" name="Column12730"/>
    <tableColumn id="12742" xr3:uid="{7444685B-2152-4C10-A2D8-E428AA5BDD01}" name="Column12731"/>
    <tableColumn id="12743" xr3:uid="{B2DCF04A-97E4-4C63-A1F2-F8803C11D0EA}" name="Column12732"/>
    <tableColumn id="12744" xr3:uid="{0B07CA0F-F14A-4F05-A73E-8D95242B6079}" name="Column12733"/>
    <tableColumn id="12745" xr3:uid="{32C9166C-D7B2-45AE-A0DC-A09F209CE010}" name="Column12734"/>
    <tableColumn id="12746" xr3:uid="{6D60BE54-C309-4550-9A6F-9216549A8E46}" name="Column12735"/>
    <tableColumn id="12747" xr3:uid="{A46650C4-1CF5-4634-A8E4-93434A56FBEE}" name="Column12736"/>
    <tableColumn id="12748" xr3:uid="{CE015B11-B458-4297-8B98-B846F1B78606}" name="Column12737"/>
    <tableColumn id="12749" xr3:uid="{D1E6DF81-4208-4D36-A14F-7C6D29AE9922}" name="Column12738"/>
    <tableColumn id="12750" xr3:uid="{210404D2-0B3E-40DB-9ED9-07281BC84E51}" name="Column12739"/>
    <tableColumn id="12751" xr3:uid="{5FCE2108-8FA3-4FBB-9787-299CC286A367}" name="Column12740"/>
    <tableColumn id="12752" xr3:uid="{4A3C1BB2-04FC-4F63-B02E-B6A9232F6FF9}" name="Column12741"/>
    <tableColumn id="12753" xr3:uid="{86384325-2EBD-45EA-AD68-BF232013FA09}" name="Column12742"/>
    <tableColumn id="12754" xr3:uid="{0D7D871B-0C9D-489D-BC25-3787DC0BE7FE}" name="Column12743"/>
    <tableColumn id="12755" xr3:uid="{53C4B572-AFDC-475E-8769-5C89919B45F1}" name="Column12744"/>
    <tableColumn id="12756" xr3:uid="{0E4FD450-4CAA-4365-8B90-020697120462}" name="Column12745"/>
    <tableColumn id="12757" xr3:uid="{684A5433-AAD0-4B0B-97F4-778C92578657}" name="Column12746"/>
    <tableColumn id="12758" xr3:uid="{6A7CB616-8CF5-4B99-90C7-0D2C65A3758B}" name="Column12747"/>
    <tableColumn id="12759" xr3:uid="{E4A7502C-D89E-4623-8671-68366CF57607}" name="Column12748"/>
    <tableColumn id="12760" xr3:uid="{D04860F5-18E9-4F13-9703-11BC945E7133}" name="Column12749"/>
    <tableColumn id="12761" xr3:uid="{EA50A7D2-5D01-4140-BC11-BEAF69312415}" name="Column12750"/>
    <tableColumn id="12762" xr3:uid="{F494380A-14B8-465A-A1D8-8D031AE00B0B}" name="Column12751"/>
    <tableColumn id="12763" xr3:uid="{9FE4C76F-88AB-488E-A438-594D41463995}" name="Column12752"/>
    <tableColumn id="12764" xr3:uid="{1564326E-D51D-4835-AEAF-08D3EB649A92}" name="Column12753"/>
    <tableColumn id="12765" xr3:uid="{72910831-8AA0-4FF2-84BC-31A44EEC7E2B}" name="Column12754"/>
    <tableColumn id="12766" xr3:uid="{F1FD089C-ED94-4DC7-9B90-543142A638AA}" name="Column12755"/>
    <tableColumn id="12767" xr3:uid="{76FA1179-BADB-4358-B25B-23EC52A372D7}" name="Column12756"/>
    <tableColumn id="12768" xr3:uid="{2F2E9E3E-FD5A-4AFC-ADA0-C6B288BAB93F}" name="Column12757"/>
    <tableColumn id="12769" xr3:uid="{8E106C50-D54D-4BAE-979D-830FFCE9F348}" name="Column12758"/>
    <tableColumn id="12770" xr3:uid="{CDA99EB9-E9F7-41FD-BA58-7355B4164730}" name="Column12759"/>
    <tableColumn id="12771" xr3:uid="{40CECEA2-474F-4CDA-AF3C-0657ED6F84A8}" name="Column12760"/>
    <tableColumn id="12772" xr3:uid="{5A61904B-5F53-4503-9119-F860E7E00AD7}" name="Column12761"/>
    <tableColumn id="12773" xr3:uid="{B3088F84-A91C-4A97-83A7-B3F20053EDF7}" name="Column12762"/>
    <tableColumn id="12774" xr3:uid="{1CED37FA-DC21-4617-9F52-13A2124EDAD8}" name="Column12763"/>
    <tableColumn id="12775" xr3:uid="{900BC181-4DA7-4E06-9B7E-0041FEA0D169}" name="Column12764"/>
    <tableColumn id="12776" xr3:uid="{91D9AED2-8D03-4429-BDB5-E709CB052E44}" name="Column12765"/>
    <tableColumn id="12777" xr3:uid="{48F48758-BD65-4AD1-AFE4-2FD7DC28D305}" name="Column12766"/>
    <tableColumn id="12778" xr3:uid="{F509347B-6DE4-4A0A-A343-9E82AF8B7449}" name="Column12767"/>
    <tableColumn id="12779" xr3:uid="{13C29EBA-5798-40D4-B327-381BE2E034C5}" name="Column12768"/>
    <tableColumn id="12780" xr3:uid="{757DCE94-ECC3-4102-811F-92607E12BAC4}" name="Column12769"/>
    <tableColumn id="12781" xr3:uid="{818D93C3-2045-4C09-A09F-D0C085C958BF}" name="Column12770"/>
    <tableColumn id="12782" xr3:uid="{31DC57D1-2C88-4CC2-9862-2D61BC4D1121}" name="Column12771"/>
    <tableColumn id="12783" xr3:uid="{B11C9094-7DCE-43E5-9980-9DD3B5F7AE11}" name="Column12772"/>
    <tableColumn id="12784" xr3:uid="{651738F1-299E-4480-B99E-D8619BBD477C}" name="Column12773"/>
    <tableColumn id="12785" xr3:uid="{0669486E-6CE5-403B-BFFC-ACF265AE9AE2}" name="Column12774"/>
    <tableColumn id="12786" xr3:uid="{0B31EFC6-A580-4DC3-81B0-ACF5C501B4E7}" name="Column12775"/>
    <tableColumn id="12787" xr3:uid="{EB185E3F-1BD2-44FA-8E82-259A19B512D6}" name="Column12776"/>
    <tableColumn id="12788" xr3:uid="{46C2BF0D-E7CD-4901-B874-386EE3B95001}" name="Column12777"/>
    <tableColumn id="12789" xr3:uid="{2422E3D5-6BDD-4819-9A97-A5A414AE4DE0}" name="Column12778"/>
    <tableColumn id="12790" xr3:uid="{8437EC9D-F992-44A1-AD9D-146D53FA6DBD}" name="Column12779"/>
    <tableColumn id="12791" xr3:uid="{E568973B-4BC0-44F5-BA3D-4BC8603FD788}" name="Column12780"/>
    <tableColumn id="12792" xr3:uid="{B7AB27E5-42FC-4ED3-A6D0-72D11A2C91FB}" name="Column12781"/>
    <tableColumn id="12793" xr3:uid="{C8B51189-9899-4193-A234-4C6F01520827}" name="Column12782"/>
    <tableColumn id="12794" xr3:uid="{199E2417-1DAF-4442-A525-BFEE7269C4B1}" name="Column12783"/>
    <tableColumn id="12795" xr3:uid="{C91CD2C8-7F93-447F-B934-D57494E086BA}" name="Column12784"/>
    <tableColumn id="12796" xr3:uid="{134C3A81-AA0D-4DF1-BDA7-244F5D726280}" name="Column12785"/>
    <tableColumn id="12797" xr3:uid="{B4C0E323-682E-4B7E-B78E-ED0E78F8459C}" name="Column12786"/>
    <tableColumn id="12798" xr3:uid="{65E3D546-CFB4-456D-84BD-977125E42D1E}" name="Column12787"/>
    <tableColumn id="12799" xr3:uid="{5C119DB4-E074-4D6D-989F-91E4CB060333}" name="Column12788"/>
    <tableColumn id="12800" xr3:uid="{F0EAC7F5-B2DA-4EF4-8FA5-1BABA92B7D8E}" name="Column12789"/>
    <tableColumn id="12801" xr3:uid="{843AE08C-9AE5-4D04-BF0C-3C086CD293AE}" name="Column12790"/>
    <tableColumn id="12802" xr3:uid="{E658AE24-FBB8-488A-9681-7FC02448B82C}" name="Column12791"/>
    <tableColumn id="12803" xr3:uid="{620BBFEE-85F3-43FD-B20C-DEBBBB98A5E0}" name="Column12792"/>
    <tableColumn id="12804" xr3:uid="{72D1B477-11B2-4058-A47E-D2C11D5735B5}" name="Column12793"/>
    <tableColumn id="12805" xr3:uid="{F0899CF2-047A-4D0E-B535-66DCBB03B39F}" name="Column12794"/>
    <tableColumn id="12806" xr3:uid="{A527BAC1-060B-4823-809D-C1B40F6AA844}" name="Column12795"/>
    <tableColumn id="12807" xr3:uid="{4666DDD5-25C8-43B2-95BF-29091AC23E42}" name="Column12796"/>
    <tableColumn id="12808" xr3:uid="{C608CF1B-69CD-400D-89E1-D69B7768590C}" name="Column12797"/>
    <tableColumn id="12809" xr3:uid="{632FE1E7-A597-4B53-B502-847B60F46B95}" name="Column12798"/>
    <tableColumn id="12810" xr3:uid="{244A8251-2CB2-490D-99ED-868A6C92151E}" name="Column12799"/>
    <tableColumn id="12811" xr3:uid="{FDB277DC-EB16-4D7B-8958-2D25700F09D3}" name="Column12800"/>
    <tableColumn id="12812" xr3:uid="{621F4198-F9F1-4701-9B80-D0E2CC5E8D86}" name="Column12801"/>
    <tableColumn id="12813" xr3:uid="{C7204196-0A0F-474E-AA39-607D9D9D4D80}" name="Column12802"/>
    <tableColumn id="12814" xr3:uid="{D4E2C7F2-5CFE-4277-B862-5D42885595EF}" name="Column12803"/>
    <tableColumn id="12815" xr3:uid="{40D87E75-6066-4563-A5BD-26710C2498C3}" name="Column12804"/>
    <tableColumn id="12816" xr3:uid="{B6D9917F-E184-4474-90D1-EE78FE306737}" name="Column12805"/>
    <tableColumn id="12817" xr3:uid="{709ACA73-2B78-40A0-A315-353EB64A2BDC}" name="Column12806"/>
    <tableColumn id="12818" xr3:uid="{8F3D1881-8226-4A77-A8E9-E28E1AA701E8}" name="Column12807"/>
    <tableColumn id="12819" xr3:uid="{36DF1BA7-07CB-40A3-87F7-DEA9E0CF1700}" name="Column12808"/>
    <tableColumn id="12820" xr3:uid="{41471F5C-A86F-4D38-A2A7-2EF663C285DC}" name="Column12809"/>
    <tableColumn id="12821" xr3:uid="{9CFBAEEF-EED7-4F06-9474-58D79CDACA90}" name="Column12810"/>
    <tableColumn id="12822" xr3:uid="{02A731D8-492E-427A-9CFE-1630050724E7}" name="Column12811"/>
    <tableColumn id="12823" xr3:uid="{05D3A79D-23EF-48F6-A99E-D32A7B65FFA6}" name="Column12812"/>
    <tableColumn id="12824" xr3:uid="{3DAB406D-15A3-4FA9-8638-90967C865A13}" name="Column12813"/>
    <tableColumn id="12825" xr3:uid="{A2D92474-B5AD-46ED-A282-7B127EA7CDF9}" name="Column12814"/>
    <tableColumn id="12826" xr3:uid="{0D717096-20D8-42BC-84AA-5F6F58341E72}" name="Column12815"/>
    <tableColumn id="12827" xr3:uid="{510E2E43-A3AB-425B-9075-EDDAD56DD05B}" name="Column12816"/>
    <tableColumn id="12828" xr3:uid="{1AE63D19-BAB6-4A1E-987E-EEE5BE77C9A0}" name="Column12817"/>
    <tableColumn id="12829" xr3:uid="{41B74A89-D653-4FE9-B83E-627E82EB7271}" name="Column12818"/>
    <tableColumn id="12830" xr3:uid="{4AF62B8E-EF69-436A-A15F-840E3082A656}" name="Column12819"/>
    <tableColumn id="12831" xr3:uid="{1C9E0011-2DB0-473E-945F-BC116EE0994D}" name="Column12820"/>
    <tableColumn id="12832" xr3:uid="{D1936B8A-6F59-43B3-A7BE-CC44AE6C7F3E}" name="Column12821"/>
    <tableColumn id="12833" xr3:uid="{4B6B0A40-CDA8-447D-9BA3-D3E6A5029AFD}" name="Column12822"/>
    <tableColumn id="12834" xr3:uid="{621AB94B-D290-4A38-838B-146428AEF57E}" name="Column12823"/>
    <tableColumn id="12835" xr3:uid="{F8EA6B7D-6421-41E4-95F9-19BC175FC15B}" name="Column12824"/>
    <tableColumn id="12836" xr3:uid="{02E6EC1F-0653-496E-B6C5-C1009277F343}" name="Column12825"/>
    <tableColumn id="12837" xr3:uid="{81A6EFA3-1B5B-44C0-9531-01C3D512863E}" name="Column12826"/>
    <tableColumn id="12838" xr3:uid="{E1B7369C-9E10-45F4-AFD1-5418BE65FE13}" name="Column12827"/>
    <tableColumn id="12839" xr3:uid="{F196B0A7-BDA2-42CF-AE8D-B4461F506DEA}" name="Column12828"/>
    <tableColumn id="12840" xr3:uid="{586DBBBD-D925-496F-8260-409EC2ADB5B6}" name="Column12829"/>
    <tableColumn id="12841" xr3:uid="{E815134E-9DF1-4D1B-AE3D-9AB3E121FB17}" name="Column12830"/>
    <tableColumn id="12842" xr3:uid="{1CA9B09E-65D6-4C97-903E-599DFD0BF6A2}" name="Column12831"/>
    <tableColumn id="12843" xr3:uid="{957997C0-A212-45C5-A2AD-5B603D8FF086}" name="Column12832"/>
    <tableColumn id="12844" xr3:uid="{E7E50BBE-3DE6-417E-8637-35D67E64074F}" name="Column12833"/>
    <tableColumn id="12845" xr3:uid="{ED27BC9A-2E36-4EFC-AC3C-45161691F50B}" name="Column12834"/>
    <tableColumn id="12846" xr3:uid="{29898C88-7DD5-4540-84CD-55A8780B877A}" name="Column12835"/>
    <tableColumn id="12847" xr3:uid="{7579E6D6-B2FE-4C1E-BBA8-D46E3619AC55}" name="Column12836"/>
    <tableColumn id="12848" xr3:uid="{69D4C1A4-7F7B-450B-8F08-4BAA7F5018C2}" name="Column12837"/>
    <tableColumn id="12849" xr3:uid="{C6FF4C16-AC35-4319-95D1-9B046F4E3D97}" name="Column12838"/>
    <tableColumn id="12850" xr3:uid="{AC774D1E-10B3-48D3-87FA-CB2F0C208F66}" name="Column12839"/>
    <tableColumn id="12851" xr3:uid="{4FF45F55-C9A5-4318-91FA-732A1FEF39EE}" name="Column12840"/>
    <tableColumn id="12852" xr3:uid="{40DEF47B-D297-4992-9F7E-E685FB5A7173}" name="Column12841"/>
    <tableColumn id="12853" xr3:uid="{858DE60A-1F9D-4C8A-88C4-BC00407E1791}" name="Column12842"/>
    <tableColumn id="12854" xr3:uid="{DD8B18A6-FF6F-4FB9-9ED7-F4B56557F193}" name="Column12843"/>
    <tableColumn id="12855" xr3:uid="{6ED26029-EB37-45D1-BB99-AA340AB97207}" name="Column12844"/>
    <tableColumn id="12856" xr3:uid="{3146772E-84C4-4B9A-9A08-5EA93BA04D25}" name="Column12845"/>
    <tableColumn id="12857" xr3:uid="{1D5025BC-98E0-45C5-A765-DC72F0D2611B}" name="Column12846"/>
    <tableColumn id="12858" xr3:uid="{1BB74B14-0F76-4A83-8014-BE85A848B64C}" name="Column12847"/>
    <tableColumn id="12859" xr3:uid="{9D678F09-95DA-4642-ADB0-F8C446D15573}" name="Column12848"/>
    <tableColumn id="12860" xr3:uid="{42CA0C74-8195-487B-88E7-C04B864DD737}" name="Column12849"/>
    <tableColumn id="12861" xr3:uid="{ECC8F01B-6CA9-4AFA-8AB8-87365ADC80C4}" name="Column12850"/>
    <tableColumn id="12862" xr3:uid="{929E2A9E-F833-46D0-B543-E5DC0001A0A9}" name="Column12851"/>
    <tableColumn id="12863" xr3:uid="{D986FDC3-0FB7-4ED1-8C40-6B6BB497A32C}" name="Column12852"/>
    <tableColumn id="12864" xr3:uid="{FF2D5B9D-71F5-4404-BE51-5BE9EC263919}" name="Column12853"/>
    <tableColumn id="12865" xr3:uid="{B654F10D-5E21-4D4E-A2D9-70C99AC8398B}" name="Column12854"/>
    <tableColumn id="12866" xr3:uid="{65D05141-598E-45C8-9FF4-13756CBDA575}" name="Column12855"/>
    <tableColumn id="12867" xr3:uid="{0A70AA4C-AF22-48E6-8D1B-EBD37E5EC86E}" name="Column12856"/>
    <tableColumn id="12868" xr3:uid="{B709B99F-4592-4B77-A2E9-4DE7E36D29E9}" name="Column12857"/>
    <tableColumn id="12869" xr3:uid="{61CDD3C3-AB66-42B1-B469-582BF2D35D06}" name="Column12858"/>
    <tableColumn id="12870" xr3:uid="{03FD350D-29E7-4336-B323-6E5E6BB6B81D}" name="Column12859"/>
    <tableColumn id="12871" xr3:uid="{8115B299-93BF-4853-B1DA-3C0CC6870153}" name="Column12860"/>
    <tableColumn id="12872" xr3:uid="{99135A85-80EC-4EAC-9BAF-B4DA18EFA26F}" name="Column12861"/>
    <tableColumn id="12873" xr3:uid="{D407656E-E8C4-4BDE-AD53-4F9193B4AE98}" name="Column12862"/>
    <tableColumn id="12874" xr3:uid="{4BDFD611-07AE-421D-BAB7-C56C89F0972D}" name="Column12863"/>
    <tableColumn id="12875" xr3:uid="{B1295A6D-4C03-4375-89D6-099E553F5E68}" name="Column12864"/>
    <tableColumn id="12876" xr3:uid="{200C0BE5-E986-43DF-A35D-F11DECD7D5D1}" name="Column12865"/>
    <tableColumn id="12877" xr3:uid="{72AED891-673E-4E96-B961-8C0527920145}" name="Column12866"/>
    <tableColumn id="12878" xr3:uid="{FE7EFDE7-C169-4052-AB64-E3E647F847A3}" name="Column12867"/>
    <tableColumn id="12879" xr3:uid="{7E1895C8-7AAF-4497-BE65-817650423280}" name="Column12868"/>
    <tableColumn id="12880" xr3:uid="{97B60492-BAA7-40B1-B8D5-FFA099CF3391}" name="Column12869"/>
    <tableColumn id="12881" xr3:uid="{40CE7D0A-181D-4DAE-803A-121D05C4A179}" name="Column12870"/>
    <tableColumn id="12882" xr3:uid="{B45BE5DD-9368-4356-8205-9530F0D1B415}" name="Column12871"/>
    <tableColumn id="12883" xr3:uid="{9B68CCA8-AC79-4459-AB76-8A8F0314D9E0}" name="Column12872"/>
    <tableColumn id="12884" xr3:uid="{D5112BB1-172E-40B9-9581-0F95AF41CBEC}" name="Column12873"/>
    <tableColumn id="12885" xr3:uid="{B99F2112-C524-424E-B27D-EF2870978D47}" name="Column12874"/>
    <tableColumn id="12886" xr3:uid="{B7E1719D-0484-4D3F-B9BC-8975551B9A10}" name="Column12875"/>
    <tableColumn id="12887" xr3:uid="{95E8C166-6947-4D38-AF39-8DD9E04962EB}" name="Column12876"/>
    <tableColumn id="12888" xr3:uid="{B686862C-F5D4-425D-9C07-8CC6F441E3B1}" name="Column12877"/>
    <tableColumn id="12889" xr3:uid="{4F77AD1D-5503-43AF-8D19-54EC2B289C57}" name="Column12878"/>
    <tableColumn id="12890" xr3:uid="{98317651-EB2F-4085-8305-80EBC19608C6}" name="Column12879"/>
    <tableColumn id="12891" xr3:uid="{E077BC36-6199-4CB0-8FC4-8752006A2BAD}" name="Column12880"/>
    <tableColumn id="12892" xr3:uid="{D352E436-9FBB-41A8-9CE5-3059AEFA8AFC}" name="Column12881"/>
    <tableColumn id="12893" xr3:uid="{7C1B5D8F-E86B-49A9-834F-8DA0012D2ECD}" name="Column12882"/>
    <tableColumn id="12894" xr3:uid="{9F24E3C8-977C-4FC9-8FCB-657893EBD373}" name="Column12883"/>
    <tableColumn id="12895" xr3:uid="{0FB71B40-A0E1-4275-95CB-85484DA046DE}" name="Column12884"/>
    <tableColumn id="12896" xr3:uid="{28E4AAAD-6076-49A7-B6A2-AE77068F4802}" name="Column12885"/>
    <tableColumn id="12897" xr3:uid="{DBD2DFD4-F7F0-4184-B298-0AA57C9946B9}" name="Column12886"/>
    <tableColumn id="12898" xr3:uid="{2DE2B546-1821-4248-BB6F-74462A0AEBAD}" name="Column12887"/>
    <tableColumn id="12899" xr3:uid="{CBEB8C2E-B683-411C-8969-B8EBD1F80393}" name="Column12888"/>
    <tableColumn id="12900" xr3:uid="{A29073D1-13C7-4955-BD13-D7EF1567B053}" name="Column12889"/>
    <tableColumn id="12901" xr3:uid="{19028469-547A-41A6-B902-4366E1CF7C1C}" name="Column12890"/>
    <tableColumn id="12902" xr3:uid="{C8289FF9-4385-4E49-8A99-2F44AB3F3B82}" name="Column12891"/>
    <tableColumn id="12903" xr3:uid="{44AD6931-547E-40BD-B946-D97BF5342408}" name="Column12892"/>
    <tableColumn id="12904" xr3:uid="{C8D22F5C-9064-4430-8FF5-54732A945ECF}" name="Column12893"/>
    <tableColumn id="12905" xr3:uid="{9DB3E063-C201-4C3E-A35F-A856AE5F567E}" name="Column12894"/>
    <tableColumn id="12906" xr3:uid="{EEE26039-649A-4A26-95EA-3F830EDAAA3F}" name="Column12895"/>
    <tableColumn id="12907" xr3:uid="{18CBB91C-50DA-4258-9200-8F0A10320974}" name="Column12896"/>
    <tableColumn id="12908" xr3:uid="{E8C10E2C-73B9-44B2-BF64-68BBC66E066E}" name="Column12897"/>
    <tableColumn id="12909" xr3:uid="{46C91346-4A0A-4361-A88B-9FE1ACA44A7C}" name="Column12898"/>
    <tableColumn id="12910" xr3:uid="{65D3AC30-7677-4337-8E3A-B7DF176D1A71}" name="Column12899"/>
    <tableColumn id="12911" xr3:uid="{D4393484-6521-4680-ABA5-359617CBE7A1}" name="Column12900"/>
    <tableColumn id="12912" xr3:uid="{43147EB2-83DC-42B3-8437-D41F0513CB25}" name="Column12901"/>
    <tableColumn id="12913" xr3:uid="{770FBA10-E453-4FBB-AB85-E3B06F66631E}" name="Column12902"/>
    <tableColumn id="12914" xr3:uid="{F5F25EE3-7224-4814-933F-309D405CB2EA}" name="Column12903"/>
    <tableColumn id="12915" xr3:uid="{56B9DE01-4F6B-40D4-8414-46180394B6EC}" name="Column12904"/>
    <tableColumn id="12916" xr3:uid="{8D6BD31D-BF51-491F-9185-0AD5EB985A03}" name="Column12905"/>
    <tableColumn id="12917" xr3:uid="{FFD0D6A3-7FB1-47ED-A737-7779DC855DF7}" name="Column12906"/>
    <tableColumn id="12918" xr3:uid="{FE52019B-AD71-459A-815D-9D262AACB4DC}" name="Column12907"/>
    <tableColumn id="12919" xr3:uid="{7D9D7749-CFB1-4C38-9F40-8CD0136CBBFC}" name="Column12908"/>
    <tableColumn id="12920" xr3:uid="{3484794B-25ED-4F32-8EDE-9DF9F597BE04}" name="Column12909"/>
    <tableColumn id="12921" xr3:uid="{670C4890-F9E6-4DE7-B5DB-36109AE9A344}" name="Column12910"/>
    <tableColumn id="12922" xr3:uid="{6E183557-93B1-4DE7-9316-39117A1715EC}" name="Column12911"/>
    <tableColumn id="12923" xr3:uid="{3321CF75-4500-4179-A532-03FC4064ADB0}" name="Column12912"/>
    <tableColumn id="12924" xr3:uid="{2732B834-E136-4C8F-B897-4856A8037DDC}" name="Column12913"/>
    <tableColumn id="12925" xr3:uid="{E160C266-0858-4945-A48F-9AF0D5631971}" name="Column12914"/>
    <tableColumn id="12926" xr3:uid="{9A2F8F95-92DE-4E69-A8DD-60320B68E697}" name="Column12915"/>
    <tableColumn id="12927" xr3:uid="{88F41D67-534C-452B-9C68-88AE6B419F8A}" name="Column12916"/>
    <tableColumn id="12928" xr3:uid="{E22C1F24-AD20-4AA3-B58E-DBC3ABDD630B}" name="Column12917"/>
    <tableColumn id="12929" xr3:uid="{8DAABCA3-6FFD-4C04-9951-E51FB4D8A278}" name="Column12918"/>
    <tableColumn id="12930" xr3:uid="{B3B2D0B6-6956-449C-A134-9A3745E256E7}" name="Column12919"/>
    <tableColumn id="12931" xr3:uid="{DCF1F5DC-5033-493A-8CD9-B800490D2FB5}" name="Column12920"/>
    <tableColumn id="12932" xr3:uid="{2A434D79-8F90-4125-8F96-A975A6FB1262}" name="Column12921"/>
    <tableColumn id="12933" xr3:uid="{E25380AA-3E7F-4B5E-A797-E8AB0C0B74A1}" name="Column12922"/>
    <tableColumn id="12934" xr3:uid="{78BA5D13-C5D9-4C48-B9C3-9369CB434063}" name="Column12923"/>
    <tableColumn id="12935" xr3:uid="{64B4C67E-8E22-4E4D-840D-D1E2EC5B39B2}" name="Column12924"/>
    <tableColumn id="12936" xr3:uid="{FD4C7B69-2C28-4049-A569-FD99A08FA638}" name="Column12925"/>
    <tableColumn id="12937" xr3:uid="{277C393D-ABC8-4B3E-A2A2-992AE28CA421}" name="Column12926"/>
    <tableColumn id="12938" xr3:uid="{B9AE818A-4793-4C1A-97A2-B4974D1465C2}" name="Column12927"/>
    <tableColumn id="12939" xr3:uid="{93BBD987-2606-4D87-A5EE-1420B35D09E2}" name="Column12928"/>
    <tableColumn id="12940" xr3:uid="{3097793F-34B8-4913-9882-7D0D04B71795}" name="Column12929"/>
    <tableColumn id="12941" xr3:uid="{EAD42B59-5675-4404-94D4-F7295F1F80C6}" name="Column12930"/>
    <tableColumn id="12942" xr3:uid="{479911CF-2F05-4781-B443-5CDA824A7C9C}" name="Column12931"/>
    <tableColumn id="12943" xr3:uid="{A5CFED64-B6BD-4826-BDC4-86247D4EA728}" name="Column12932"/>
    <tableColumn id="12944" xr3:uid="{8603F000-D72D-48E7-B259-B855476C09DD}" name="Column12933"/>
    <tableColumn id="12945" xr3:uid="{265F40DC-772B-4C50-8AD5-9C131C2CE4AC}" name="Column12934"/>
    <tableColumn id="12946" xr3:uid="{2616239A-C91E-4F42-A9F6-346993EA7115}" name="Column12935"/>
    <tableColumn id="12947" xr3:uid="{398D2049-E78E-4A31-9272-5ECA731CE130}" name="Column12936"/>
    <tableColumn id="12948" xr3:uid="{1A91EC29-C8CB-462F-A0C0-1348CC6A43B5}" name="Column12937"/>
    <tableColumn id="12949" xr3:uid="{213625F2-B0E3-4582-98A5-655BD249AFDE}" name="Column12938"/>
    <tableColumn id="12950" xr3:uid="{F5D5482D-89FA-4463-80FE-C22BA5B27639}" name="Column12939"/>
    <tableColumn id="12951" xr3:uid="{763BB015-92FC-487D-A28B-C836E49F73D0}" name="Column12940"/>
    <tableColumn id="12952" xr3:uid="{6247E11F-DF4A-413D-A542-4A35FB0932A5}" name="Column12941"/>
    <tableColumn id="12953" xr3:uid="{2F2ACA45-5F25-439A-8CF2-0EAC86C3AA6A}" name="Column12942"/>
    <tableColumn id="12954" xr3:uid="{ED0C63AF-098E-4DBA-B801-E97A6ADD2E60}" name="Column12943"/>
    <tableColumn id="12955" xr3:uid="{153373DA-0FC4-494A-A21E-3F5EA5CA6DFB}" name="Column12944"/>
    <tableColumn id="12956" xr3:uid="{A5D201B0-6FF9-4273-A477-9CC861E79B83}" name="Column12945"/>
    <tableColumn id="12957" xr3:uid="{A310A2D3-B7C5-4A5D-A57B-0260DAEA8B76}" name="Column12946"/>
    <tableColumn id="12958" xr3:uid="{A3E5ED0B-BF4F-45EE-8DD1-A0CA728FE7C4}" name="Column12947"/>
    <tableColumn id="12959" xr3:uid="{4C8934DB-E914-4E38-907D-3AFD1D2C79F8}" name="Column12948"/>
    <tableColumn id="12960" xr3:uid="{8678D42A-CF8E-4513-AE99-D72C74A1E6CA}" name="Column12949"/>
    <tableColumn id="12961" xr3:uid="{48159CDC-9712-418E-9CC7-E8B9607C5CF0}" name="Column12950"/>
    <tableColumn id="12962" xr3:uid="{4FF7BB81-BBF7-4980-82FB-FFF12A0BAF09}" name="Column12951"/>
    <tableColumn id="12963" xr3:uid="{00F50E70-41F3-4A89-95F3-D770994C0C88}" name="Column12952"/>
    <tableColumn id="12964" xr3:uid="{7039DEB3-3FE6-46C8-8A82-C9B7699DCED6}" name="Column12953"/>
    <tableColumn id="12965" xr3:uid="{405425CF-9B54-4425-A01F-F3B136B025C7}" name="Column12954"/>
    <tableColumn id="12966" xr3:uid="{7F3A0FF5-D0C7-43DE-9B28-1C5AF5645D34}" name="Column12955"/>
    <tableColumn id="12967" xr3:uid="{F56208D4-67E8-4E68-ACBD-F37747E0DA8B}" name="Column12956"/>
    <tableColumn id="12968" xr3:uid="{55CE0D97-3B6A-484F-B532-8A141F533166}" name="Column12957"/>
    <tableColumn id="12969" xr3:uid="{6C49410F-1A96-4098-B0CE-42B9149C0DC7}" name="Column12958"/>
    <tableColumn id="12970" xr3:uid="{523A0FEB-88D3-44EF-9190-F1B097E92E17}" name="Column12959"/>
    <tableColumn id="12971" xr3:uid="{6D9F8A75-D0F4-4CEB-82B6-BE6E91960357}" name="Column12960"/>
    <tableColumn id="12972" xr3:uid="{8D928140-4BB0-4B57-A25A-2325AA733FDC}" name="Column12961"/>
    <tableColumn id="12973" xr3:uid="{07673EB2-14FF-484A-BA5A-D1D5D0118C6F}" name="Column12962"/>
    <tableColumn id="12974" xr3:uid="{842D386D-22C8-42B8-B6BC-0CEBF074A8B5}" name="Column12963"/>
    <tableColumn id="12975" xr3:uid="{C5EA043B-165B-4C7D-886C-A59DCD2B1238}" name="Column12964"/>
    <tableColumn id="12976" xr3:uid="{6BFFBC0F-EF86-484C-95BF-F661B649B097}" name="Column12965"/>
    <tableColumn id="12977" xr3:uid="{E90EE6FA-830F-4A8F-A0A4-61E6BEC54058}" name="Column12966"/>
    <tableColumn id="12978" xr3:uid="{D413E0B1-B011-4C96-82B7-E02FF3F49349}" name="Column12967"/>
    <tableColumn id="12979" xr3:uid="{E9EB562A-9BA3-4078-A4AD-5BAF5E9E8CDA}" name="Column12968"/>
    <tableColumn id="12980" xr3:uid="{54F9F04D-659B-400E-963F-3A0E2C1CF922}" name="Column12969"/>
    <tableColumn id="12981" xr3:uid="{B52BFB97-FE4B-4D1F-BD84-447185094CD3}" name="Column12970"/>
    <tableColumn id="12982" xr3:uid="{1A896680-6F28-4A46-BE26-0B89ECDD5F0C}" name="Column12971"/>
    <tableColumn id="12983" xr3:uid="{F28028F6-1A18-4FC6-98B9-187B0B2F4A56}" name="Column12972"/>
    <tableColumn id="12984" xr3:uid="{B1A96302-4D97-40F3-9388-813ADB3E8312}" name="Column12973"/>
    <tableColumn id="12985" xr3:uid="{59944C79-EE14-4DB2-8F33-DED9C4E4CC3E}" name="Column12974"/>
    <tableColumn id="12986" xr3:uid="{4AA964D6-0A76-4242-936B-15B7F1722209}" name="Column12975"/>
    <tableColumn id="12987" xr3:uid="{F427E9B9-BBCD-4D2E-B743-421849A394F6}" name="Column12976"/>
    <tableColumn id="12988" xr3:uid="{21CC03ED-197B-42A6-885A-3413502DA4C3}" name="Column12977"/>
    <tableColumn id="12989" xr3:uid="{DD95FE75-654E-42E1-812B-19D2E53C3C7F}" name="Column12978"/>
    <tableColumn id="12990" xr3:uid="{F0CB6AF4-82DD-471A-95D4-C07C095410C8}" name="Column12979"/>
    <tableColumn id="12991" xr3:uid="{5A4D8E9E-1827-454E-811D-0CCEAB1B2ECD}" name="Column12980"/>
    <tableColumn id="12992" xr3:uid="{ED484A43-F19B-4D23-8459-8003FE925F41}" name="Column12981"/>
    <tableColumn id="12993" xr3:uid="{173B73B7-F5D6-438D-B427-D87B355A1591}" name="Column12982"/>
    <tableColumn id="12994" xr3:uid="{0F9DD3B7-620C-401A-87FC-AD20AA18EE4F}" name="Column12983"/>
    <tableColumn id="12995" xr3:uid="{C73D04C3-78D0-4665-BCEB-A037657AAEAA}" name="Column12984"/>
    <tableColumn id="12996" xr3:uid="{66DC8EBE-514A-49A5-BC24-E58C16C9ED06}" name="Column12985"/>
    <tableColumn id="12997" xr3:uid="{1575ED3B-8D60-4B5D-81A0-A8095072A77A}" name="Column12986"/>
    <tableColumn id="12998" xr3:uid="{54B72E4A-C745-4E4C-80EC-105D6DFF408F}" name="Column12987"/>
    <tableColumn id="12999" xr3:uid="{CC38F0DA-4A3F-4256-AA81-ABE7866EA022}" name="Column12988"/>
    <tableColumn id="13000" xr3:uid="{29481302-CAA6-4386-A626-ACE399220D14}" name="Column12989"/>
    <tableColumn id="13001" xr3:uid="{3D961200-EFBD-450A-92D8-80A6A51827E1}" name="Column12990"/>
    <tableColumn id="13002" xr3:uid="{BD88B39B-8C73-487A-8A63-92880639C968}" name="Column12991"/>
    <tableColumn id="13003" xr3:uid="{3709CECB-A0A9-4D80-9A4A-878934F488DA}" name="Column12992"/>
    <tableColumn id="13004" xr3:uid="{9CF85720-246C-43FA-9D8A-D5A6B2D179EB}" name="Column12993"/>
    <tableColumn id="13005" xr3:uid="{CD4E6B90-6070-4088-8A1F-89B442C717A7}" name="Column12994"/>
    <tableColumn id="13006" xr3:uid="{5C1CCDB8-68E9-49A6-B528-459C2C06AF38}" name="Column12995"/>
    <tableColumn id="13007" xr3:uid="{A2B51F24-7EEB-459F-86CC-0F83A99145FE}" name="Column12996"/>
    <tableColumn id="13008" xr3:uid="{5FF4D3FB-FB22-4B78-ACD5-D281E47393C3}" name="Column12997"/>
    <tableColumn id="13009" xr3:uid="{1994F947-D151-4101-96AF-46ACD48633FD}" name="Column12998"/>
    <tableColumn id="13010" xr3:uid="{7D9EADA4-8E34-4123-8925-080E8F580AA7}" name="Column12999"/>
    <tableColumn id="13011" xr3:uid="{F748F2C2-057C-4EAF-841F-79C8B25B807E}" name="Column13000"/>
    <tableColumn id="13012" xr3:uid="{0FC90512-EA19-4012-AE2E-52C540A496D5}" name="Column13001"/>
    <tableColumn id="13013" xr3:uid="{644AAB9D-6E32-4DB8-8D17-16730C2C2F67}" name="Column13002"/>
    <tableColumn id="13014" xr3:uid="{5C88DC4F-E594-4AFA-8114-B6330A66F283}" name="Column13003"/>
    <tableColumn id="13015" xr3:uid="{B415D27A-E944-413B-AD86-D65870D367A6}" name="Column13004"/>
    <tableColumn id="13016" xr3:uid="{9BAC1481-D7F6-4B5B-93E4-689228185BEE}" name="Column13005"/>
    <tableColumn id="13017" xr3:uid="{F0E4C287-E963-4433-8B29-DFB09ABA33A4}" name="Column13006"/>
    <tableColumn id="13018" xr3:uid="{587141AE-F692-4F33-9992-067315238FB3}" name="Column13007"/>
    <tableColumn id="13019" xr3:uid="{29D6799A-4AA8-41E7-89D5-B5BB219CA092}" name="Column13008"/>
    <tableColumn id="13020" xr3:uid="{0725933E-40ED-4C86-90A0-92FCDEA6E8BD}" name="Column13009"/>
    <tableColumn id="13021" xr3:uid="{9D78C22A-A0E9-4C81-969C-A12AA6D95582}" name="Column13010"/>
    <tableColumn id="13022" xr3:uid="{CD067CAD-1483-4FC7-B126-22F7518D9F4B}" name="Column13011"/>
    <tableColumn id="13023" xr3:uid="{69CDE77A-BFB3-4585-8D4E-465718183E09}" name="Column13012"/>
    <tableColumn id="13024" xr3:uid="{D1E22D03-F45F-4967-BB57-3DFABAE33FD6}" name="Column13013"/>
    <tableColumn id="13025" xr3:uid="{B7B1E94A-A0B2-4C8A-BE60-116DFE6DD130}" name="Column13014"/>
    <tableColumn id="13026" xr3:uid="{45594B08-A330-4894-A7DD-BC7DAF536799}" name="Column13015"/>
    <tableColumn id="13027" xr3:uid="{813C1AB6-9E2E-4CFB-ADD7-7B7ACF9233BA}" name="Column13016"/>
    <tableColumn id="13028" xr3:uid="{518C4C46-A12A-4C03-9182-6DA9BFCE7583}" name="Column13017"/>
    <tableColumn id="13029" xr3:uid="{F83FA284-8C35-4F2B-92A5-B06AA2F0B12A}" name="Column13018"/>
    <tableColumn id="13030" xr3:uid="{C52536F0-84CD-445B-930D-668BCCF17655}" name="Column13019"/>
    <tableColumn id="13031" xr3:uid="{82A074AF-9EF4-4946-89B1-8401A7BD740C}" name="Column13020"/>
    <tableColumn id="13032" xr3:uid="{F576B9FC-DFB2-43B9-813E-BAA00447D3B1}" name="Column13021"/>
    <tableColumn id="13033" xr3:uid="{AF53BB7D-B2CE-4A99-A120-C238AC7CE39A}" name="Column13022"/>
    <tableColumn id="13034" xr3:uid="{CB92F2CE-B9BD-44B6-81DB-6C5067B117A5}" name="Column13023"/>
    <tableColumn id="13035" xr3:uid="{930170F3-D2CB-47AF-A373-094625E3918B}" name="Column13024"/>
    <tableColumn id="13036" xr3:uid="{5E0174C1-C7DF-4754-B933-083E65BC2351}" name="Column13025"/>
    <tableColumn id="13037" xr3:uid="{2F191C69-6E1A-4206-AA91-499AB4BB85D2}" name="Column13026"/>
    <tableColumn id="13038" xr3:uid="{4F10AF0B-7742-496E-9B39-EE5ACF837F6A}" name="Column13027"/>
    <tableColumn id="13039" xr3:uid="{2D25AB69-DEA5-46E6-B46F-A3BA8C6B7B2D}" name="Column13028"/>
    <tableColumn id="13040" xr3:uid="{AE6DA9F8-78E4-43B3-92D5-A67322C90888}" name="Column13029"/>
    <tableColumn id="13041" xr3:uid="{AAFFDA6A-FE40-4CB2-8AC1-64DE4730858F}" name="Column13030"/>
    <tableColumn id="13042" xr3:uid="{FEB8C636-96B6-48CE-B45D-E6C8251EE89B}" name="Column13031"/>
    <tableColumn id="13043" xr3:uid="{923C60ED-B5B9-4088-9618-313B53DDBF82}" name="Column13032"/>
    <tableColumn id="13044" xr3:uid="{9DE5C555-2885-4084-9BE4-92E91996A20A}" name="Column13033"/>
    <tableColumn id="13045" xr3:uid="{014EAC4D-236D-49FD-B2F8-3F3843D96BBE}" name="Column13034"/>
    <tableColumn id="13046" xr3:uid="{12D9B90E-EC84-472E-8FFB-1D52AEFA7839}" name="Column13035"/>
    <tableColumn id="13047" xr3:uid="{15C39675-19F3-45DC-A1F4-FA37265D3C1D}" name="Column13036"/>
    <tableColumn id="13048" xr3:uid="{73964E8A-A075-4E9D-800E-3D536C9A45E0}" name="Column13037"/>
    <tableColumn id="13049" xr3:uid="{8BDCB3C4-ECBD-4C6A-B8EE-CB58FD258DA3}" name="Column13038"/>
    <tableColumn id="13050" xr3:uid="{C064AC5B-1ED4-406D-BDB0-A80CE9A320E9}" name="Column13039"/>
    <tableColumn id="13051" xr3:uid="{C00294D4-B9B2-4449-AC2C-2E617CDFD419}" name="Column13040"/>
    <tableColumn id="13052" xr3:uid="{1F9F1C91-7B4E-4179-974E-AB21A639D6F9}" name="Column13041"/>
    <tableColumn id="13053" xr3:uid="{66E15F1C-9EE0-4328-A8FD-466ADD7AB2E3}" name="Column13042"/>
    <tableColumn id="13054" xr3:uid="{F2C2B0C2-D3C3-4AC6-9A0D-605914710BD5}" name="Column13043"/>
    <tableColumn id="13055" xr3:uid="{5C7B6B36-4F68-45CD-99FD-120080AD5EDA}" name="Column13044"/>
    <tableColumn id="13056" xr3:uid="{C97D7B1A-FF4C-4BBF-89FC-D289B0C196B7}" name="Column13045"/>
    <tableColumn id="13057" xr3:uid="{1FCFCDBE-F6BA-4AAE-9A2B-25DD449CD20A}" name="Column13046"/>
    <tableColumn id="13058" xr3:uid="{77DA6DDB-1433-407E-8C30-0A725B32D1BD}" name="Column13047"/>
    <tableColumn id="13059" xr3:uid="{B21C7574-6AE4-4046-AD4F-5DD277B86AF2}" name="Column13048"/>
    <tableColumn id="13060" xr3:uid="{FDBAC8A9-94E4-433B-B953-A2C09954252D}" name="Column13049"/>
    <tableColumn id="13061" xr3:uid="{FA9E10D4-938D-48E2-81AA-C53B871781BC}" name="Column13050"/>
    <tableColumn id="13062" xr3:uid="{916D4905-B13B-49B2-9EBA-D036DE85C553}" name="Column13051"/>
    <tableColumn id="13063" xr3:uid="{2CE910F1-C3C7-45EE-A50C-A98944691A80}" name="Column13052"/>
    <tableColumn id="13064" xr3:uid="{E10438D1-1621-4CBA-A337-DC734358262B}" name="Column13053"/>
    <tableColumn id="13065" xr3:uid="{A21D94D1-FAEB-4729-83B7-208223014194}" name="Column13054"/>
    <tableColumn id="13066" xr3:uid="{E6241B55-D757-4A53-823A-0B6E6F07FA70}" name="Column13055"/>
    <tableColumn id="13067" xr3:uid="{2DA8C1CC-DFC3-486A-9938-DCA92ACA6670}" name="Column13056"/>
    <tableColumn id="13068" xr3:uid="{3AA1A1D0-C9CF-4929-AADC-700BB2F0F54F}" name="Column13057"/>
    <tableColumn id="13069" xr3:uid="{89A70F03-080A-4D9D-935A-5DE3E66486AF}" name="Column13058"/>
    <tableColumn id="13070" xr3:uid="{33E82FB3-EB92-43D0-A363-F6D017ACF9BA}" name="Column13059"/>
    <tableColumn id="13071" xr3:uid="{9A3F5DB5-031F-4F9C-9396-790D92170722}" name="Column13060"/>
    <tableColumn id="13072" xr3:uid="{B61AD116-B6B4-4DB1-A5F2-458D490DD390}" name="Column13061"/>
    <tableColumn id="13073" xr3:uid="{7AC9F5C3-89F9-4262-BB2E-7DCAD2A8A2C3}" name="Column13062"/>
    <tableColumn id="13074" xr3:uid="{3D7127DD-3192-45C4-92D5-3FC03560E011}" name="Column13063"/>
    <tableColumn id="13075" xr3:uid="{D1B4A5ED-2CBC-4E7E-B2CC-C21E086EBC66}" name="Column13064"/>
    <tableColumn id="13076" xr3:uid="{661CFA68-749E-49BE-8008-452A8A6372AC}" name="Column13065"/>
    <tableColumn id="13077" xr3:uid="{4E4EC546-B161-4265-9726-7584023EB0B2}" name="Column13066"/>
    <tableColumn id="13078" xr3:uid="{C5847FCA-D8BC-4775-A2A7-F1DBA4A1BA45}" name="Column13067"/>
    <tableColumn id="13079" xr3:uid="{4A3ECF5C-D2B8-4296-9E4F-5AE3DA790E5B}" name="Column13068"/>
    <tableColumn id="13080" xr3:uid="{5DE7E19A-E3FE-4E97-B724-1C784E83625D}" name="Column13069"/>
    <tableColumn id="13081" xr3:uid="{202CFF97-24D0-43C0-B801-294AE042A78B}" name="Column13070"/>
    <tableColumn id="13082" xr3:uid="{8ED415D2-CE2F-4A98-A16E-21CBCBB1EFF7}" name="Column13071"/>
    <tableColumn id="13083" xr3:uid="{904C2A84-E5FA-4999-BCEB-465C26320BC1}" name="Column13072"/>
    <tableColumn id="13084" xr3:uid="{BAAF58FA-0F23-44D8-BB27-B5A470BF7E3E}" name="Column13073"/>
    <tableColumn id="13085" xr3:uid="{5FA15236-1150-419D-93EA-29C5BFCB2911}" name="Column13074"/>
    <tableColumn id="13086" xr3:uid="{1F5EE24C-F6EE-4E67-809C-136B5A5EC50F}" name="Column13075"/>
    <tableColumn id="13087" xr3:uid="{418296CC-9D94-41BC-BD2F-8678009C80FD}" name="Column13076"/>
    <tableColumn id="13088" xr3:uid="{E3E4C5DD-EEC4-444F-BE8B-D94D5B3FC8AA}" name="Column13077"/>
    <tableColumn id="13089" xr3:uid="{2FDCF1E7-14BD-44BE-89E1-8FD357BAAD6B}" name="Column13078"/>
    <tableColumn id="13090" xr3:uid="{4107F45D-11EC-4589-953B-627E725C5FE6}" name="Column13079"/>
    <tableColumn id="13091" xr3:uid="{ADF2E7C3-B004-44B1-9FC6-A3CF265D8576}" name="Column13080"/>
    <tableColumn id="13092" xr3:uid="{AE966749-51AA-46A0-B840-3E45C8F78AAD}" name="Column13081"/>
    <tableColumn id="13093" xr3:uid="{DE46CBFF-CA84-4057-BAFD-2A614DE4A562}" name="Column13082"/>
    <tableColumn id="13094" xr3:uid="{A7C24C7D-6BE1-4C1B-A026-37A7B02C5FD2}" name="Column13083"/>
    <tableColumn id="13095" xr3:uid="{72D54F43-0D30-4F80-B130-DC01F2B3DC47}" name="Column13084"/>
    <tableColumn id="13096" xr3:uid="{7205C3D9-8E8B-4DF5-80E8-EBE78C39F25D}" name="Column13085"/>
    <tableColumn id="13097" xr3:uid="{8FF93AA9-4B53-409D-92BC-B167908CDF95}" name="Column13086"/>
    <tableColumn id="13098" xr3:uid="{6868E416-1D24-4C9F-AEA9-B49BBD854A54}" name="Column13087"/>
    <tableColumn id="13099" xr3:uid="{57EFD59A-F2A7-4AC3-9AB4-6E06D0832383}" name="Column13088"/>
    <tableColumn id="13100" xr3:uid="{FCC3AFA3-A661-4898-9B2A-9524B35D36C3}" name="Column13089"/>
    <tableColumn id="13101" xr3:uid="{675413D9-B6D8-4C0E-B3B0-23FFA32B7A9D}" name="Column13090"/>
    <tableColumn id="13102" xr3:uid="{C04A9DFB-F34E-49F0-88C9-863A8CF89E39}" name="Column13091"/>
    <tableColumn id="13103" xr3:uid="{A1989C1E-BCA7-4CC6-9448-60059F435B06}" name="Column13092"/>
    <tableColumn id="13104" xr3:uid="{C370C828-BDF0-4460-94B1-85A64378B50D}" name="Column13093"/>
    <tableColumn id="13105" xr3:uid="{8CE364F5-CC14-4B2F-A57A-8AE43BAA7F21}" name="Column13094"/>
    <tableColumn id="13106" xr3:uid="{7C0111A1-A4C9-4ECF-B2E9-01CB7512D8DF}" name="Column13095"/>
    <tableColumn id="13107" xr3:uid="{57B49FA6-A05D-405D-B3C0-FB55A3A41E13}" name="Column13096"/>
    <tableColumn id="13108" xr3:uid="{C7E4879C-E08C-40B9-8E5F-2A022860E6FE}" name="Column13097"/>
    <tableColumn id="13109" xr3:uid="{6E2539C4-E7FC-4E84-AC38-CFF428E2EE78}" name="Column13098"/>
    <tableColumn id="13110" xr3:uid="{4760F17C-6972-4178-BEFC-B7BB615223E8}" name="Column13099"/>
    <tableColumn id="13111" xr3:uid="{8B76A420-0D59-4E5C-8096-BFF232E9CA81}" name="Column13100"/>
    <tableColumn id="13112" xr3:uid="{5FE8E7EF-B352-40F1-BA62-AE3A5C29A539}" name="Column13101"/>
    <tableColumn id="13113" xr3:uid="{CF58B607-D7A6-4E94-8656-3BCBA8B8A0B9}" name="Column13102"/>
    <tableColumn id="13114" xr3:uid="{E0A2D51D-1D6F-4296-ADE0-8A7E9E6D32D3}" name="Column13103"/>
    <tableColumn id="13115" xr3:uid="{ABFF5498-5061-4514-B8DF-4E79397BC016}" name="Column13104"/>
    <tableColumn id="13116" xr3:uid="{885F10E3-DE6A-446F-92BC-A3BE4769CB6D}" name="Column13105"/>
    <tableColumn id="13117" xr3:uid="{6259F3B5-9922-4E1E-9CCA-D65032028434}" name="Column13106"/>
    <tableColumn id="13118" xr3:uid="{45A1FF2E-F03E-4DB1-BA54-DA54750C1A01}" name="Column13107"/>
    <tableColumn id="13119" xr3:uid="{F16BB172-BEDD-49BF-8800-A3CB078442A2}" name="Column13108"/>
    <tableColumn id="13120" xr3:uid="{8C72149E-62BD-4D95-941D-0283DD7313A4}" name="Column13109"/>
    <tableColumn id="13121" xr3:uid="{4E4185D0-C010-4A5A-9A6E-BEBFC2F5184E}" name="Column13110"/>
    <tableColumn id="13122" xr3:uid="{54EAADA5-746D-496D-A02D-7FF422618195}" name="Column13111"/>
    <tableColumn id="13123" xr3:uid="{F16DE690-8764-45BF-A6FA-C981D77FBCE3}" name="Column13112"/>
    <tableColumn id="13124" xr3:uid="{36B40E7F-EEFC-4A1E-97EE-78EBD50BDAD2}" name="Column13113"/>
    <tableColumn id="13125" xr3:uid="{9D2FA163-6FC4-45BF-8D06-CF854C0EFEB5}" name="Column13114"/>
    <tableColumn id="13126" xr3:uid="{8E3E5EEF-37F5-4E93-8B6F-0C02D80E3D4F}" name="Column13115"/>
    <tableColumn id="13127" xr3:uid="{FAA84A37-9F6A-45C3-BECD-C226E52A344F}" name="Column13116"/>
    <tableColumn id="13128" xr3:uid="{A66173FC-5641-4EF6-A107-9DE3413031BF}" name="Column13117"/>
    <tableColumn id="13129" xr3:uid="{AC3BF3D8-8CC8-4DFF-98D7-87ACAB779993}" name="Column13118"/>
    <tableColumn id="13130" xr3:uid="{CAD1E3E7-C153-4927-8B4E-A68D87B8F2CD}" name="Column13119"/>
    <tableColumn id="13131" xr3:uid="{EE885CE5-9404-4A9D-BD77-7C42E2B4AD2E}" name="Column13120"/>
    <tableColumn id="13132" xr3:uid="{04A233E2-0666-4F07-8A20-D8F013F1B3F2}" name="Column13121"/>
    <tableColumn id="13133" xr3:uid="{BA044123-B80A-472A-A372-FE83954C4EE9}" name="Column13122"/>
    <tableColumn id="13134" xr3:uid="{E96DE600-B628-4AF3-ACB1-D6FD1AAADCFE}" name="Column13123"/>
    <tableColumn id="13135" xr3:uid="{D4FA39DD-89D8-4544-A6C9-25CB96C2AD20}" name="Column13124"/>
    <tableColumn id="13136" xr3:uid="{B437827B-BCEA-4A2C-AFE4-AB4F76AC7C97}" name="Column13125"/>
    <tableColumn id="13137" xr3:uid="{02D5774E-4DFB-4C2D-930E-DDE7A0769DC5}" name="Column13126"/>
    <tableColumn id="13138" xr3:uid="{7E70B103-0381-48D8-A79E-2AC6437D7A52}" name="Column13127"/>
    <tableColumn id="13139" xr3:uid="{2AB20F9A-CE5C-4B40-B9EC-55D0EB76684F}" name="Column13128"/>
    <tableColumn id="13140" xr3:uid="{22D65BAB-9B56-46DB-B3A5-E88A4F6F941E}" name="Column13129"/>
    <tableColumn id="13141" xr3:uid="{80EF5824-469D-43E6-9F68-A75A181B383F}" name="Column13130"/>
    <tableColumn id="13142" xr3:uid="{099AE9DC-AFD4-4AD1-9288-017B3F080B13}" name="Column13131"/>
    <tableColumn id="13143" xr3:uid="{577C79AA-8A58-4C3E-A73C-0672FCDDB061}" name="Column13132"/>
    <tableColumn id="13144" xr3:uid="{BAE9FE33-ED82-4469-A24E-4F4E2E38B3ED}" name="Column13133"/>
    <tableColumn id="13145" xr3:uid="{9F2ADFCE-F41F-4AB5-8F1A-3C6ABE2D1F5C}" name="Column13134"/>
    <tableColumn id="13146" xr3:uid="{6F43A2F3-77E5-46D7-92CE-3EA6E6F1E99E}" name="Column13135"/>
    <tableColumn id="13147" xr3:uid="{38D464D3-422E-4553-B550-A0C3FE97CC8F}" name="Column13136"/>
    <tableColumn id="13148" xr3:uid="{231DB67D-3E06-4E53-B002-E6CE22BE1371}" name="Column13137"/>
    <tableColumn id="13149" xr3:uid="{F1355AF6-F070-4380-B1AD-8AC13F7AECD9}" name="Column13138"/>
    <tableColumn id="13150" xr3:uid="{868BBEE3-2A2B-45E1-A848-C2C6C108E201}" name="Column13139"/>
    <tableColumn id="13151" xr3:uid="{C2A96E84-4629-4E05-B903-9D2565524779}" name="Column13140"/>
    <tableColumn id="13152" xr3:uid="{F32093F7-9CE6-49B4-BAEA-9C769829D79A}" name="Column13141"/>
    <tableColumn id="13153" xr3:uid="{240AF3D4-12DD-4458-921B-98C64DA7C821}" name="Column13142"/>
    <tableColumn id="13154" xr3:uid="{662876F2-3E13-40C5-B0E3-B13E239C674D}" name="Column13143"/>
    <tableColumn id="13155" xr3:uid="{6A3D6207-9414-4A3C-9110-7A0B0A0D2880}" name="Column13144"/>
    <tableColumn id="13156" xr3:uid="{1FBECAAD-EF0C-4AD9-A041-699B70AD8CE5}" name="Column13145"/>
    <tableColumn id="13157" xr3:uid="{78D7CC23-6AA6-4072-9C71-EEC81379B52F}" name="Column13146"/>
    <tableColumn id="13158" xr3:uid="{BD3BA92E-D03A-4383-85C3-3CBDB27957E0}" name="Column13147"/>
    <tableColumn id="13159" xr3:uid="{7004909B-85A3-4023-B62A-6703BD8E819F}" name="Column13148"/>
    <tableColumn id="13160" xr3:uid="{7B81A2B9-FEC8-407E-8D4E-597607DD46C6}" name="Column13149"/>
    <tableColumn id="13161" xr3:uid="{63DD2C07-5902-4A63-8C93-6BA2D358E14E}" name="Column13150"/>
    <tableColumn id="13162" xr3:uid="{3634F381-EED2-4DB0-87AA-E1C9C95D4F05}" name="Column13151"/>
    <tableColumn id="13163" xr3:uid="{215FA224-3C2C-4041-B3DF-EE3E67FA0962}" name="Column13152"/>
    <tableColumn id="13164" xr3:uid="{B7817D33-F25D-45B6-95CD-98FC3B6E6767}" name="Column13153"/>
    <tableColumn id="13165" xr3:uid="{D39C087C-405C-41A6-A72D-0DE6807E995C}" name="Column13154"/>
    <tableColumn id="13166" xr3:uid="{B542E9C8-1648-40D3-A728-F18B9FAD5747}" name="Column13155"/>
    <tableColumn id="13167" xr3:uid="{2D078DF8-2BCF-4E55-A8B9-14EC094FFC97}" name="Column13156"/>
    <tableColumn id="13168" xr3:uid="{30C32A01-DF5B-483F-9892-6EB9982D25F0}" name="Column13157"/>
    <tableColumn id="13169" xr3:uid="{80663734-D8EF-4D15-B54F-624CA128B182}" name="Column13158"/>
    <tableColumn id="13170" xr3:uid="{4D3C2798-C8FE-4B9A-BC3C-0E9E466BD8D5}" name="Column13159"/>
    <tableColumn id="13171" xr3:uid="{4662370C-61EA-44AB-B67D-2AB561F175B6}" name="Column13160"/>
    <tableColumn id="13172" xr3:uid="{38032E23-C06E-4BB3-A707-F174766ABCF0}" name="Column13161"/>
    <tableColumn id="13173" xr3:uid="{7ED83F3F-5FBA-4E28-AA1D-BB2F34D7B40C}" name="Column13162"/>
    <tableColumn id="13174" xr3:uid="{1C869E83-80AB-428F-A946-7F4937FDAC36}" name="Column13163"/>
    <tableColumn id="13175" xr3:uid="{E126B25D-F3A2-46CC-94C9-8099FB4F99EA}" name="Column13164"/>
    <tableColumn id="13176" xr3:uid="{34CAF6AC-0936-4195-A365-0582E660359A}" name="Column13165"/>
    <tableColumn id="13177" xr3:uid="{99979509-64E8-4AB3-8FDA-78BE442A64A9}" name="Column13166"/>
    <tableColumn id="13178" xr3:uid="{2D6A6144-D1DA-4E20-83F0-BD23263CF461}" name="Column13167"/>
    <tableColumn id="13179" xr3:uid="{E623B66C-2305-439E-9A97-709733C5CF3A}" name="Column13168"/>
    <tableColumn id="13180" xr3:uid="{C6898591-EA33-4B5C-8114-BB840B82C894}" name="Column13169"/>
    <tableColumn id="13181" xr3:uid="{B8E3376A-0396-428F-97C4-E7CA1B89748F}" name="Column13170"/>
    <tableColumn id="13182" xr3:uid="{F687404C-414C-416C-931A-DFF67503F6E8}" name="Column13171"/>
    <tableColumn id="13183" xr3:uid="{9DEECCDB-F018-41A7-8C30-F5CBFCE3046F}" name="Column13172"/>
    <tableColumn id="13184" xr3:uid="{52B639FE-31D6-4130-9E56-B99F9DBF6CB4}" name="Column13173"/>
    <tableColumn id="13185" xr3:uid="{96FDB333-E832-43A5-A63A-24770D4154D9}" name="Column13174"/>
    <tableColumn id="13186" xr3:uid="{86F28092-CEA9-40BD-BF25-9755FC676DBF}" name="Column13175"/>
    <tableColumn id="13187" xr3:uid="{26588B70-1F5C-4E2D-8EEF-36A12D7B9CB8}" name="Column13176"/>
    <tableColumn id="13188" xr3:uid="{CDAF12ED-5FA5-43E8-9DF4-EBEF5FCB5870}" name="Column13177"/>
    <tableColumn id="13189" xr3:uid="{FDD9A3B1-1530-46EF-891D-6D088C59194E}" name="Column13178"/>
    <tableColumn id="13190" xr3:uid="{A4015EA4-8538-4BCB-BD32-98982AE6AFB7}" name="Column13179"/>
    <tableColumn id="13191" xr3:uid="{077970A4-1B8E-4A4F-B5B6-59D90FCB6CD9}" name="Column13180"/>
    <tableColumn id="13192" xr3:uid="{775C1035-2470-4806-9199-B62E4E12686B}" name="Column13181"/>
    <tableColumn id="13193" xr3:uid="{C196F42B-CCCE-4319-9327-614FFE0E518F}" name="Column13182"/>
    <tableColumn id="13194" xr3:uid="{75A8C6E1-FB3E-4307-BFFF-2C7BA4CBFC3F}" name="Column13183"/>
    <tableColumn id="13195" xr3:uid="{0DE66BD7-6598-4797-A14D-9FB93A805C22}" name="Column13184"/>
    <tableColumn id="13196" xr3:uid="{2E9893D4-2A7C-48AB-B419-139F2EF17AB7}" name="Column13185"/>
    <tableColumn id="13197" xr3:uid="{B2ADC9B3-3E0F-4A75-B64B-CC636CC624BC}" name="Column13186"/>
    <tableColumn id="13198" xr3:uid="{0A349E57-73F9-4FAD-B528-1A859C8A6F0E}" name="Column13187"/>
    <tableColumn id="13199" xr3:uid="{014DCEFC-7840-40E4-B014-02B114EF4427}" name="Column13188"/>
    <tableColumn id="13200" xr3:uid="{E0A091C3-99AE-4295-A969-D117ABF17206}" name="Column13189"/>
    <tableColumn id="13201" xr3:uid="{64B2B0D7-C40D-4384-A871-A397D5099AFA}" name="Column13190"/>
    <tableColumn id="13202" xr3:uid="{1381B42E-8B70-431B-A0B3-85210B767EEC}" name="Column13191"/>
    <tableColumn id="13203" xr3:uid="{39B28EEF-D55A-4F94-9B6F-38705FD96029}" name="Column13192"/>
    <tableColumn id="13204" xr3:uid="{DC432865-65AF-4DD0-A035-06AFD972BB0B}" name="Column13193"/>
    <tableColumn id="13205" xr3:uid="{E04E7780-E441-4314-A6E1-7CABA1145687}" name="Column13194"/>
    <tableColumn id="13206" xr3:uid="{E2FC1E76-0B10-41B4-A78E-0B622C1E2843}" name="Column13195"/>
    <tableColumn id="13207" xr3:uid="{77793C8B-CDE2-449C-B66B-FB7BF45226DB}" name="Column13196"/>
    <tableColumn id="13208" xr3:uid="{E8F11518-9B76-4808-853F-2C726A378A07}" name="Column13197"/>
    <tableColumn id="13209" xr3:uid="{4B4BC31F-AE6D-4386-9FB2-E85892903035}" name="Column13198"/>
    <tableColumn id="13210" xr3:uid="{C15F45D9-6C3A-4FC7-BA4A-5D4452D072B0}" name="Column13199"/>
    <tableColumn id="13211" xr3:uid="{8DD93B63-9722-465C-ACAD-AD3CD108231E}" name="Column13200"/>
    <tableColumn id="13212" xr3:uid="{6497F1DC-8E07-4AA1-A243-5413822DEF1D}" name="Column13201"/>
    <tableColumn id="13213" xr3:uid="{724DDE66-C48D-4B1A-BAC5-EFEF1C90FBCB}" name="Column13202"/>
    <tableColumn id="13214" xr3:uid="{88A960BF-1E4E-4FB3-B29B-96160AF938DB}" name="Column13203"/>
    <tableColumn id="13215" xr3:uid="{2580E5BF-2519-4E66-AF7B-B85B39D4DA57}" name="Column13204"/>
    <tableColumn id="13216" xr3:uid="{5C8E7016-3952-4ED3-BBB8-B721D3D43250}" name="Column13205"/>
    <tableColumn id="13217" xr3:uid="{4FF026CC-9DA4-4742-AA57-BD5536938DD9}" name="Column13206"/>
    <tableColumn id="13218" xr3:uid="{6221E56C-3234-415A-BB10-7F472D89CF6C}" name="Column13207"/>
    <tableColumn id="13219" xr3:uid="{1A5AE434-5192-4667-9DD9-F792D94BEDB3}" name="Column13208"/>
    <tableColumn id="13220" xr3:uid="{D8085BEB-142E-4C4B-B41E-A77C07D278A9}" name="Column13209"/>
    <tableColumn id="13221" xr3:uid="{9F6AEB3F-07DE-432B-AED6-1C5C50ABCDA6}" name="Column13210"/>
    <tableColumn id="13222" xr3:uid="{AC42ED01-6A0B-4582-8E0D-22587F45FF47}" name="Column13211"/>
    <tableColumn id="13223" xr3:uid="{376A4B08-3EB9-4A11-8A7B-CBBE59105ED3}" name="Column13212"/>
    <tableColumn id="13224" xr3:uid="{839A1610-0991-498C-BC48-25E6FBE7177A}" name="Column13213"/>
    <tableColumn id="13225" xr3:uid="{A89F0826-7D3E-4776-8CAC-CB76651A509B}" name="Column13214"/>
    <tableColumn id="13226" xr3:uid="{3F9A3031-893B-4C95-B845-A59EE7DEE132}" name="Column13215"/>
    <tableColumn id="13227" xr3:uid="{A08D26BE-CE95-4DA4-A8D7-5479014F56EC}" name="Column13216"/>
    <tableColumn id="13228" xr3:uid="{F35CDE0E-7B1C-4C48-83EA-36548E6B7976}" name="Column13217"/>
    <tableColumn id="13229" xr3:uid="{E3AD9B7E-1757-47B0-A445-5A5BEB772EAD}" name="Column13218"/>
    <tableColumn id="13230" xr3:uid="{D77FAC8C-011F-4134-A617-5126F2C70D02}" name="Column13219"/>
    <tableColumn id="13231" xr3:uid="{02366BDA-C313-4829-8ABC-F364DE66EA98}" name="Column13220"/>
    <tableColumn id="13232" xr3:uid="{58AA7178-7C0B-4FAE-B231-426D5A3C9F9B}" name="Column13221"/>
    <tableColumn id="13233" xr3:uid="{4256F230-1462-4FD8-8CD4-EC9C2C028A12}" name="Column13222"/>
    <tableColumn id="13234" xr3:uid="{2847A6E2-F763-4637-8B95-B08038A7B8E3}" name="Column13223"/>
    <tableColumn id="13235" xr3:uid="{DCAA8F3E-5E91-4567-B012-99F51E0CFA7E}" name="Column13224"/>
    <tableColumn id="13236" xr3:uid="{04BEFF02-242F-48B7-86AC-593352807471}" name="Column13225"/>
    <tableColumn id="13237" xr3:uid="{49596DD0-8931-4328-A7F5-067D4A277BF2}" name="Column13226"/>
    <tableColumn id="13238" xr3:uid="{024B4696-9E2B-40E7-AFBC-5A9A3059089F}" name="Column13227"/>
    <tableColumn id="13239" xr3:uid="{6E91D1C0-CD8C-48DF-8B34-370324CD9BA2}" name="Column13228"/>
    <tableColumn id="13240" xr3:uid="{923F847B-9F74-42B7-B7CD-C81EE0CEB48A}" name="Column13229"/>
    <tableColumn id="13241" xr3:uid="{6877CBD2-9D09-4249-BF4B-8DB5853E120C}" name="Column13230"/>
    <tableColumn id="13242" xr3:uid="{2FF036C6-FF82-4EE4-91B0-2C80E721C6E9}" name="Column13231"/>
    <tableColumn id="13243" xr3:uid="{6DD58393-F8F4-45E7-B4AE-AC6BD964E7E7}" name="Column13232"/>
    <tableColumn id="13244" xr3:uid="{C37C4ABF-2647-40A5-9863-EED089ECEE6C}" name="Column13233"/>
    <tableColumn id="13245" xr3:uid="{77D032C6-5934-48FD-A22D-5876F95A6A62}" name="Column13234"/>
    <tableColumn id="13246" xr3:uid="{410305FC-96FB-4C42-8985-2DFA255CF0FF}" name="Column13235"/>
    <tableColumn id="13247" xr3:uid="{2E7F8EB6-5AD0-4A56-9809-F20E781FA4D9}" name="Column13236"/>
    <tableColumn id="13248" xr3:uid="{6113B577-9EB9-4B3F-924E-37E83DE4C861}" name="Column13237"/>
    <tableColumn id="13249" xr3:uid="{15365A37-F353-49DD-9725-AAEEE674CDE0}" name="Column13238"/>
    <tableColumn id="13250" xr3:uid="{70E93613-D38B-4D7A-B675-3F2C44FF84B1}" name="Column13239"/>
    <tableColumn id="13251" xr3:uid="{23011272-A740-48D0-8EE5-670ABA20D390}" name="Column13240"/>
    <tableColumn id="13252" xr3:uid="{99F5AA11-DCAF-4735-8AE2-60785ACAB6A8}" name="Column13241"/>
    <tableColumn id="13253" xr3:uid="{5D30F125-17D6-4F86-9857-EDFBFB855EB0}" name="Column13242"/>
    <tableColumn id="13254" xr3:uid="{FF34726F-F112-4C47-9965-28645A25810F}" name="Column13243"/>
    <tableColumn id="13255" xr3:uid="{6E38BCDD-1BA7-46D7-AF7E-EA73CF22AA17}" name="Column13244"/>
    <tableColumn id="13256" xr3:uid="{B90981CB-E485-447D-B423-336D97CB6934}" name="Column13245"/>
    <tableColumn id="13257" xr3:uid="{89F104D6-5C1E-4EB1-A183-5D37A7EFC0C8}" name="Column13246"/>
    <tableColumn id="13258" xr3:uid="{D701BF1F-4C24-448C-83AE-41A8DF5E92FE}" name="Column13247"/>
    <tableColumn id="13259" xr3:uid="{4AC28763-195B-4ED5-8369-21822009C473}" name="Column13248"/>
    <tableColumn id="13260" xr3:uid="{845521C2-596E-498F-97D1-354EE9D0CBBE}" name="Column13249"/>
    <tableColumn id="13261" xr3:uid="{E2A16A6F-9987-4CE4-BEFA-29A5082F18C7}" name="Column13250"/>
    <tableColumn id="13262" xr3:uid="{EB832BDD-3B21-4669-89F0-7BF81B9DBBDC}" name="Column13251"/>
    <tableColumn id="13263" xr3:uid="{BF633EAF-FB6F-4133-B76E-7632F4650F31}" name="Column13252"/>
    <tableColumn id="13264" xr3:uid="{194D976F-366E-4A9C-A02E-5212F89DBE98}" name="Column13253"/>
    <tableColumn id="13265" xr3:uid="{5F11BF2D-21A4-4A98-A34F-8562DCE5F151}" name="Column13254"/>
    <tableColumn id="13266" xr3:uid="{D456C448-4A27-41AA-A494-48FB6EB6E2E0}" name="Column13255"/>
    <tableColumn id="13267" xr3:uid="{1253AD03-DB05-43D9-9D7B-8105E7C74D97}" name="Column13256"/>
    <tableColumn id="13268" xr3:uid="{AEA0189A-62C6-4DA9-BA46-93F480C198D1}" name="Column13257"/>
    <tableColumn id="13269" xr3:uid="{7EB49B28-D852-44C5-ABD2-1B10EC6E8E3B}" name="Column13258"/>
    <tableColumn id="13270" xr3:uid="{5F4CEF4D-335F-4D15-8B40-AF3D10F9895B}" name="Column13259"/>
    <tableColumn id="13271" xr3:uid="{438C26F9-2450-4814-A8C0-8DEBEFF6BF7B}" name="Column13260"/>
    <tableColumn id="13272" xr3:uid="{3BBD26C0-E23A-461E-8596-3BFFF8155165}" name="Column13261"/>
    <tableColumn id="13273" xr3:uid="{9B397597-B670-4FEA-B830-32CD0D9C73E0}" name="Column13262"/>
    <tableColumn id="13274" xr3:uid="{CA639075-F8BA-4E2D-8CE7-C25D5F0CA3A9}" name="Column13263"/>
    <tableColumn id="13275" xr3:uid="{A6C61C64-0B05-47F6-B367-18F989D1AF41}" name="Column13264"/>
    <tableColumn id="13276" xr3:uid="{B99AFFEF-FFBE-4CAE-8F14-09E344DBDD9C}" name="Column13265"/>
    <tableColumn id="13277" xr3:uid="{6C1D127A-7A99-441E-A2D3-203F6025E52D}" name="Column13266"/>
    <tableColumn id="13278" xr3:uid="{276180C2-9F44-4E37-B12E-024ACD2608DF}" name="Column13267"/>
    <tableColumn id="13279" xr3:uid="{61B2ED47-D47F-4754-A2FD-B3D29DAC7A9B}" name="Column13268"/>
    <tableColumn id="13280" xr3:uid="{177A3569-90CB-4E4F-9DCD-0B54B0F2E101}" name="Column13269"/>
    <tableColumn id="13281" xr3:uid="{AD90243C-13D1-4719-901F-C83EBD964CB5}" name="Column13270"/>
    <tableColumn id="13282" xr3:uid="{CCD45F29-4DD2-4479-8358-3099947A287F}" name="Column13271"/>
    <tableColumn id="13283" xr3:uid="{53CDF731-CE04-4F50-B280-F9F4B77F3560}" name="Column13272"/>
    <tableColumn id="13284" xr3:uid="{DE5752C9-556D-49AD-83D8-D571399E842C}" name="Column13273"/>
    <tableColumn id="13285" xr3:uid="{7EFC5C35-35AA-4340-A787-C9ADDA911122}" name="Column13274"/>
    <tableColumn id="13286" xr3:uid="{0CCDD963-8B54-4FBD-80FD-3E460505FFB7}" name="Column13275"/>
    <tableColumn id="13287" xr3:uid="{E3CFE397-B8C8-43B5-B937-AFDC8E68CE82}" name="Column13276"/>
    <tableColumn id="13288" xr3:uid="{16CBBD55-173B-4448-B86D-23ECA82E30C2}" name="Column13277"/>
    <tableColumn id="13289" xr3:uid="{69EA3D07-6871-4E4A-AC14-AFF3383B4272}" name="Column13278"/>
    <tableColumn id="13290" xr3:uid="{CE57AF3A-D5B7-4917-BD51-685D96937D58}" name="Column13279"/>
    <tableColumn id="13291" xr3:uid="{C6EDDC2A-7AB0-4E57-8B44-C36D62C664F9}" name="Column13280"/>
    <tableColumn id="13292" xr3:uid="{F492C242-8FE9-4633-85FB-E315C37BEDAD}" name="Column13281"/>
    <tableColumn id="13293" xr3:uid="{93FBCD54-2A6E-435E-BA34-84D8A7283F47}" name="Column13282"/>
    <tableColumn id="13294" xr3:uid="{C481176D-4027-44AB-A5C2-E856B6E523BF}" name="Column13283"/>
    <tableColumn id="13295" xr3:uid="{2275C516-16F5-4A51-878D-51B02955AA13}" name="Column13284"/>
    <tableColumn id="13296" xr3:uid="{E48F76C6-785C-4CB7-8122-4F2C38AC5E57}" name="Column13285"/>
    <tableColumn id="13297" xr3:uid="{22A3D549-352A-49AE-9C5F-9EA5BC753F69}" name="Column13286"/>
    <tableColumn id="13298" xr3:uid="{D715A734-7EC5-4051-A897-3869F6CD78A4}" name="Column13287"/>
    <tableColumn id="13299" xr3:uid="{5B0C9DA9-413A-4B4D-9696-EA652DD5C4E6}" name="Column13288"/>
    <tableColumn id="13300" xr3:uid="{B838CB48-20A7-4707-A675-13D7E3814565}" name="Column13289"/>
    <tableColumn id="13301" xr3:uid="{1B03F036-7E42-4859-97B3-C016A23DE3EF}" name="Column13290"/>
    <tableColumn id="13302" xr3:uid="{85BA4AB3-6CE0-48DB-979F-41B0B74F1F3E}" name="Column13291"/>
    <tableColumn id="13303" xr3:uid="{5FFA69AA-D214-423A-BFD1-5182F33AE595}" name="Column13292"/>
    <tableColumn id="13304" xr3:uid="{EF8395E9-30CA-4A28-85FD-8D21BDFE7F9A}" name="Column13293"/>
    <tableColumn id="13305" xr3:uid="{66F11B89-A902-4A8A-AC76-5B4C0D779269}" name="Column13294"/>
    <tableColumn id="13306" xr3:uid="{9F07FB64-9BF1-4640-B3A6-D427D0110829}" name="Column13295"/>
    <tableColumn id="13307" xr3:uid="{6D8A4B47-08FB-4191-A358-91D1CEE9E66B}" name="Column13296"/>
    <tableColumn id="13308" xr3:uid="{61B0B709-E42C-4759-A747-C532374DFF7C}" name="Column13297"/>
    <tableColumn id="13309" xr3:uid="{8495812C-D4CC-4625-A285-BC58E403C249}" name="Column13298"/>
    <tableColumn id="13310" xr3:uid="{69F80E7D-D896-4CC0-9A1D-999A7A86A5AC}" name="Column13299"/>
    <tableColumn id="13311" xr3:uid="{A7A8E651-4531-4629-A1E7-F88D6EAD2F45}" name="Column13300"/>
    <tableColumn id="13312" xr3:uid="{895EB2C3-132C-4F69-8A1E-FCE4A086D4E3}" name="Column13301"/>
    <tableColumn id="13313" xr3:uid="{84CCB85F-2E99-48A0-BFF4-A0F33FE4C9D4}" name="Column13302"/>
    <tableColumn id="13314" xr3:uid="{5110B6DA-BF2D-4D26-9118-575D3EC41F50}" name="Column13303"/>
    <tableColumn id="13315" xr3:uid="{E01CC853-9C59-4679-A77F-DD72A646C284}" name="Column13304"/>
    <tableColumn id="13316" xr3:uid="{ABDE5BF7-5D09-487F-98C2-BB353F45543C}" name="Column13305"/>
    <tableColumn id="13317" xr3:uid="{58F687F5-D5D6-43CF-8DF7-A5ACA354EC73}" name="Column13306"/>
    <tableColumn id="13318" xr3:uid="{CD6B4948-CFBC-420F-AF30-73CD0A6657E5}" name="Column13307"/>
    <tableColumn id="13319" xr3:uid="{119498A2-F22F-4A45-8D6F-986B0713DBD6}" name="Column13308"/>
    <tableColumn id="13320" xr3:uid="{1301AD9C-6E69-4FD2-B184-0C96FB8664EC}" name="Column13309"/>
    <tableColumn id="13321" xr3:uid="{3A9B253F-3CC9-463B-B14B-22FCEC95DCA1}" name="Column13310"/>
    <tableColumn id="13322" xr3:uid="{F0C25C64-0EBB-4138-9BB3-4A4FF7E34DCD}" name="Column13311"/>
    <tableColumn id="13323" xr3:uid="{E52057B5-F9A1-487D-8BF4-F25AB6294CCE}" name="Column13312"/>
    <tableColumn id="13324" xr3:uid="{B232F874-41C7-4FA4-BF6B-EC3975B587D0}" name="Column13313"/>
    <tableColumn id="13325" xr3:uid="{AE16F098-B8C8-4F43-8A3F-E8CA47E800E4}" name="Column13314"/>
    <tableColumn id="13326" xr3:uid="{7C3AE0E7-6CA3-4F07-B096-E50C1897ABF4}" name="Column13315"/>
    <tableColumn id="13327" xr3:uid="{C24A30BE-2265-4CBF-8EAC-9CB1A53DDDEE}" name="Column13316"/>
    <tableColumn id="13328" xr3:uid="{D3F8655D-1AD9-4276-9E8A-364B5967ACE9}" name="Column13317"/>
    <tableColumn id="13329" xr3:uid="{DB0F5670-B079-48E8-AE32-099F1603BFE8}" name="Column13318"/>
    <tableColumn id="13330" xr3:uid="{79B68695-84A2-4E83-B636-29CD3435AD52}" name="Column13319"/>
    <tableColumn id="13331" xr3:uid="{59F76D32-6738-470B-BAE7-0293305348FF}" name="Column13320"/>
    <tableColumn id="13332" xr3:uid="{E27F38B0-8F31-4008-845C-6891444B2071}" name="Column13321"/>
    <tableColumn id="13333" xr3:uid="{A16B0E91-2BB8-4EEB-B0A4-6AD4162A986A}" name="Column13322"/>
    <tableColumn id="13334" xr3:uid="{02C4532A-6794-4E24-AAD2-1F504283294B}" name="Column13323"/>
    <tableColumn id="13335" xr3:uid="{936587B4-6F62-40D9-A451-314C37EBD8B6}" name="Column13324"/>
    <tableColumn id="13336" xr3:uid="{0F5E18D5-9644-46AF-8F52-B2D890B256D7}" name="Column13325"/>
    <tableColumn id="13337" xr3:uid="{98DD0BC4-66F7-49EB-B5F2-B9E0F16E28B8}" name="Column13326"/>
    <tableColumn id="13338" xr3:uid="{0FC8AF19-283D-49E6-A093-8549FA06BE3D}" name="Column13327"/>
    <tableColumn id="13339" xr3:uid="{D054F415-6BAE-446F-BF74-E8F124CDE7C2}" name="Column13328"/>
    <tableColumn id="13340" xr3:uid="{52EC8896-1D77-444E-A368-9C9FB10C8C37}" name="Column13329"/>
    <tableColumn id="13341" xr3:uid="{E8A08961-B042-4D33-9CBA-895DDBFD3CB3}" name="Column13330"/>
    <tableColumn id="13342" xr3:uid="{C95789E3-6342-4770-BECE-151455554D7D}" name="Column13331"/>
    <tableColumn id="13343" xr3:uid="{E09B1C75-BFA6-4BFF-AC6E-D163F24D3827}" name="Column13332"/>
    <tableColumn id="13344" xr3:uid="{C8DFEA5D-87E9-4E6C-98CD-64B93E8BEB6E}" name="Column13333"/>
    <tableColumn id="13345" xr3:uid="{A67962BD-318C-40EB-8BD3-133A4BA9DD80}" name="Column13334"/>
    <tableColumn id="13346" xr3:uid="{3C253474-D574-4CA2-995A-DEF4A917F966}" name="Column13335"/>
    <tableColumn id="13347" xr3:uid="{63EBA653-C928-44F4-967E-FC79069A8E8A}" name="Column13336"/>
    <tableColumn id="13348" xr3:uid="{89B595EE-DB31-4E52-AC6F-4BABC346080D}" name="Column13337"/>
    <tableColumn id="13349" xr3:uid="{CE874C40-1B99-41D7-8225-5A1F800021F0}" name="Column13338"/>
    <tableColumn id="13350" xr3:uid="{E3E39612-212B-4E37-BBB0-E267D4A67C1F}" name="Column13339"/>
    <tableColumn id="13351" xr3:uid="{0023E1AC-68E4-48D4-9D5E-AAE9091641B7}" name="Column13340"/>
    <tableColumn id="13352" xr3:uid="{1B0BE8FD-A5FB-4E85-AF8C-05662812FBBA}" name="Column13341"/>
    <tableColumn id="13353" xr3:uid="{E2B3F2F3-103E-4FEB-9CF5-0C196C1D251A}" name="Column13342"/>
    <tableColumn id="13354" xr3:uid="{BF6FC0BD-AF33-47EC-B896-5A7D7E214EF0}" name="Column13343"/>
    <tableColumn id="13355" xr3:uid="{E55C75D2-AFB5-4E3E-AF06-0561B6B45D08}" name="Column13344"/>
    <tableColumn id="13356" xr3:uid="{AD58EEBD-A5A4-4B3E-8AF0-EF47D3B4A0E5}" name="Column13345"/>
    <tableColumn id="13357" xr3:uid="{A6F21BCE-BED7-4BB1-B473-F5B5592F1FF5}" name="Column13346"/>
    <tableColumn id="13358" xr3:uid="{79D95317-CE38-421C-8CC0-9F48997A1C55}" name="Column13347"/>
    <tableColumn id="13359" xr3:uid="{7D170A51-D80F-4EFD-9069-E35B6EB7D9D7}" name="Column13348"/>
    <tableColumn id="13360" xr3:uid="{28F560DD-29BC-483B-8C6F-805B439C34CD}" name="Column13349"/>
    <tableColumn id="13361" xr3:uid="{E51EEA44-5BFE-4C7E-A8D1-2C16DD9E8988}" name="Column13350"/>
    <tableColumn id="13362" xr3:uid="{DCABB64F-EF75-459E-A61F-8D75B62971D2}" name="Column13351"/>
    <tableColumn id="13363" xr3:uid="{84894323-94D2-4F81-B04D-0DC1C9B71490}" name="Column13352"/>
    <tableColumn id="13364" xr3:uid="{4E5B5A37-CEF8-420F-945B-C6ECC77DA75E}" name="Column13353"/>
    <tableColumn id="13365" xr3:uid="{45B6D313-8A10-44CF-8648-6B23B9B67E83}" name="Column13354"/>
    <tableColumn id="13366" xr3:uid="{4093D844-DA31-4A03-BA8C-D76557A09273}" name="Column13355"/>
    <tableColumn id="13367" xr3:uid="{3000B288-03C2-4E2E-82A9-346A488E7177}" name="Column13356"/>
    <tableColumn id="13368" xr3:uid="{D66BD73A-F0F4-48BD-8475-FEAA5E01FC1A}" name="Column13357"/>
    <tableColumn id="13369" xr3:uid="{AA7F4C74-E13D-450B-B051-14CAE63D0004}" name="Column13358"/>
    <tableColumn id="13370" xr3:uid="{86883B06-F776-4F42-AC3D-499DB21330C4}" name="Column13359"/>
    <tableColumn id="13371" xr3:uid="{1CA6A6D5-456B-40C4-80DA-E30FE7023216}" name="Column13360"/>
    <tableColumn id="13372" xr3:uid="{AB2DA500-8FDF-4EA1-83F3-4DF382DBF635}" name="Column13361"/>
    <tableColumn id="13373" xr3:uid="{44A6445C-B943-4AC0-AEF3-5824E5945329}" name="Column13362"/>
    <tableColumn id="13374" xr3:uid="{36EB9D7F-3566-48FB-BFE1-041E4D466A07}" name="Column13363"/>
    <tableColumn id="13375" xr3:uid="{3057E9D6-56C0-4268-9AE7-BB6E6B35BE56}" name="Column13364"/>
    <tableColumn id="13376" xr3:uid="{1674790B-0FD8-424E-908D-10087FE06561}" name="Column13365"/>
    <tableColumn id="13377" xr3:uid="{780CF61E-EE72-4F43-AD4A-A318ECF07FEF}" name="Column13366"/>
    <tableColumn id="13378" xr3:uid="{E3644FE0-1CE1-4688-9CD8-F23B96FD65F8}" name="Column13367"/>
    <tableColumn id="13379" xr3:uid="{A7869807-0A82-464C-9204-BBDAA73CBCE6}" name="Column13368"/>
    <tableColumn id="13380" xr3:uid="{E9DAF701-9EDB-46A3-BDB2-388DCA0F3258}" name="Column13369"/>
    <tableColumn id="13381" xr3:uid="{5DAA9424-EF09-40AC-9F87-6BA757AEC1DA}" name="Column13370"/>
    <tableColumn id="13382" xr3:uid="{43F71C4A-CE0E-4709-BEB2-960FF7554B5F}" name="Column13371"/>
    <tableColumn id="13383" xr3:uid="{46B42347-14BB-4A08-AFA7-48B93B373BF9}" name="Column13372"/>
    <tableColumn id="13384" xr3:uid="{63B8D792-C795-4BF4-91DB-49955FC839BE}" name="Column13373"/>
    <tableColumn id="13385" xr3:uid="{FAB3E747-5211-4581-B83E-39D79D5AD44F}" name="Column13374"/>
    <tableColumn id="13386" xr3:uid="{4A16D807-C89D-4B64-A783-336F2469EB3B}" name="Column13375"/>
    <tableColumn id="13387" xr3:uid="{ECA008D7-FFC9-4564-9D42-14FBF0F8544F}" name="Column13376"/>
    <tableColumn id="13388" xr3:uid="{57B68835-7EC4-41B4-8FE9-4B186D22788D}" name="Column13377"/>
    <tableColumn id="13389" xr3:uid="{DD5E9BF2-EF95-49EF-A80A-A4D61F05747F}" name="Column13378"/>
    <tableColumn id="13390" xr3:uid="{93E98A3E-927F-4A23-B808-0B7074DCF8CB}" name="Column13379"/>
    <tableColumn id="13391" xr3:uid="{8C82B4E0-E6F3-4B7D-9D41-43D778B721AF}" name="Column13380"/>
    <tableColumn id="13392" xr3:uid="{10B90C42-E031-48D1-A1D7-861D39D21786}" name="Column13381"/>
    <tableColumn id="13393" xr3:uid="{3391816E-BA70-4DEE-A033-6110F72B09E5}" name="Column13382"/>
    <tableColumn id="13394" xr3:uid="{432CA1F5-B30C-4F34-BC50-4253BF714D61}" name="Column13383"/>
    <tableColumn id="13395" xr3:uid="{F4EE1AD4-7D0E-442C-8094-CE4C3B089A9E}" name="Column13384"/>
    <tableColumn id="13396" xr3:uid="{462FFCCD-C346-48D2-9A70-4F8D4CC0CD0C}" name="Column13385"/>
    <tableColumn id="13397" xr3:uid="{0D4CAA69-BE11-4FE6-B92C-E460705BB9A7}" name="Column13386"/>
    <tableColumn id="13398" xr3:uid="{246D86B4-ED4A-41E9-B71D-9EF3463262A1}" name="Column13387"/>
    <tableColumn id="13399" xr3:uid="{7480EC23-D22C-4959-B380-FD0DBFE28EF3}" name="Column13388"/>
    <tableColumn id="13400" xr3:uid="{76390D64-14CC-4B2A-827F-0A9C28E440FA}" name="Column13389"/>
    <tableColumn id="13401" xr3:uid="{50EB9591-F285-4780-9C4B-A268A60EA4A1}" name="Column13390"/>
    <tableColumn id="13402" xr3:uid="{E63558EE-1937-4FCC-A88F-59F6C98BD7D3}" name="Column13391"/>
    <tableColumn id="13403" xr3:uid="{8D4F140D-3DF3-4B32-8CA3-BA32F8DD3CBB}" name="Column13392"/>
    <tableColumn id="13404" xr3:uid="{9867F108-5E2D-412A-A700-E1785A5254FD}" name="Column13393"/>
    <tableColumn id="13405" xr3:uid="{4E95ECAA-7915-4387-A8B3-67B25E17D583}" name="Column13394"/>
    <tableColumn id="13406" xr3:uid="{DB214399-C52C-4FE0-A1F8-A4E54B35DC51}" name="Column13395"/>
    <tableColumn id="13407" xr3:uid="{26562835-829D-44D8-887F-E17E8576518B}" name="Column13396"/>
    <tableColumn id="13408" xr3:uid="{D9AA2235-2452-4516-9C57-4527425B4FC8}" name="Column13397"/>
    <tableColumn id="13409" xr3:uid="{FB1DB05E-3509-4BC5-B268-87AA4680EAA7}" name="Column13398"/>
    <tableColumn id="13410" xr3:uid="{CB9BC049-77A7-4EA4-A33D-60C23972765F}" name="Column13399"/>
    <tableColumn id="13411" xr3:uid="{78372B44-0B44-412F-B9B3-E23C63F1A68A}" name="Column13400"/>
    <tableColumn id="13412" xr3:uid="{866944AB-5B1E-4DE6-923F-5984FCEE3532}" name="Column13401"/>
    <tableColumn id="13413" xr3:uid="{5CFF928C-1060-48D4-AD3B-3CD7EF0C5936}" name="Column13402"/>
    <tableColumn id="13414" xr3:uid="{9C339943-00D9-448A-BF97-2220D529E11D}" name="Column13403"/>
    <tableColumn id="13415" xr3:uid="{707A1B33-3AFE-47C8-877C-84318AECF799}" name="Column13404"/>
    <tableColumn id="13416" xr3:uid="{2FF4599A-350C-49A5-9A84-238D38B3C210}" name="Column13405"/>
    <tableColumn id="13417" xr3:uid="{24C82495-53DC-4793-9460-B5AB1DF9D9F9}" name="Column13406"/>
    <tableColumn id="13418" xr3:uid="{97B2CDB4-192B-4FA4-8D4D-29B4E404A232}" name="Column13407"/>
    <tableColumn id="13419" xr3:uid="{C3EB2FD4-706B-4C49-A5AF-C36EC6CC81E0}" name="Column13408"/>
    <tableColumn id="13420" xr3:uid="{787BE5A9-C64E-4EB7-8545-FADFE84C0F4C}" name="Column13409"/>
    <tableColumn id="13421" xr3:uid="{BB2E3CAA-F823-4766-9023-2255DC79AF3C}" name="Column13410"/>
    <tableColumn id="13422" xr3:uid="{FBC3DFF6-7E2A-47A6-AEFD-58E1B6F56FB4}" name="Column13411"/>
    <tableColumn id="13423" xr3:uid="{378630AE-6282-4430-8D7C-5E999C735EFB}" name="Column13412"/>
    <tableColumn id="13424" xr3:uid="{D1632363-5C4C-415E-8976-A65CC21A1A9E}" name="Column13413"/>
    <tableColumn id="13425" xr3:uid="{F72CD8D6-EAC0-4E1E-A1ED-A5A90BF685AC}" name="Column13414"/>
    <tableColumn id="13426" xr3:uid="{52431DA9-5B2D-4933-983E-25DD0D3A4E29}" name="Column13415"/>
    <tableColumn id="13427" xr3:uid="{F59B7699-7585-4D8A-A90F-6163D82CA460}" name="Column13416"/>
    <tableColumn id="13428" xr3:uid="{0DB6F42E-7B45-477B-880F-29FEAEED363D}" name="Column13417"/>
    <tableColumn id="13429" xr3:uid="{4A215F6D-BEEF-4717-88A8-8ABDEB952BF4}" name="Column13418"/>
    <tableColumn id="13430" xr3:uid="{CE392220-271E-4BFA-9500-B77672C97EDD}" name="Column13419"/>
    <tableColumn id="13431" xr3:uid="{9B6BD861-3A85-4BAE-B187-E6C4BA39F2A6}" name="Column13420"/>
    <tableColumn id="13432" xr3:uid="{69F8ACAD-141F-41E9-8D97-83767E72DD31}" name="Column13421"/>
    <tableColumn id="13433" xr3:uid="{60A78408-A018-4A99-8A79-B2B9A9F0474A}" name="Column13422"/>
    <tableColumn id="13434" xr3:uid="{FCC69881-BE4B-443B-9B04-5F2E7E779EA5}" name="Column13423"/>
    <tableColumn id="13435" xr3:uid="{64568A6F-AD64-49B4-BBA7-2B8E1579DD31}" name="Column13424"/>
    <tableColumn id="13436" xr3:uid="{6C80B9A1-87A7-46A7-A443-80D73A19B5F2}" name="Column13425"/>
    <tableColumn id="13437" xr3:uid="{FA625D5C-1198-4246-821E-EF171AD52E57}" name="Column13426"/>
    <tableColumn id="13438" xr3:uid="{47659C52-F5C4-41C5-AEA0-ABB4120ADF1D}" name="Column13427"/>
    <tableColumn id="13439" xr3:uid="{CFF59961-0197-4A16-9813-3126DF92F356}" name="Column13428"/>
    <tableColumn id="13440" xr3:uid="{69A2ABF8-8CC8-4E37-ACC6-675B58A342A6}" name="Column13429"/>
    <tableColumn id="13441" xr3:uid="{1FB4B42A-E485-486B-8A37-21F168993789}" name="Column13430"/>
    <tableColumn id="13442" xr3:uid="{4279E5F7-AA08-4369-81E3-550F20792680}" name="Column13431"/>
    <tableColumn id="13443" xr3:uid="{0D1F6C88-B3E9-4E71-A04B-66304811D8D9}" name="Column13432"/>
    <tableColumn id="13444" xr3:uid="{765AE6E7-AD14-4BE7-965F-F456FF74F66A}" name="Column13433"/>
    <tableColumn id="13445" xr3:uid="{08B10CC1-F3A4-4D44-BB28-D87A1A58E70D}" name="Column13434"/>
    <tableColumn id="13446" xr3:uid="{9C8FA961-85B8-46C5-ABD6-8F1639D366EA}" name="Column13435"/>
    <tableColumn id="13447" xr3:uid="{6D660084-F51D-4D7D-BA6C-C98D0796762A}" name="Column13436"/>
    <tableColumn id="13448" xr3:uid="{C66E0145-C1FC-487F-9B7A-82385537296B}" name="Column13437"/>
    <tableColumn id="13449" xr3:uid="{071AB04F-AB77-4066-8EE5-A51645D149A5}" name="Column13438"/>
    <tableColumn id="13450" xr3:uid="{D8ED987A-1DF8-4B29-9E44-6D8FE2B6FA48}" name="Column13439"/>
    <tableColumn id="13451" xr3:uid="{CE8E8E18-4668-4383-BBB6-025A04A169EA}" name="Column13440"/>
    <tableColumn id="13452" xr3:uid="{2ABC3D05-F442-4AA5-BD51-8DAC560E7C78}" name="Column13441"/>
    <tableColumn id="13453" xr3:uid="{5EA5CE25-ECB5-4A19-9BE8-BB646AA3D903}" name="Column13442"/>
    <tableColumn id="13454" xr3:uid="{578D05AD-FBC5-4C5B-918D-8F0CADCE9242}" name="Column13443"/>
    <tableColumn id="13455" xr3:uid="{3E8A575D-7D95-495E-89FC-873D61006BA0}" name="Column13444"/>
    <tableColumn id="13456" xr3:uid="{F2EC53D6-55A0-42E1-A721-4CB0A87DC8E1}" name="Column13445"/>
    <tableColumn id="13457" xr3:uid="{6007E603-4486-4D60-8952-E75A5DE1B900}" name="Column13446"/>
    <tableColumn id="13458" xr3:uid="{DAD20A50-063D-44A1-B432-C9D928BA96BB}" name="Column13447"/>
    <tableColumn id="13459" xr3:uid="{E254CF65-691B-43E0-A0B0-0684A1BACA60}" name="Column13448"/>
    <tableColumn id="13460" xr3:uid="{4F0C9B27-609B-4F2B-BC00-D7D81F848B2A}" name="Column13449"/>
    <tableColumn id="13461" xr3:uid="{95943957-5CB0-46F3-BA88-7271ABEFC3C5}" name="Column13450"/>
    <tableColumn id="13462" xr3:uid="{0FA75345-62EC-45FC-B9CD-ECB7D8743A28}" name="Column13451"/>
    <tableColumn id="13463" xr3:uid="{2373BB9E-26B8-4C14-A43F-1FF3E0CEB8C0}" name="Column13452"/>
    <tableColumn id="13464" xr3:uid="{B80E3441-8D8B-4DFF-B3A1-E1DEA1D5548F}" name="Column13453"/>
    <tableColumn id="13465" xr3:uid="{A8D99F89-EC82-4691-A60D-3503543965FA}" name="Column13454"/>
    <tableColumn id="13466" xr3:uid="{8F19A747-0141-45FA-9B5B-6FA03E6AE2E5}" name="Column13455"/>
    <tableColumn id="13467" xr3:uid="{2442A6A1-2DC0-4BBA-BB1E-74556D661604}" name="Column13456"/>
    <tableColumn id="13468" xr3:uid="{3C47DC64-202D-4195-A86F-7F4B5BD4ED4F}" name="Column13457"/>
    <tableColumn id="13469" xr3:uid="{CBA9C934-1367-42F6-9560-A8D9B25D09A8}" name="Column13458"/>
    <tableColumn id="13470" xr3:uid="{FC3096EA-D919-4A97-A23B-46F25D617B4B}" name="Column13459"/>
    <tableColumn id="13471" xr3:uid="{B87B2A0A-12AD-4378-B616-3705ACBD1015}" name="Column13460"/>
    <tableColumn id="13472" xr3:uid="{6B49F3FA-CE14-468D-9F13-D8D080E13C19}" name="Column13461"/>
    <tableColumn id="13473" xr3:uid="{5D03AC79-1B26-44FC-8978-597AB40B9632}" name="Column13462"/>
    <tableColumn id="13474" xr3:uid="{87DF0B4A-EC40-448D-8A92-E6FFB775A8EE}" name="Column13463"/>
    <tableColumn id="13475" xr3:uid="{BC878D06-D130-4023-86AA-D2230E6C77D3}" name="Column13464"/>
    <tableColumn id="13476" xr3:uid="{4EE78613-81AF-46A9-8CC6-38409F937DA2}" name="Column13465"/>
    <tableColumn id="13477" xr3:uid="{F037A724-86FF-4FAA-9066-CDBC0056A584}" name="Column13466"/>
    <tableColumn id="13478" xr3:uid="{3EB1148C-F1D2-4C2C-AFEA-0EE1A1E41126}" name="Column13467"/>
    <tableColumn id="13479" xr3:uid="{F3B2DCA2-A20F-4775-9B47-3CDA7C0B65D6}" name="Column13468"/>
    <tableColumn id="13480" xr3:uid="{103EA45F-FF77-4F3B-AD62-82237008AA84}" name="Column13469"/>
    <tableColumn id="13481" xr3:uid="{67323BB0-4F0C-445A-9A81-FF649DD32FF3}" name="Column13470"/>
    <tableColumn id="13482" xr3:uid="{B45498BC-83A7-4B36-8865-98A94E5196E5}" name="Column13471"/>
    <tableColumn id="13483" xr3:uid="{7BD9B6A8-D7A9-4EEA-BDBF-2C2ADF710D9F}" name="Column13472"/>
    <tableColumn id="13484" xr3:uid="{383F15A1-BAF2-4A1D-9DDD-9311F6BE8794}" name="Column13473"/>
    <tableColumn id="13485" xr3:uid="{F16614CD-4FDC-4419-903A-55418E4E04A4}" name="Column13474"/>
    <tableColumn id="13486" xr3:uid="{48803B97-331B-484D-9CA7-68A5CF100D2B}" name="Column13475"/>
    <tableColumn id="13487" xr3:uid="{D81B366A-C4DE-429B-9274-40A692960546}" name="Column13476"/>
    <tableColumn id="13488" xr3:uid="{01CCF22D-DDA4-4C88-AFBC-CA1D2987CBAE}" name="Column13477"/>
    <tableColumn id="13489" xr3:uid="{87BA35B7-E138-42EC-BFF0-8F12E55A369C}" name="Column13478"/>
    <tableColumn id="13490" xr3:uid="{F36F23C0-B9A8-4C57-8377-08166674C700}" name="Column13479"/>
    <tableColumn id="13491" xr3:uid="{A1853070-589C-4011-99C6-C9D91999AEF4}" name="Column13480"/>
    <tableColumn id="13492" xr3:uid="{53D9D3DF-138E-4E08-ABCB-7F075389066E}" name="Column13481"/>
    <tableColumn id="13493" xr3:uid="{BD868CE3-A12F-443B-97C3-7AD85A4EC306}" name="Column13482"/>
    <tableColumn id="13494" xr3:uid="{662C1DC2-0552-43C2-85DA-92AF896C63B0}" name="Column13483"/>
    <tableColumn id="13495" xr3:uid="{75306029-0EC1-436B-80EA-63BB345F548A}" name="Column13484"/>
    <tableColumn id="13496" xr3:uid="{BC528262-ACA6-4686-B8C8-8B772C371D1D}" name="Column13485"/>
    <tableColumn id="13497" xr3:uid="{5258E839-D3B6-4C97-8972-22B5B5DD6293}" name="Column13486"/>
    <tableColumn id="13498" xr3:uid="{040721C0-0C9B-48E4-9390-391653244AC4}" name="Column13487"/>
    <tableColumn id="13499" xr3:uid="{CBB5136B-792B-4CFB-97D3-EF73E99BB973}" name="Column13488"/>
    <tableColumn id="13500" xr3:uid="{7FD50757-C00C-49B1-AA37-8947896924AE}" name="Column13489"/>
    <tableColumn id="13501" xr3:uid="{644D1C7E-A410-414F-A0F1-F564991BAA0A}" name="Column13490"/>
    <tableColumn id="13502" xr3:uid="{25197ED9-587A-4712-8DC0-0718C6622E6B}" name="Column13491"/>
    <tableColumn id="13503" xr3:uid="{A1BFCAF8-1B85-4CB0-A0CB-354F6A32697F}" name="Column13492"/>
    <tableColumn id="13504" xr3:uid="{7A65AC7D-396A-43FF-A944-1A2B2CC3707D}" name="Column13493"/>
    <tableColumn id="13505" xr3:uid="{42D3447B-876E-41C1-9530-3611E891C333}" name="Column13494"/>
    <tableColumn id="13506" xr3:uid="{45F59A29-23EF-451D-8DB4-0690EEED50BB}" name="Column13495"/>
    <tableColumn id="13507" xr3:uid="{66B89606-6588-49F3-B681-9AF3EFF5CC60}" name="Column13496"/>
    <tableColumn id="13508" xr3:uid="{3B915879-4B76-4F17-BF14-61DA39E7E36C}" name="Column13497"/>
    <tableColumn id="13509" xr3:uid="{2D93F26A-7F45-4877-86A8-5BF0247583E7}" name="Column13498"/>
    <tableColumn id="13510" xr3:uid="{7396A59C-DFD0-4C47-AC13-DB5B1272D769}" name="Column13499"/>
    <tableColumn id="13511" xr3:uid="{C3F65FD0-2CB1-47D0-95B0-24C258350538}" name="Column13500"/>
    <tableColumn id="13512" xr3:uid="{684E542E-C7FF-4884-B32C-28D3F0CA50D6}" name="Column13501"/>
    <tableColumn id="13513" xr3:uid="{E5EB920F-A3FC-4962-B6B7-CF48E60892DB}" name="Column13502"/>
    <tableColumn id="13514" xr3:uid="{7E84404B-EAEC-4131-B872-7FC627679EAC}" name="Column13503"/>
    <tableColumn id="13515" xr3:uid="{CC2EBF75-7DDF-48C0-8318-FD2E2FDABB80}" name="Column13504"/>
    <tableColumn id="13516" xr3:uid="{B5980786-88D4-4A74-A81C-6FB89E54F295}" name="Column13505"/>
    <tableColumn id="13517" xr3:uid="{2CD5BDAF-723B-4441-AD32-87399554C59C}" name="Column13506"/>
    <tableColumn id="13518" xr3:uid="{5EBDF7D5-9F71-4A4E-B98F-FC72E555D71C}" name="Column13507"/>
    <tableColumn id="13519" xr3:uid="{6F2C4F85-F975-4515-859A-B7769D7D5977}" name="Column13508"/>
    <tableColumn id="13520" xr3:uid="{DECE6A9C-C584-485F-9410-16BC89BD3DBA}" name="Column13509"/>
    <tableColumn id="13521" xr3:uid="{BC576D2B-A116-48AA-B175-10CD25C9C581}" name="Column13510"/>
    <tableColumn id="13522" xr3:uid="{2C344D44-D264-4297-90A9-50071A637665}" name="Column13511"/>
    <tableColumn id="13523" xr3:uid="{87F4693E-78DC-4033-AE98-0BF3088417DE}" name="Column13512"/>
    <tableColumn id="13524" xr3:uid="{2F87A8CF-B596-4769-ACFD-459126F21548}" name="Column13513"/>
    <tableColumn id="13525" xr3:uid="{E09ED5F2-1B2B-41F0-AEFC-DAFE0945E905}" name="Column13514"/>
    <tableColumn id="13526" xr3:uid="{ED7183B4-2C3B-475B-8C68-977F3BABD3FC}" name="Column13515"/>
    <tableColumn id="13527" xr3:uid="{47B66E58-3929-464F-B391-68E21BB4EA87}" name="Column13516"/>
    <tableColumn id="13528" xr3:uid="{3325DD40-6007-4B0D-8F96-A30772B48050}" name="Column13517"/>
    <tableColumn id="13529" xr3:uid="{C3F4F8A0-EE86-4CA1-8A6F-1055371755CA}" name="Column13518"/>
    <tableColumn id="13530" xr3:uid="{A7A8BB5C-C060-42DA-9995-CBDB7980B917}" name="Column13519"/>
    <tableColumn id="13531" xr3:uid="{F9D28A97-1C3D-4B23-971E-5A9DA5771719}" name="Column13520"/>
    <tableColumn id="13532" xr3:uid="{A9502450-3FCB-47A0-8EE3-12A702E4BE3D}" name="Column13521"/>
    <tableColumn id="13533" xr3:uid="{8B9A3B1D-2C06-4D22-A8FF-0DF56F72D330}" name="Column13522"/>
    <tableColumn id="13534" xr3:uid="{4AAD3FEE-B5D7-45CF-B2F7-755662532990}" name="Column13523"/>
    <tableColumn id="13535" xr3:uid="{51D18A39-3387-46D0-9D3E-73B40575AE45}" name="Column13524"/>
    <tableColumn id="13536" xr3:uid="{5C461FE4-4EE1-4CF6-A76B-8815D5C9C7AB}" name="Column13525"/>
    <tableColumn id="13537" xr3:uid="{37E1EF53-806C-4F65-90D5-EF34D8C7DB4B}" name="Column13526"/>
    <tableColumn id="13538" xr3:uid="{CC6B6436-C7EE-4B8E-9FA0-56F70C38443C}" name="Column13527"/>
    <tableColumn id="13539" xr3:uid="{9743211F-AF38-4D72-8253-01163067B302}" name="Column13528"/>
    <tableColumn id="13540" xr3:uid="{5D5B197E-5676-4E01-8426-9141147D4F8A}" name="Column13529"/>
    <tableColumn id="13541" xr3:uid="{D0FC58AA-F608-4779-84FA-8E94C838690F}" name="Column13530"/>
    <tableColumn id="13542" xr3:uid="{65981D05-C9FB-4213-9E29-BA839A659891}" name="Column13531"/>
    <tableColumn id="13543" xr3:uid="{89769FBB-8697-4617-8AAB-CB3BA04449C7}" name="Column13532"/>
    <tableColumn id="13544" xr3:uid="{6BF8AEA2-FFAF-4C69-9F3A-CD6FA5854ED2}" name="Column13533"/>
    <tableColumn id="13545" xr3:uid="{5B0EDC6B-1820-4479-8CCD-D9B7E4D7B39B}" name="Column13534"/>
    <tableColumn id="13546" xr3:uid="{9C4FC494-10EB-4375-9FB2-45B65C7EBE78}" name="Column13535"/>
    <tableColumn id="13547" xr3:uid="{4BC488E1-E447-40D8-ACF0-C0F3CB5567E5}" name="Column13536"/>
    <tableColumn id="13548" xr3:uid="{605F2E50-4B24-4605-A4ED-989E5CBF2672}" name="Column13537"/>
    <tableColumn id="13549" xr3:uid="{766EC11F-F569-4353-9859-26A54FB08E0B}" name="Column13538"/>
    <tableColumn id="13550" xr3:uid="{80C9A233-0E5C-478B-99A5-3A7EA4951C0D}" name="Column13539"/>
    <tableColumn id="13551" xr3:uid="{10581E56-F8FE-4E9C-B886-505A71090118}" name="Column13540"/>
    <tableColumn id="13552" xr3:uid="{1BEF045A-D387-4769-8F71-13B3C402546D}" name="Column13541"/>
    <tableColumn id="13553" xr3:uid="{468D0176-6636-476C-9621-BA10471712B8}" name="Column13542"/>
    <tableColumn id="13554" xr3:uid="{103E2F74-FF05-47B1-BA42-5718443A592F}" name="Column13543"/>
    <tableColumn id="13555" xr3:uid="{7352A05F-B286-4FDF-825E-E38A5C5A3D53}" name="Column13544"/>
    <tableColumn id="13556" xr3:uid="{1A0CB48A-21C9-46C3-A08F-B418A8703FFF}" name="Column13545"/>
    <tableColumn id="13557" xr3:uid="{9979A4F0-49D6-4B1B-A457-B3A3F88808D5}" name="Column13546"/>
    <tableColumn id="13558" xr3:uid="{FAF5F225-AC98-4203-96C9-BFDB97D44E3E}" name="Column13547"/>
    <tableColumn id="13559" xr3:uid="{52F8C5C7-9992-4E78-A9EF-CE6A772ADD64}" name="Column13548"/>
    <tableColumn id="13560" xr3:uid="{1D87C04A-1131-4E7F-AB2E-306B9A58DC15}" name="Column13549"/>
    <tableColumn id="13561" xr3:uid="{EF4C5B87-9C19-413E-8B53-33E4BBC979E8}" name="Column13550"/>
    <tableColumn id="13562" xr3:uid="{9335F059-77B4-4287-ADD6-B5BBC4F215B8}" name="Column13551"/>
    <tableColumn id="13563" xr3:uid="{2284DAFD-BFB8-44CB-83C5-FA166EA00EB6}" name="Column13552"/>
    <tableColumn id="13564" xr3:uid="{E0AC7337-8457-4FA6-BF66-E3E30EA35EE2}" name="Column13553"/>
    <tableColumn id="13565" xr3:uid="{574795FE-4836-4172-BAED-7940FDCB4560}" name="Column13554"/>
    <tableColumn id="13566" xr3:uid="{D584C5A8-CDFB-4D56-A1C3-20588C55D5F7}" name="Column13555"/>
    <tableColumn id="13567" xr3:uid="{FC34F1E5-CEA0-4A18-8A9B-754EA860E590}" name="Column13556"/>
    <tableColumn id="13568" xr3:uid="{8F223912-EA7F-435A-A09B-C980B13F0B09}" name="Column13557"/>
    <tableColumn id="13569" xr3:uid="{E18A5F94-8B71-46CC-BC3F-7A2E59DC0E6A}" name="Column13558"/>
    <tableColumn id="13570" xr3:uid="{FCF093CE-85B1-4740-9B8F-A78F7D745E80}" name="Column13559"/>
    <tableColumn id="13571" xr3:uid="{09D16089-A29F-4569-9828-B2B4FE904AC6}" name="Column13560"/>
    <tableColumn id="13572" xr3:uid="{A6B73612-D800-483E-9F11-E60697F9EA87}" name="Column13561"/>
    <tableColumn id="13573" xr3:uid="{FBE409AA-716E-4EEA-ACDB-A688EFE90DFF}" name="Column13562"/>
    <tableColumn id="13574" xr3:uid="{17F12EA3-EE80-4E12-A5A6-76EA31A8351F}" name="Column13563"/>
    <tableColumn id="13575" xr3:uid="{2AC13884-E0F8-4079-A7C0-251931570C6B}" name="Column13564"/>
    <tableColumn id="13576" xr3:uid="{E5B6BF43-569D-4212-9946-C0B9570EF41C}" name="Column13565"/>
    <tableColumn id="13577" xr3:uid="{7DE28FA6-0975-48A4-B0E3-EFBA9D647B8D}" name="Column13566"/>
    <tableColumn id="13578" xr3:uid="{EB2526E3-FC27-4AAD-9957-E448491A05D0}" name="Column13567"/>
    <tableColumn id="13579" xr3:uid="{5C85AF7E-2B8A-439C-9470-6DBF9EF51477}" name="Column13568"/>
    <tableColumn id="13580" xr3:uid="{42905B47-A49B-4DBE-AEDD-1BB781924DDB}" name="Column13569"/>
    <tableColumn id="13581" xr3:uid="{93410BEF-1310-46C2-894A-4419DE013BAB}" name="Column13570"/>
    <tableColumn id="13582" xr3:uid="{9EA62C6E-82D8-4AD4-98A0-C38A45E2DD1E}" name="Column13571"/>
    <tableColumn id="13583" xr3:uid="{9FEF14D1-9BBC-4C82-94D4-E4E1798297E6}" name="Column13572"/>
    <tableColumn id="13584" xr3:uid="{FAE9B01A-6ED4-4DA9-915B-D25D5B22D4C7}" name="Column13573"/>
    <tableColumn id="13585" xr3:uid="{B5199579-8E94-43DE-8992-4F6E271CD985}" name="Column13574"/>
    <tableColumn id="13586" xr3:uid="{86C7778D-0AA0-4FE7-91F9-A43D74417A1F}" name="Column13575"/>
    <tableColumn id="13587" xr3:uid="{33028E37-6646-4C3D-9CCF-1A13B17F6E8E}" name="Column13576"/>
    <tableColumn id="13588" xr3:uid="{5F11C015-A2F2-4210-A31B-C7C87A38D48D}" name="Column13577"/>
    <tableColumn id="13589" xr3:uid="{FFDB2929-6525-492B-965C-30346141C8CA}" name="Column13578"/>
    <tableColumn id="13590" xr3:uid="{514E0B3D-434D-4461-8FD0-AF82FDD518B3}" name="Column13579"/>
    <tableColumn id="13591" xr3:uid="{76B41966-6446-40C8-A13A-3A60BAAACA49}" name="Column13580"/>
    <tableColumn id="13592" xr3:uid="{8EC1171A-DBB2-42A3-B8DE-27E74BAFE888}" name="Column13581"/>
    <tableColumn id="13593" xr3:uid="{67DBF8EF-59D1-40A6-8D27-C4069235EFD8}" name="Column13582"/>
    <tableColumn id="13594" xr3:uid="{2A54B865-6646-483A-B819-BD55A0B2A3CD}" name="Column13583"/>
    <tableColumn id="13595" xr3:uid="{F8A069C8-A512-4030-AEA5-3045757E71DA}" name="Column13584"/>
    <tableColumn id="13596" xr3:uid="{7C81B28A-AB81-4C15-B1B4-786861EEADC0}" name="Column13585"/>
    <tableColumn id="13597" xr3:uid="{2A1FFEAC-9372-429A-885E-8B594E0F13C9}" name="Column13586"/>
    <tableColumn id="13598" xr3:uid="{A1D9DAA6-AC09-4D6C-A4FF-387E8FA30E18}" name="Column13587"/>
    <tableColumn id="13599" xr3:uid="{36E929A4-FAAD-4E08-B85B-8D83C4AC9568}" name="Column13588"/>
    <tableColumn id="13600" xr3:uid="{DA437812-035E-40F4-AF6E-DF98993522AB}" name="Column13589"/>
    <tableColumn id="13601" xr3:uid="{87058884-EF8F-4751-81E5-FA1A067A3EC1}" name="Column13590"/>
    <tableColumn id="13602" xr3:uid="{D3F69C18-0C2D-4870-AC08-59DBED576127}" name="Column13591"/>
    <tableColumn id="13603" xr3:uid="{92A825C4-0439-4440-90DF-3987A22F1655}" name="Column13592"/>
    <tableColumn id="13604" xr3:uid="{D8DD6FAE-3798-4704-B246-65F059807922}" name="Column13593"/>
    <tableColumn id="13605" xr3:uid="{8E05330F-3831-4352-9751-4B4A0D86B9A0}" name="Column13594"/>
    <tableColumn id="13606" xr3:uid="{79E7EEE5-028D-41F0-BBDC-DBE2E0CB6B4E}" name="Column13595"/>
    <tableColumn id="13607" xr3:uid="{A409EF53-0E53-4C8C-B4FE-442A4EBF2C19}" name="Column13596"/>
    <tableColumn id="13608" xr3:uid="{25DF4624-B478-4E53-92F3-772061D7B75E}" name="Column13597"/>
    <tableColumn id="13609" xr3:uid="{B9859D32-5BC4-48BD-A629-1C6C90E81B0F}" name="Column13598"/>
    <tableColumn id="13610" xr3:uid="{DA8C4412-868B-4F2B-9F7C-13BA512384BE}" name="Column13599"/>
    <tableColumn id="13611" xr3:uid="{1E0A4305-EFB8-4632-AF1B-403EE885E3E8}" name="Column13600"/>
    <tableColumn id="13612" xr3:uid="{168E364F-DB70-4DBB-B2BB-46C75F57D07C}" name="Column13601"/>
    <tableColumn id="13613" xr3:uid="{25AF068B-A73D-470F-AE39-7C608947A754}" name="Column13602"/>
    <tableColumn id="13614" xr3:uid="{BE3626B1-41F4-4D3D-BFA1-D3BF356A0CED}" name="Column13603"/>
    <tableColumn id="13615" xr3:uid="{95CA5FAF-3C65-4352-AB9F-086068EEDD7A}" name="Column13604"/>
    <tableColumn id="13616" xr3:uid="{4FAB0EB8-D0E0-4D83-AF71-7FB742955064}" name="Column13605"/>
    <tableColumn id="13617" xr3:uid="{5A51FDC0-049F-4E0F-871A-15DCF3B82E42}" name="Column13606"/>
    <tableColumn id="13618" xr3:uid="{039B5D3E-BB5F-46DD-A2B9-91490673B714}" name="Column13607"/>
    <tableColumn id="13619" xr3:uid="{6C56C04D-5FD0-48B2-8DF8-48BF62EC7DA1}" name="Column13608"/>
    <tableColumn id="13620" xr3:uid="{FA9463A2-EBDE-44C6-893E-F02DB58F586E}" name="Column13609"/>
    <tableColumn id="13621" xr3:uid="{E34B69EB-285C-4FB4-804D-505A9846DDA6}" name="Column13610"/>
    <tableColumn id="13622" xr3:uid="{E4E8B802-2A9A-4BE3-AED1-EADD3C1DF8AF}" name="Column13611"/>
    <tableColumn id="13623" xr3:uid="{3E619F73-D307-4160-B8F0-C8DC1DC02133}" name="Column13612"/>
    <tableColumn id="13624" xr3:uid="{AC3C2346-40AC-4BA3-865B-5A12D127C39F}" name="Column13613"/>
    <tableColumn id="13625" xr3:uid="{22522B86-D54C-4321-AE6B-02437EB1CDB6}" name="Column13614"/>
    <tableColumn id="13626" xr3:uid="{B6D5BFDF-B27F-44F9-A91C-94F353716635}" name="Column13615"/>
    <tableColumn id="13627" xr3:uid="{B7CB2887-FFEA-42C1-9F28-9E688F40BFB2}" name="Column13616"/>
    <tableColumn id="13628" xr3:uid="{DAD737C4-7916-42EF-BB3C-69AA7DE03BD3}" name="Column13617"/>
    <tableColumn id="13629" xr3:uid="{5FBD28B2-3570-4E40-A414-12B013BF83AA}" name="Column13618"/>
    <tableColumn id="13630" xr3:uid="{7F9A6B67-F9BB-4C4C-9F82-9186DFD4D2BE}" name="Column13619"/>
    <tableColumn id="13631" xr3:uid="{78A1FD36-F64F-4267-B0D0-EF4125F2EEB2}" name="Column13620"/>
    <tableColumn id="13632" xr3:uid="{20B1697B-A933-4AFF-9255-8282E47E5467}" name="Column13621"/>
    <tableColumn id="13633" xr3:uid="{0060947A-7FB3-4AF0-AB07-B49258A9FD47}" name="Column13622"/>
    <tableColumn id="13634" xr3:uid="{3988C03A-BE20-4E80-8B06-0BCB5452ED51}" name="Column13623"/>
    <tableColumn id="13635" xr3:uid="{659BFDBF-AC7D-4587-802F-7E891D2E950E}" name="Column13624"/>
    <tableColumn id="13636" xr3:uid="{66BB87C9-F56B-4902-B5D1-5ED32FA95355}" name="Column13625"/>
    <tableColumn id="13637" xr3:uid="{42F32B36-912C-4B2C-8524-EB7789E2196F}" name="Column13626"/>
    <tableColumn id="13638" xr3:uid="{47AAEFCD-CDDE-4C62-85B9-B63827A5014C}" name="Column13627"/>
    <tableColumn id="13639" xr3:uid="{C2939360-A658-40E5-AE96-5B5492ECE9AE}" name="Column13628"/>
    <tableColumn id="13640" xr3:uid="{CC501445-3D9F-4234-B29F-E4FF4F8576EF}" name="Column13629"/>
    <tableColumn id="13641" xr3:uid="{14DCE829-06E5-4E8E-8F1A-217458F06CD9}" name="Column13630"/>
    <tableColumn id="13642" xr3:uid="{E10CA8C3-4AFF-45A1-A154-E4FE18F7A434}" name="Column13631"/>
    <tableColumn id="13643" xr3:uid="{73F86FA2-2A60-4407-BCDF-D06591BE1CA8}" name="Column13632"/>
    <tableColumn id="13644" xr3:uid="{EC185118-AD62-433D-BA27-775D1434FBC2}" name="Column13633"/>
    <tableColumn id="13645" xr3:uid="{CCBC2008-885F-4C01-AC2F-B79A8B601E3D}" name="Column13634"/>
    <tableColumn id="13646" xr3:uid="{62E7A828-2FDE-42AC-8D49-6A743CB4F653}" name="Column13635"/>
    <tableColumn id="13647" xr3:uid="{F080696D-529B-4DEC-8E46-C6316E293BE4}" name="Column13636"/>
    <tableColumn id="13648" xr3:uid="{28E43144-B9C9-42D9-9B74-4C74E652304F}" name="Column13637"/>
    <tableColumn id="13649" xr3:uid="{6FD7AE14-7EF3-408A-9313-0B8516DC5198}" name="Column13638"/>
    <tableColumn id="13650" xr3:uid="{1951680A-6985-4747-A1EA-193491D9882F}" name="Column13639"/>
    <tableColumn id="13651" xr3:uid="{A9F6463C-4D03-46B9-A212-B83B7DAAF7E5}" name="Column13640"/>
    <tableColumn id="13652" xr3:uid="{4EA99CB0-5177-4781-9E48-8B4261C65C50}" name="Column13641"/>
    <tableColumn id="13653" xr3:uid="{AE370891-0A3F-4F21-9D78-0F383DF6746F}" name="Column13642"/>
    <tableColumn id="13654" xr3:uid="{5334A22F-5DE0-4EFE-85AC-050C3A00B725}" name="Column13643"/>
    <tableColumn id="13655" xr3:uid="{9A9354A2-5E7D-4E66-AD1E-3C3AB80BDCFD}" name="Column13644"/>
    <tableColumn id="13656" xr3:uid="{423BCAF4-18E1-48F0-B2EB-0D869B9BDCA9}" name="Column13645"/>
    <tableColumn id="13657" xr3:uid="{4E1B3239-123F-4E49-9F05-D8ED4171CA35}" name="Column13646"/>
    <tableColumn id="13658" xr3:uid="{39D72080-3528-4974-A3FD-A7954AB4753B}" name="Column13647"/>
    <tableColumn id="13659" xr3:uid="{47501826-8F68-46CB-86E9-A673501EA451}" name="Column13648"/>
    <tableColumn id="13660" xr3:uid="{C77B9B8B-B80F-444E-8C9B-45DECEF8D6FE}" name="Column13649"/>
    <tableColumn id="13661" xr3:uid="{4A75A502-E5F6-427A-97B3-A69EBC0681D1}" name="Column13650"/>
    <tableColumn id="13662" xr3:uid="{98F80256-F228-4EDE-9BCA-21B87B317218}" name="Column13651"/>
    <tableColumn id="13663" xr3:uid="{78B877A6-DD39-4CCA-94E4-544EA65C791B}" name="Column13652"/>
    <tableColumn id="13664" xr3:uid="{EC7959A2-1688-4EB6-9944-77729C7497D2}" name="Column13653"/>
    <tableColumn id="13665" xr3:uid="{307FC326-0093-40E7-A8C8-854D6B452D69}" name="Column13654"/>
    <tableColumn id="13666" xr3:uid="{26C6C875-D193-42A5-A46B-4367EAC976FD}" name="Column13655"/>
    <tableColumn id="13667" xr3:uid="{CC715872-7DCD-470C-8A21-43FC33C546BC}" name="Column13656"/>
    <tableColumn id="13668" xr3:uid="{3C9C2FE3-F156-42F4-89AF-402BDB0412FC}" name="Column13657"/>
    <tableColumn id="13669" xr3:uid="{3533F46F-90F1-4A3F-A620-E0986FFBE8CE}" name="Column13658"/>
    <tableColumn id="13670" xr3:uid="{B3F28A4C-62B2-4F1D-BD83-6558295FAF65}" name="Column13659"/>
    <tableColumn id="13671" xr3:uid="{E96E3A2C-78E1-4259-AF83-E6A46558326E}" name="Column13660"/>
    <tableColumn id="13672" xr3:uid="{342923D1-78D0-4313-8CC8-AD12B905F247}" name="Column13661"/>
    <tableColumn id="13673" xr3:uid="{4E834D5D-7B36-4571-8EEB-6B90A10309A5}" name="Column13662"/>
    <tableColumn id="13674" xr3:uid="{002C83E9-FFED-4ABC-B311-F4F50FE0BCCC}" name="Column13663"/>
    <tableColumn id="13675" xr3:uid="{835D9F51-68AF-4360-A6D4-8B620B7BAB06}" name="Column13664"/>
    <tableColumn id="13676" xr3:uid="{81E4C6E2-EB87-4F62-B36B-C4C55C022B10}" name="Column13665"/>
    <tableColumn id="13677" xr3:uid="{D3E669F8-637D-4035-924C-85E14A2DDF55}" name="Column13666"/>
    <tableColumn id="13678" xr3:uid="{25DB3CBE-EC70-46DA-ADE6-54EFD6D3849E}" name="Column13667"/>
    <tableColumn id="13679" xr3:uid="{1137711E-6300-40E6-9933-27213CFF3E83}" name="Column13668"/>
    <tableColumn id="13680" xr3:uid="{4B82F7AC-F544-4ECE-BBA8-72E99EDFFEA6}" name="Column13669"/>
    <tableColumn id="13681" xr3:uid="{27C48140-F33B-44D9-BB81-8C365D650174}" name="Column13670"/>
    <tableColumn id="13682" xr3:uid="{1E36EE19-B696-40B9-90D5-BA7A3B9F7870}" name="Column13671"/>
    <tableColumn id="13683" xr3:uid="{33310681-FC62-41B8-ADD2-CEF4409D652A}" name="Column13672"/>
    <tableColumn id="13684" xr3:uid="{00D20AB5-2F2D-4339-8924-AB08C6BF1828}" name="Column13673"/>
    <tableColumn id="13685" xr3:uid="{C24D7820-A936-4004-9582-2CBA6D3FA974}" name="Column13674"/>
    <tableColumn id="13686" xr3:uid="{7EF6E52E-A76D-473C-95ED-FB2966F11711}" name="Column13675"/>
    <tableColumn id="13687" xr3:uid="{E64D0151-F40D-4A85-AD6E-6E688C1A68D4}" name="Column13676"/>
    <tableColumn id="13688" xr3:uid="{CC6E755F-D649-4F20-A801-CF352127C3C0}" name="Column13677"/>
    <tableColumn id="13689" xr3:uid="{82438122-B58B-4BDA-94E8-E7C489B02548}" name="Column13678"/>
    <tableColumn id="13690" xr3:uid="{92527EA1-209B-46A6-BD3C-F72C05AD1F09}" name="Column13679"/>
    <tableColumn id="13691" xr3:uid="{35E656F8-E2BA-4075-A2E9-26FF17D54578}" name="Column13680"/>
    <tableColumn id="13692" xr3:uid="{37D491EA-73BA-4195-812A-08C0AD22567F}" name="Column13681"/>
    <tableColumn id="13693" xr3:uid="{F626B982-5C2F-409D-8694-3B61CE11C952}" name="Column13682"/>
    <tableColumn id="13694" xr3:uid="{4AA8DC22-C7B5-4A0E-B664-A581641C12A8}" name="Column13683"/>
    <tableColumn id="13695" xr3:uid="{318365E2-726B-425C-BC94-73892B08881D}" name="Column13684"/>
    <tableColumn id="13696" xr3:uid="{93A13F1E-796A-4903-AB0F-77BD6D7DCDC0}" name="Column13685"/>
    <tableColumn id="13697" xr3:uid="{687A6E83-7001-44CE-9428-0FFFA525392D}" name="Column13686"/>
    <tableColumn id="13698" xr3:uid="{2241DAB9-270D-49D7-AB1B-883A673EA585}" name="Column13687"/>
    <tableColumn id="13699" xr3:uid="{3C970E6B-B347-480F-94F0-A4EAA530115C}" name="Column13688"/>
    <tableColumn id="13700" xr3:uid="{CDFEEB37-08B4-4589-BBA6-88FE976E2949}" name="Column13689"/>
    <tableColumn id="13701" xr3:uid="{C0B98713-4F72-4B23-B0EA-BB585D5D201F}" name="Column13690"/>
    <tableColumn id="13702" xr3:uid="{CBE5CBDB-C666-4AAB-9CD9-ADACA9EE74E3}" name="Column13691"/>
    <tableColumn id="13703" xr3:uid="{024B5694-33CE-4905-8BE9-4EF26AFD6630}" name="Column13692"/>
    <tableColumn id="13704" xr3:uid="{0AE13D95-B0FF-4E22-83F0-B8B111F9B97A}" name="Column13693"/>
    <tableColumn id="13705" xr3:uid="{C2B8E20D-C699-4D64-81A0-D15C1DCA38F9}" name="Column13694"/>
    <tableColumn id="13706" xr3:uid="{D5EA5962-76B6-4EF0-8700-5D6CBC367AD6}" name="Column13695"/>
    <tableColumn id="13707" xr3:uid="{780DD5F4-7C06-49FA-B495-A1E43C2CDD53}" name="Column13696"/>
    <tableColumn id="13708" xr3:uid="{18CD7602-2195-49FA-8F6A-E9C4C9CD5F92}" name="Column13697"/>
    <tableColumn id="13709" xr3:uid="{97F40BAD-0F4F-41F2-B20C-2F5986F41556}" name="Column13698"/>
    <tableColumn id="13710" xr3:uid="{D1041F18-EA4F-4220-BC4B-7B4833957906}" name="Column13699"/>
    <tableColumn id="13711" xr3:uid="{0728EBE6-CB92-4853-89D9-72344AF1D32C}" name="Column13700"/>
    <tableColumn id="13712" xr3:uid="{284A8529-22AB-4F7E-9FE4-2E0A1A02046E}" name="Column13701"/>
    <tableColumn id="13713" xr3:uid="{698B21D2-15A9-45DD-B892-39900CD77C64}" name="Column13702"/>
    <tableColumn id="13714" xr3:uid="{C1030ABD-09B2-4F43-94AD-75097849B13C}" name="Column13703"/>
    <tableColumn id="13715" xr3:uid="{5316A4A9-53C0-4F90-B070-B309DBF0EEF3}" name="Column13704"/>
    <tableColumn id="13716" xr3:uid="{399DE9D5-B221-4F83-A882-DD1FA15AE3F1}" name="Column13705"/>
    <tableColumn id="13717" xr3:uid="{337616C3-DA7A-4A94-BDC4-D47613D6CE55}" name="Column13706"/>
    <tableColumn id="13718" xr3:uid="{A7627C03-FB7B-4F5C-BD32-0FE63364241E}" name="Column13707"/>
    <tableColumn id="13719" xr3:uid="{1701349D-73D5-4CD1-82B7-FB5F164D1E36}" name="Column13708"/>
    <tableColumn id="13720" xr3:uid="{494808B6-E5F9-4AA3-B0E1-90829687787D}" name="Column13709"/>
    <tableColumn id="13721" xr3:uid="{5371A0A1-FB05-4CBB-9BCB-C42CEEC764BB}" name="Column13710"/>
    <tableColumn id="13722" xr3:uid="{47996132-8564-42D6-B696-AF00748AA525}" name="Column13711"/>
    <tableColumn id="13723" xr3:uid="{94F96F13-7CC6-48D6-86B5-978F3CB1D2F1}" name="Column13712"/>
    <tableColumn id="13724" xr3:uid="{3D6FBA14-72B7-4B26-9B5C-7A4CA59206E1}" name="Column13713"/>
    <tableColumn id="13725" xr3:uid="{AAACEDFF-6C2D-4624-8B56-2616AE8548F7}" name="Column13714"/>
    <tableColumn id="13726" xr3:uid="{16F05FB6-F9CB-4E8E-96E5-36B0004E164F}" name="Column13715"/>
    <tableColumn id="13727" xr3:uid="{79179746-DCC6-4721-924F-8E2A5E6CB792}" name="Column13716"/>
    <tableColumn id="13728" xr3:uid="{87C07639-22AC-4B0A-A882-52CD6BD758CC}" name="Column13717"/>
    <tableColumn id="13729" xr3:uid="{08A6263E-6A63-4A84-B428-AFCF382E36D9}" name="Column13718"/>
    <tableColumn id="13730" xr3:uid="{4BD56954-D445-4705-B2F7-023FEA5A0B62}" name="Column13719"/>
    <tableColumn id="13731" xr3:uid="{8AADC724-FD7D-4B1A-9166-CDE732A37414}" name="Column13720"/>
    <tableColumn id="13732" xr3:uid="{1BC359CF-D1EF-4225-AF5F-FE5018A4D343}" name="Column13721"/>
    <tableColumn id="13733" xr3:uid="{0EEC2812-661A-4EF6-9B9A-B72C05C98964}" name="Column13722"/>
    <tableColumn id="13734" xr3:uid="{936C367A-AF06-48A2-9364-E89D3C2008B2}" name="Column13723"/>
    <tableColumn id="13735" xr3:uid="{AE39DE7F-7735-466A-9B24-3FAFC5784E43}" name="Column13724"/>
    <tableColumn id="13736" xr3:uid="{BC1CC7C6-AFD8-4D54-90A4-B7DD06A80A5D}" name="Column13725"/>
    <tableColumn id="13737" xr3:uid="{4D0DC074-AB97-4B1B-A29C-8E5E34E81DF2}" name="Column13726"/>
    <tableColumn id="13738" xr3:uid="{01D5B6BE-3412-42A4-93F4-68EA0FD389BE}" name="Column13727"/>
    <tableColumn id="13739" xr3:uid="{52553421-C064-4271-98C6-92DFD08196A0}" name="Column13728"/>
    <tableColumn id="13740" xr3:uid="{7A3BDBBF-06C6-4F3F-B697-1C6306346156}" name="Column13729"/>
    <tableColumn id="13741" xr3:uid="{D48B7896-5703-4BCE-B7E3-55C45CB23ACF}" name="Column13730"/>
    <tableColumn id="13742" xr3:uid="{BF5C11BC-9184-4386-813B-3D755DE603AF}" name="Column13731"/>
    <tableColumn id="13743" xr3:uid="{04196D56-CC07-48D8-91E7-32B1E1778F8B}" name="Column13732"/>
    <tableColumn id="13744" xr3:uid="{4A8484C6-58AC-4982-ABE1-7F3FB215F783}" name="Column13733"/>
    <tableColumn id="13745" xr3:uid="{62D8CC8A-9C4A-4478-B6F0-F5663201401F}" name="Column13734"/>
    <tableColumn id="13746" xr3:uid="{06CC1536-05EB-4454-BAA4-49F9252DA908}" name="Column13735"/>
    <tableColumn id="13747" xr3:uid="{30BA2FCF-5093-45F7-8C3B-1F4997902BC8}" name="Column13736"/>
    <tableColumn id="13748" xr3:uid="{6BBC9D9A-ADD0-4C5F-9AA1-0C479F4672F0}" name="Column13737"/>
    <tableColumn id="13749" xr3:uid="{3631CA32-413F-4437-BE91-5EF44AC778A1}" name="Column13738"/>
    <tableColumn id="13750" xr3:uid="{F89B7EE7-7F87-49D4-95C4-771AF9FF4472}" name="Column13739"/>
    <tableColumn id="13751" xr3:uid="{289E4778-5EB4-4BBE-8076-E3C539CE229D}" name="Column13740"/>
    <tableColumn id="13752" xr3:uid="{CE80CC5F-38B3-4406-A092-1B6EEBA8726D}" name="Column13741"/>
    <tableColumn id="13753" xr3:uid="{E68D5D81-093F-4910-BEFD-25E09462D7DF}" name="Column13742"/>
    <tableColumn id="13754" xr3:uid="{6BC72CA3-C824-4EEF-AEB3-D797D35A2365}" name="Column13743"/>
    <tableColumn id="13755" xr3:uid="{E5425EE7-A148-4913-86E3-142CC3AE8538}" name="Column13744"/>
    <tableColumn id="13756" xr3:uid="{9AE7A149-F2B7-4EDA-B5A9-BE5EAF32D8A9}" name="Column13745"/>
    <tableColumn id="13757" xr3:uid="{2A4B3D51-2DE4-4822-A1ED-424160B14630}" name="Column13746"/>
    <tableColumn id="13758" xr3:uid="{585F9E49-2D83-4838-B970-8CA4A48224C2}" name="Column13747"/>
    <tableColumn id="13759" xr3:uid="{3C4E08D3-4400-485A-A565-C8312CC77BD3}" name="Column13748"/>
    <tableColumn id="13760" xr3:uid="{2E9341AB-7327-4DFC-8C8E-CE295C29BD40}" name="Column13749"/>
    <tableColumn id="13761" xr3:uid="{1D182A2D-9ED2-4353-B432-3E1E9EF74426}" name="Column13750"/>
    <tableColumn id="13762" xr3:uid="{3B85EAF2-2FDA-4CEE-BDAD-A6E7AE300953}" name="Column13751"/>
    <tableColumn id="13763" xr3:uid="{3443B8B8-5900-49B0-8C96-48C541917AED}" name="Column13752"/>
    <tableColumn id="13764" xr3:uid="{BF409C09-10D8-4941-BFBF-62668FED1390}" name="Column13753"/>
    <tableColumn id="13765" xr3:uid="{28CF33B5-E7B2-4E89-B95B-BBBA57E369B7}" name="Column13754"/>
    <tableColumn id="13766" xr3:uid="{B2B02D57-385C-4A0C-8711-DF819E4EE010}" name="Column13755"/>
    <tableColumn id="13767" xr3:uid="{397855C1-3965-4249-A227-E26BBC4B763C}" name="Column13756"/>
    <tableColumn id="13768" xr3:uid="{C13788BC-EE10-4203-92A7-236A00AA8DB9}" name="Column13757"/>
    <tableColumn id="13769" xr3:uid="{086B9AA9-EFB9-4F79-95F7-B8E453778269}" name="Column13758"/>
    <tableColumn id="13770" xr3:uid="{0317C8DC-E524-44B2-893A-CD0FE17084F6}" name="Column13759"/>
    <tableColumn id="13771" xr3:uid="{C2001E26-0B8F-48C0-B473-68E34099029A}" name="Column13760"/>
    <tableColumn id="13772" xr3:uid="{FDE2C3DC-46D1-4ED4-9656-38B799A5A372}" name="Column13761"/>
    <tableColumn id="13773" xr3:uid="{47EF8FC9-0429-4733-9D98-0056BAA7620C}" name="Column13762"/>
    <tableColumn id="13774" xr3:uid="{75C7D7D2-7365-4F1C-8B0E-17C89D834780}" name="Column13763"/>
    <tableColumn id="13775" xr3:uid="{D030EB2B-6FF1-452F-897C-965D4C7F83D9}" name="Column13764"/>
    <tableColumn id="13776" xr3:uid="{B4B56433-6EBE-4A6F-8230-491F8BC022BB}" name="Column13765"/>
    <tableColumn id="13777" xr3:uid="{83F10EC6-B343-4F52-ACB6-AD0E69A068DD}" name="Column13766"/>
    <tableColumn id="13778" xr3:uid="{35986063-8E25-4399-80DD-8A3212C847EF}" name="Column13767"/>
    <tableColumn id="13779" xr3:uid="{128EEC37-8E55-4593-87F4-677BA8733297}" name="Column13768"/>
    <tableColumn id="13780" xr3:uid="{8F952162-85AC-4A3E-872E-9FD6069B4007}" name="Column13769"/>
    <tableColumn id="13781" xr3:uid="{CE484909-4B73-4DC0-948B-D4EBD2C5D459}" name="Column13770"/>
    <tableColumn id="13782" xr3:uid="{DE2FE325-10E0-4A33-AF5C-B4A90A0FF8C2}" name="Column13771"/>
    <tableColumn id="13783" xr3:uid="{27CBF5E0-61B8-410E-9F61-FFE555E53C1D}" name="Column13772"/>
    <tableColumn id="13784" xr3:uid="{19710AF5-3227-4FFE-89EA-60FCA42E0C63}" name="Column13773"/>
    <tableColumn id="13785" xr3:uid="{6BCA93D1-8A44-43C1-8D7D-FF53D0C161D8}" name="Column13774"/>
    <tableColumn id="13786" xr3:uid="{1C5F6241-D7F2-4A09-BCE5-6052E26535E8}" name="Column13775"/>
    <tableColumn id="13787" xr3:uid="{A61BA043-E260-4091-AAFC-34061BA73968}" name="Column13776"/>
    <tableColumn id="13788" xr3:uid="{1C543A70-2269-4248-913C-9915313377A8}" name="Column13777"/>
    <tableColumn id="13789" xr3:uid="{20F19822-B997-454C-A142-91A9F764C5B1}" name="Column13778"/>
    <tableColumn id="13790" xr3:uid="{6C2E512F-7419-4D63-8799-91E21A78B53C}" name="Column13779"/>
    <tableColumn id="13791" xr3:uid="{B75F5567-AA04-4303-8588-51D388C97254}" name="Column13780"/>
    <tableColumn id="13792" xr3:uid="{B49F1B9C-D1D4-465C-A82F-3261F0A4BD0B}" name="Column13781"/>
    <tableColumn id="13793" xr3:uid="{5F147527-F2FF-4938-84CF-59BCA052821F}" name="Column13782"/>
    <tableColumn id="13794" xr3:uid="{FCE9827D-451B-4036-82BF-30EB7AB33104}" name="Column13783"/>
    <tableColumn id="13795" xr3:uid="{38772B30-50F8-48DD-A712-90D70EDB6E59}" name="Column13784"/>
    <tableColumn id="13796" xr3:uid="{4A0BF2BF-C56B-4E00-9049-FBA0167EA973}" name="Column13785"/>
    <tableColumn id="13797" xr3:uid="{870BC55D-7E5F-41C8-832B-E94657B787A1}" name="Column13786"/>
    <tableColumn id="13798" xr3:uid="{CC5B79FF-B70D-41D1-B1A4-A758515793FE}" name="Column13787"/>
    <tableColumn id="13799" xr3:uid="{0E60309E-74AF-4998-B0C7-E4A336D3D385}" name="Column13788"/>
    <tableColumn id="13800" xr3:uid="{2C789C80-6CAA-44E4-A756-7063B392EB94}" name="Column13789"/>
    <tableColumn id="13801" xr3:uid="{062BB76B-5752-45CB-8AA2-6CAA9961412D}" name="Column13790"/>
    <tableColumn id="13802" xr3:uid="{A0E680D8-3A7B-41E5-A3A8-ABA4B3A9D1E7}" name="Column13791"/>
    <tableColumn id="13803" xr3:uid="{9B45EB8C-1094-448C-A77D-3B8A46BBE3E2}" name="Column13792"/>
    <tableColumn id="13804" xr3:uid="{0E654FF4-25CA-466D-B7FE-9BC6E5C25FE6}" name="Column13793"/>
    <tableColumn id="13805" xr3:uid="{726CB24E-A4A1-4EE6-BFE6-D560887B70D0}" name="Column13794"/>
    <tableColumn id="13806" xr3:uid="{16AD6245-840F-4A30-8E8A-9D19165E87E6}" name="Column13795"/>
    <tableColumn id="13807" xr3:uid="{81A283EA-55C4-4FA0-9E81-0EA87DE6620E}" name="Column13796"/>
    <tableColumn id="13808" xr3:uid="{1CBD44CF-145A-4481-8D5D-C27310CF23D6}" name="Column13797"/>
    <tableColumn id="13809" xr3:uid="{3C7CE9CB-49C0-4C4A-93FC-331948D037C8}" name="Column13798"/>
    <tableColumn id="13810" xr3:uid="{56E7215D-2192-4354-924F-916575E64306}" name="Column13799"/>
    <tableColumn id="13811" xr3:uid="{1014B7AA-043E-4228-8B98-EE52705C75FF}" name="Column13800"/>
    <tableColumn id="13812" xr3:uid="{A4744DF1-DB0C-4528-9D54-4090F6D0B75A}" name="Column13801"/>
    <tableColumn id="13813" xr3:uid="{D17F3E87-D414-4E0B-B02F-96F3AC88697E}" name="Column13802"/>
    <tableColumn id="13814" xr3:uid="{E63F37B6-D374-4CD7-8BF2-E5A62E6DC281}" name="Column13803"/>
    <tableColumn id="13815" xr3:uid="{F30309EE-CEB0-48C2-A4C5-C59FBB74B1AC}" name="Column13804"/>
    <tableColumn id="13816" xr3:uid="{15FFF14A-8B1F-41F5-BE13-CFA5A77E52F8}" name="Column13805"/>
    <tableColumn id="13817" xr3:uid="{12DEE397-ED83-47E1-B61B-65BC1826B2A5}" name="Column13806"/>
    <tableColumn id="13818" xr3:uid="{758D7DEA-09B1-4BDE-BAD2-2EC85DDEBC24}" name="Column13807"/>
    <tableColumn id="13819" xr3:uid="{C406C95E-338D-43A7-8242-F6087193CB7B}" name="Column13808"/>
    <tableColumn id="13820" xr3:uid="{F838FCE5-ECD1-4AA4-B8A6-39AB37F1B154}" name="Column13809"/>
    <tableColumn id="13821" xr3:uid="{6BE493A9-BA19-41DF-AC60-4F2A249B8C37}" name="Column13810"/>
    <tableColumn id="13822" xr3:uid="{D0476EA2-4360-4C52-9964-CCFC18FD5EF1}" name="Column13811"/>
    <tableColumn id="13823" xr3:uid="{0081DA7B-7A47-446B-BF7D-51D89127C9DA}" name="Column13812"/>
    <tableColumn id="13824" xr3:uid="{47A84E6E-0D94-4CBC-80CB-762298ED2274}" name="Column13813"/>
    <tableColumn id="13825" xr3:uid="{7729931C-48BF-4E03-9412-D793BDED5227}" name="Column13814"/>
    <tableColumn id="13826" xr3:uid="{66831A6D-5E57-472A-A2D6-ABC7E624749C}" name="Column13815"/>
    <tableColumn id="13827" xr3:uid="{CF557C58-B1ED-4CA3-962D-34EAD135F24D}" name="Column13816"/>
    <tableColumn id="13828" xr3:uid="{822571AD-266E-4D97-91DE-BAAEFCA6B388}" name="Column13817"/>
    <tableColumn id="13829" xr3:uid="{D9AC5A77-1BF8-413B-AA1C-3EBF9A803D40}" name="Column13818"/>
    <tableColumn id="13830" xr3:uid="{326B4A0D-8D6A-4F00-AB2B-D7647D15D402}" name="Column13819"/>
    <tableColumn id="13831" xr3:uid="{4CC5DE81-33F4-4269-8A58-9BAE223011FB}" name="Column13820"/>
    <tableColumn id="13832" xr3:uid="{5D9D7DE8-6A7A-40D3-AE30-DF5690F24CCD}" name="Column13821"/>
    <tableColumn id="13833" xr3:uid="{60C103EC-191D-441A-9B6B-B2ECE5584AC6}" name="Column13822"/>
    <tableColumn id="13834" xr3:uid="{CA9E3EDB-34F0-4E0D-B4BA-0D15EE955E46}" name="Column13823"/>
    <tableColumn id="13835" xr3:uid="{CAB7344E-F730-4065-8481-EC6B8041D31C}" name="Column13824"/>
    <tableColumn id="13836" xr3:uid="{A5AD60F7-8F75-4770-A423-E4A7B005BD63}" name="Column13825"/>
    <tableColumn id="13837" xr3:uid="{0B172630-4B57-45CE-8DC6-AE0EA56D2628}" name="Column13826"/>
    <tableColumn id="13838" xr3:uid="{8E7F37AA-EB74-4C89-8CE0-C51A99B8C6A1}" name="Column13827"/>
    <tableColumn id="13839" xr3:uid="{46CEA00D-BB59-4108-AAED-8447E82C55D4}" name="Column13828"/>
    <tableColumn id="13840" xr3:uid="{DF8502E2-0BEE-42DD-8A0C-636C5F4B3C6A}" name="Column13829"/>
    <tableColumn id="13841" xr3:uid="{01CA3132-1D28-4787-9441-3504D4B12EE1}" name="Column13830"/>
    <tableColumn id="13842" xr3:uid="{D25ACDAB-6911-4550-BD35-2B872BEEBE5E}" name="Column13831"/>
    <tableColumn id="13843" xr3:uid="{354220AC-0BC8-4A50-837E-392225588A03}" name="Column13832"/>
    <tableColumn id="13844" xr3:uid="{D0724B04-9EA3-451F-B540-40057DCD6C57}" name="Column13833"/>
    <tableColumn id="13845" xr3:uid="{9EB1AFD7-BC7F-4311-AB55-587DB5E2DF55}" name="Column13834"/>
    <tableColumn id="13846" xr3:uid="{832C9932-F9FB-43FF-A87A-D7BF8136F469}" name="Column13835"/>
    <tableColumn id="13847" xr3:uid="{36410471-6275-4376-B24E-706C42090311}" name="Column13836"/>
    <tableColumn id="13848" xr3:uid="{86A1DDDA-F517-4DB0-8A30-E07418652B3D}" name="Column13837"/>
    <tableColumn id="13849" xr3:uid="{E180A911-216B-4DF5-A49F-06CA281DB1FF}" name="Column13838"/>
    <tableColumn id="13850" xr3:uid="{E5494BC4-11FB-4867-AB00-C8CF14DF67CF}" name="Column13839"/>
    <tableColumn id="13851" xr3:uid="{B26F1FC7-5C30-44C3-ACA2-B0841B021B2D}" name="Column13840"/>
    <tableColumn id="13852" xr3:uid="{FD29C9A6-32CF-47DB-9CC0-D6E4EFDBBE69}" name="Column13841"/>
    <tableColumn id="13853" xr3:uid="{7F09C82F-4880-4D5B-B338-B8465F76CC2E}" name="Column13842"/>
    <tableColumn id="13854" xr3:uid="{E21975F5-2B47-4C30-9675-7DBFAE310387}" name="Column13843"/>
    <tableColumn id="13855" xr3:uid="{A60AA315-09F3-4500-941E-2DE2822BDF45}" name="Column13844"/>
    <tableColumn id="13856" xr3:uid="{50537248-E3F2-489C-A49E-E754F7E4A7DA}" name="Column13845"/>
    <tableColumn id="13857" xr3:uid="{36A9F919-E4C3-4E2A-8FE2-857FA050532E}" name="Column13846"/>
    <tableColumn id="13858" xr3:uid="{369F9D93-013B-40EB-BC24-EE0D8DFFDB3B}" name="Column13847"/>
    <tableColumn id="13859" xr3:uid="{E0F70709-8783-493F-814C-789D47A444E2}" name="Column13848"/>
    <tableColumn id="13860" xr3:uid="{230C8BA4-F737-43D2-AC91-8496F7FC7256}" name="Column13849"/>
    <tableColumn id="13861" xr3:uid="{1A59D631-04BC-4989-AC78-4D27C5A71571}" name="Column13850"/>
    <tableColumn id="13862" xr3:uid="{5CEC2C61-A9D9-49F0-BE11-8CFC447799DB}" name="Column13851"/>
    <tableColumn id="13863" xr3:uid="{E05221CA-7715-4DC7-B428-A8D7C00A2448}" name="Column13852"/>
    <tableColumn id="13864" xr3:uid="{6EA16168-DFE2-4E52-A919-ABB9F580A647}" name="Column13853"/>
    <tableColumn id="13865" xr3:uid="{AEC3B645-AC8C-44F1-94CE-FBA43C9AFFE1}" name="Column13854"/>
    <tableColumn id="13866" xr3:uid="{61D40FC8-BDF7-414F-A36D-37D5E4A78BB3}" name="Column13855"/>
    <tableColumn id="13867" xr3:uid="{A1A7FA75-B7E2-43C2-9AB7-C98C14ACC411}" name="Column13856"/>
    <tableColumn id="13868" xr3:uid="{11356B49-D3C3-472A-A373-985C24CB8BEC}" name="Column13857"/>
    <tableColumn id="13869" xr3:uid="{933D2869-CEC6-4B35-8603-279A0F65186A}" name="Column13858"/>
    <tableColumn id="13870" xr3:uid="{0D427E6D-975F-4D2D-B8CA-CE601259494D}" name="Column13859"/>
    <tableColumn id="13871" xr3:uid="{DBBF0354-9411-40BE-9B1C-13E9902E4439}" name="Column13860"/>
    <tableColumn id="13872" xr3:uid="{20015F01-4167-4D50-B6D4-42B4B7DBD3D8}" name="Column13861"/>
    <tableColumn id="13873" xr3:uid="{9D122753-CC58-4CD7-8304-0EDF267E8112}" name="Column13862"/>
    <tableColumn id="13874" xr3:uid="{461E2D6F-8DEF-456D-81F9-90FD7F6E9E6A}" name="Column13863"/>
    <tableColumn id="13875" xr3:uid="{8E2E3B6C-0CBA-4D19-BE06-6E29EFE3CA50}" name="Column13864"/>
    <tableColumn id="13876" xr3:uid="{ABC13FEF-FFC5-4643-BB87-679A814F9B49}" name="Column13865"/>
    <tableColumn id="13877" xr3:uid="{9729BC4E-0000-44F4-AEA5-557EFA9A5CF5}" name="Column13866"/>
    <tableColumn id="13878" xr3:uid="{82BB8268-EC64-46AB-B670-0B84F3E82BA8}" name="Column13867"/>
    <tableColumn id="13879" xr3:uid="{C94CA05D-D5BB-4DA2-810F-613787329DD3}" name="Column13868"/>
    <tableColumn id="13880" xr3:uid="{610BAEB7-EDEF-45B2-848D-F46917197C96}" name="Column13869"/>
    <tableColumn id="13881" xr3:uid="{34307614-C67C-4A47-A6D5-730AF5BFE27D}" name="Column13870"/>
    <tableColumn id="13882" xr3:uid="{3FB2CEA6-E063-4A88-890C-8D0C2A562BB5}" name="Column13871"/>
    <tableColumn id="13883" xr3:uid="{871A0263-2E61-45C9-8AF0-A97BFFAF4726}" name="Column13872"/>
    <tableColumn id="13884" xr3:uid="{1C8E4946-35A0-4B3B-A491-AE9EFD52CE1B}" name="Column13873"/>
    <tableColumn id="13885" xr3:uid="{C6BAD404-524D-40AB-B256-CE7DEE0471EF}" name="Column13874"/>
    <tableColumn id="13886" xr3:uid="{A8B08836-85A2-49A9-A08E-3CC859805A08}" name="Column13875"/>
    <tableColumn id="13887" xr3:uid="{9D65242B-753A-4938-AA8A-23192EFA7FC8}" name="Column13876"/>
    <tableColumn id="13888" xr3:uid="{466456A9-252F-4D7F-9EDC-32BF5A4E9A7E}" name="Column13877"/>
    <tableColumn id="13889" xr3:uid="{BF9D1FB6-505B-4870-A2E0-6976756CF59C}" name="Column13878"/>
    <tableColumn id="13890" xr3:uid="{B7FB12DC-C3DB-46C9-B25E-84A3305D9715}" name="Column13879"/>
    <tableColumn id="13891" xr3:uid="{D31342CE-C083-4FA6-91F8-C44B74C1B868}" name="Column13880"/>
    <tableColumn id="13892" xr3:uid="{B26F4078-4D38-47F3-A432-7258845FB2E7}" name="Column13881"/>
    <tableColumn id="13893" xr3:uid="{CBF01189-E5AE-4C18-B51B-E3F784303E5A}" name="Column13882"/>
    <tableColumn id="13894" xr3:uid="{310B59AC-C432-4C45-93E4-7CD521B8EEDE}" name="Column13883"/>
    <tableColumn id="13895" xr3:uid="{9C1C1E93-5540-4FBC-9DA9-9DAC0D18125A}" name="Column13884"/>
    <tableColumn id="13896" xr3:uid="{5F2800E2-A913-4344-A4E7-140796BFA966}" name="Column13885"/>
    <tableColumn id="13897" xr3:uid="{CDAED2D4-BB27-49A5-B2A0-EEAF15D130D8}" name="Column13886"/>
    <tableColumn id="13898" xr3:uid="{EBF4EE58-339E-4363-A9A5-198BC17ECF1C}" name="Column13887"/>
    <tableColumn id="13899" xr3:uid="{60FCD63F-6CED-4573-BC50-9BECA5FC80CF}" name="Column13888"/>
    <tableColumn id="13900" xr3:uid="{7315ACF4-2BCF-423F-B87A-555C29F61566}" name="Column13889"/>
    <tableColumn id="13901" xr3:uid="{E367C353-3ACB-4DF7-AD7A-26B1996C0796}" name="Column13890"/>
    <tableColumn id="13902" xr3:uid="{383ECD08-06C0-4A29-8C38-35C31FF30C89}" name="Column13891"/>
    <tableColumn id="13903" xr3:uid="{8F3B48DC-7767-4A6E-AFE5-A1031EC17322}" name="Column13892"/>
    <tableColumn id="13904" xr3:uid="{0F8594AB-792A-41C2-93CE-4E7DA5210383}" name="Column13893"/>
    <tableColumn id="13905" xr3:uid="{A6942CB0-3490-4814-A19F-D6A5AFF0438C}" name="Column13894"/>
    <tableColumn id="13906" xr3:uid="{0DAB97DC-11C7-4E44-A929-AB111D2A138E}" name="Column13895"/>
    <tableColumn id="13907" xr3:uid="{EF6238EB-E7D5-4A88-BE91-1AC6C0457D01}" name="Column13896"/>
    <tableColumn id="13908" xr3:uid="{2AAB359A-4C36-4094-A524-C3795237B010}" name="Column13897"/>
    <tableColumn id="13909" xr3:uid="{C598CA77-4BDF-403A-804C-C4674D3CB517}" name="Column13898"/>
    <tableColumn id="13910" xr3:uid="{C159D1B8-863B-4B7B-B3A0-B0797EFE3E08}" name="Column13899"/>
    <tableColumn id="13911" xr3:uid="{90E122FC-26C0-41DB-B25C-ED709DA83517}" name="Column13900"/>
    <tableColumn id="13912" xr3:uid="{DBE82D7D-73C6-4EC1-BD42-AB16E62EAD6F}" name="Column13901"/>
    <tableColumn id="13913" xr3:uid="{F4518532-912B-4E25-8BE5-966B60820E6E}" name="Column13902"/>
    <tableColumn id="13914" xr3:uid="{6D2AA587-57C1-43AA-A545-2C96E68F645C}" name="Column13903"/>
    <tableColumn id="13915" xr3:uid="{62005914-4E8C-48F3-B11D-53FA887F6818}" name="Column13904"/>
    <tableColumn id="13916" xr3:uid="{B65ACC01-36B9-4431-8ABF-AF61B123703A}" name="Column13905"/>
    <tableColumn id="13917" xr3:uid="{B2D66C7C-0F14-4F4E-A62E-F19AB560E437}" name="Column13906"/>
    <tableColumn id="13918" xr3:uid="{66D0BE98-5A14-4076-8249-D40C712DE0D6}" name="Column13907"/>
    <tableColumn id="13919" xr3:uid="{383BCFD6-7B12-45DF-9A19-E7608584C3A6}" name="Column13908"/>
    <tableColumn id="13920" xr3:uid="{503A52E0-3381-4A0F-95B8-7470057A34AA}" name="Column13909"/>
    <tableColumn id="13921" xr3:uid="{2D2D68B7-A9B1-403F-8DDA-B13334A11CEF}" name="Column13910"/>
    <tableColumn id="13922" xr3:uid="{C9B86B6E-D983-46CA-8425-EA67DBF04264}" name="Column13911"/>
    <tableColumn id="13923" xr3:uid="{8199E4AF-93B7-4E6E-9863-DA69DB8699C1}" name="Column13912"/>
    <tableColumn id="13924" xr3:uid="{E3B30CD0-2020-4AF4-A9C5-AEFFAF7A822C}" name="Column13913"/>
    <tableColumn id="13925" xr3:uid="{1BADA272-234C-4107-8BEF-3301D951DE42}" name="Column13914"/>
    <tableColumn id="13926" xr3:uid="{B71C3126-A733-4B7C-870C-5E7FFE6976D8}" name="Column13915"/>
    <tableColumn id="13927" xr3:uid="{02C51565-9F6D-415C-8F32-EE6CA4992325}" name="Column13916"/>
    <tableColumn id="13928" xr3:uid="{16237F86-5B93-410A-B73D-9F9625068B15}" name="Column13917"/>
    <tableColumn id="13929" xr3:uid="{002AFD31-5A09-4ACE-8D2F-3AE4FE303D47}" name="Column13918"/>
    <tableColumn id="13930" xr3:uid="{7F34FA3D-C821-4C92-9B99-6463F2B87C2B}" name="Column13919"/>
    <tableColumn id="13931" xr3:uid="{609D2A1E-2CC2-49E0-9201-26B73E206439}" name="Column13920"/>
    <tableColumn id="13932" xr3:uid="{24FF569A-7D34-4FAB-83C3-BC045D4DD927}" name="Column13921"/>
    <tableColumn id="13933" xr3:uid="{673B1880-59A9-460B-A874-623FFD078DC5}" name="Column13922"/>
    <tableColumn id="13934" xr3:uid="{5E5BC9D6-95D4-4B17-9939-7F26B6A714FB}" name="Column13923"/>
    <tableColumn id="13935" xr3:uid="{BC9D2E9F-4048-4E23-9898-ADA290EF9041}" name="Column13924"/>
    <tableColumn id="13936" xr3:uid="{138C6E68-C96B-46FE-B556-7B71C6208AFC}" name="Column13925"/>
    <tableColumn id="13937" xr3:uid="{602C8BEE-6630-4405-BB7D-2C2451704181}" name="Column13926"/>
    <tableColumn id="13938" xr3:uid="{C3D93002-AF89-4D53-A24A-F531F55D177A}" name="Column13927"/>
    <tableColumn id="13939" xr3:uid="{B610E42A-5C08-4FD1-BC4C-BFC483ED0A81}" name="Column13928"/>
    <tableColumn id="13940" xr3:uid="{EC9097A1-BCCA-4F14-AEF9-29170A3AE29D}" name="Column13929"/>
    <tableColumn id="13941" xr3:uid="{BA3E0822-14A7-41DB-95F5-8C81A2C2AD07}" name="Column13930"/>
    <tableColumn id="13942" xr3:uid="{A5737BEE-6075-4686-898C-EE1981AE18DE}" name="Column13931"/>
    <tableColumn id="13943" xr3:uid="{2873387E-B19D-408E-AD5F-83222E2D0DAC}" name="Column13932"/>
    <tableColumn id="13944" xr3:uid="{A7B98925-C52A-44B6-904D-3F99BB96738F}" name="Column13933"/>
    <tableColumn id="13945" xr3:uid="{86DE42EF-0E26-45EB-90CE-546C895A6920}" name="Column13934"/>
    <tableColumn id="13946" xr3:uid="{1ED6D8CE-E2B2-4FB7-9AE9-999D3B5070C1}" name="Column13935"/>
    <tableColumn id="13947" xr3:uid="{ABDC41AE-5E6C-4B89-8239-17D329970C49}" name="Column13936"/>
    <tableColumn id="13948" xr3:uid="{7180D65A-D14D-495A-8CF4-6D2D962FC1BC}" name="Column13937"/>
    <tableColumn id="13949" xr3:uid="{0B3B6731-5E24-457B-93A2-530838737D70}" name="Column13938"/>
    <tableColumn id="13950" xr3:uid="{5511068C-0DBF-456C-8333-22052B9E51BE}" name="Column13939"/>
    <tableColumn id="13951" xr3:uid="{ABC9264D-A31E-4702-8421-EB2BBB6722C2}" name="Column13940"/>
    <tableColumn id="13952" xr3:uid="{468F9A27-8F8E-489C-8885-5AC7718ADCF2}" name="Column13941"/>
    <tableColumn id="13953" xr3:uid="{0B17F194-7AE4-4A9A-B548-91468CA6D590}" name="Column13942"/>
    <tableColumn id="13954" xr3:uid="{09EA0C55-3F4F-4FD9-9D90-3089B408AF40}" name="Column13943"/>
    <tableColumn id="13955" xr3:uid="{69A1E135-352B-4551-BFB4-7CFD287A320F}" name="Column13944"/>
    <tableColumn id="13956" xr3:uid="{F17FA214-9864-4E56-A901-D1BA80A331D5}" name="Column13945"/>
    <tableColumn id="13957" xr3:uid="{D4F02182-1639-4800-B28E-91AA25FF8A23}" name="Column13946"/>
    <tableColumn id="13958" xr3:uid="{5777F560-5B80-4543-92C9-907052746EFD}" name="Column13947"/>
    <tableColumn id="13959" xr3:uid="{06FDB738-B3AF-4501-ACD3-0CF6D2B60BE9}" name="Column13948"/>
    <tableColumn id="13960" xr3:uid="{0CEDE847-653B-438E-A467-B770EBDC03ED}" name="Column13949"/>
    <tableColumn id="13961" xr3:uid="{A88F1928-36EB-42AB-B707-1758F30769B9}" name="Column13950"/>
    <tableColumn id="13962" xr3:uid="{5C9930A7-86F4-428B-AAA7-73A7EDD5138F}" name="Column13951"/>
    <tableColumn id="13963" xr3:uid="{BE1FD73E-8CE8-4447-AD87-F00EAF5DAFB8}" name="Column13952"/>
    <tableColumn id="13964" xr3:uid="{C2547376-3C9B-4ACE-B729-F01E387DE41E}" name="Column13953"/>
    <tableColumn id="13965" xr3:uid="{492B2243-935F-4F89-8DD7-754527A6B3FA}" name="Column13954"/>
    <tableColumn id="13966" xr3:uid="{0AB2EAD8-451B-47CC-B09F-4F5BC57FC306}" name="Column13955"/>
    <tableColumn id="13967" xr3:uid="{215EE7B4-62C2-4F70-97D3-FEAF0CE3D78E}" name="Column13956"/>
    <tableColumn id="13968" xr3:uid="{430C3251-9522-451A-A516-CDBD1D8E65DA}" name="Column13957"/>
    <tableColumn id="13969" xr3:uid="{CBD030B6-E8DA-4492-B448-020E88B8BAA9}" name="Column13958"/>
    <tableColumn id="13970" xr3:uid="{414E26EF-1EEE-402C-A7D4-7458085E82E9}" name="Column13959"/>
    <tableColumn id="13971" xr3:uid="{5D9EC084-7347-4069-8D92-30C315473D89}" name="Column13960"/>
    <tableColumn id="13972" xr3:uid="{A1ADD3DC-B42E-4E83-99F7-FDF9CDAB1D66}" name="Column13961"/>
    <tableColumn id="13973" xr3:uid="{6FC1694B-473D-4D6E-B3E0-155161D36B49}" name="Column13962"/>
    <tableColumn id="13974" xr3:uid="{6938AB09-4A76-4D14-BDD3-757FA773A072}" name="Column13963"/>
    <tableColumn id="13975" xr3:uid="{04E73C49-8425-4087-A7D1-1EAF4BCAB539}" name="Column13964"/>
    <tableColumn id="13976" xr3:uid="{CF3F8476-D88B-4F0D-B146-0E33C02B759D}" name="Column13965"/>
    <tableColumn id="13977" xr3:uid="{A8AD3ABA-8C98-4F5A-9C8E-18B42A6ACD81}" name="Column13966"/>
    <tableColumn id="13978" xr3:uid="{0D88E0D3-373F-4437-84CF-FD7677395723}" name="Column13967"/>
    <tableColumn id="13979" xr3:uid="{B56C8193-9F6D-4BB5-B090-A1EEAA0F2DA3}" name="Column13968"/>
    <tableColumn id="13980" xr3:uid="{69FFAA8C-4040-4C1A-ABE6-4AACB94A9E3C}" name="Column13969"/>
    <tableColumn id="13981" xr3:uid="{94EF5EB6-3E9C-45D7-BB88-AD55F958FA38}" name="Column13970"/>
    <tableColumn id="13982" xr3:uid="{85A5B5D5-F844-47F8-8EAE-FFC3C6326BA2}" name="Column13971"/>
    <tableColumn id="13983" xr3:uid="{060D4A78-FE9B-41A2-9549-8D942D59AFAA}" name="Column13972"/>
    <tableColumn id="13984" xr3:uid="{4304B88B-F17B-49B3-9CAD-974B3C3CF1C5}" name="Column13973"/>
    <tableColumn id="13985" xr3:uid="{937B5BE5-0BC4-452F-B446-1B52197DF156}" name="Column13974"/>
    <tableColumn id="13986" xr3:uid="{463F116E-D961-4879-9384-9DD7EB80117D}" name="Column13975"/>
    <tableColumn id="13987" xr3:uid="{13A167E6-45A1-48FA-B7C8-126BA478AA9C}" name="Column13976"/>
    <tableColumn id="13988" xr3:uid="{5D0C9D2B-A00F-4646-9939-1B2E2DDDDFBE}" name="Column13977"/>
    <tableColumn id="13989" xr3:uid="{9C04D6E3-7A88-4FE9-A4C1-D2A6D61B000A}" name="Column13978"/>
    <tableColumn id="13990" xr3:uid="{3F8EC497-3510-448F-A85D-EF04F39C527A}" name="Column13979"/>
    <tableColumn id="13991" xr3:uid="{91FB5480-36E3-4657-AD70-D348D49B8EA9}" name="Column13980"/>
    <tableColumn id="13992" xr3:uid="{77C12726-C953-42D6-BF64-B18690E9AE81}" name="Column13981"/>
    <tableColumn id="13993" xr3:uid="{363F30CC-87A1-467D-82FC-72B69EFB992D}" name="Column13982"/>
    <tableColumn id="13994" xr3:uid="{50BADB15-9E47-49DB-A908-294B3D6B3671}" name="Column13983"/>
    <tableColumn id="13995" xr3:uid="{FDFEF0C4-2B9A-4324-B8D5-530B94FAAE6D}" name="Column13984"/>
    <tableColumn id="13996" xr3:uid="{F7EA815F-D721-449A-9FFD-EF8C69721239}" name="Column13985"/>
    <tableColumn id="13997" xr3:uid="{2FC49224-E9E5-4541-BEAC-1EE61D187022}" name="Column13986"/>
    <tableColumn id="13998" xr3:uid="{A0C88119-7A42-4F26-AC72-FC9951EEF46F}" name="Column13987"/>
    <tableColumn id="13999" xr3:uid="{FF813890-365A-4226-9017-6527AA2B4509}" name="Column13988"/>
    <tableColumn id="14000" xr3:uid="{C9432233-45B1-43F5-A149-70B99E3D1DAA}" name="Column13989"/>
    <tableColumn id="14001" xr3:uid="{0B20A2E3-DD3A-41AA-8C4D-5B4D43B692D6}" name="Column13990"/>
    <tableColumn id="14002" xr3:uid="{250F919D-3D86-488A-A518-602779FF2A34}" name="Column13991"/>
    <tableColumn id="14003" xr3:uid="{0FD36EA8-AA31-454B-A9C1-80A9D491C336}" name="Column13992"/>
    <tableColumn id="14004" xr3:uid="{F6980A15-FA8E-4C06-904C-E232A42C62B2}" name="Column13993"/>
    <tableColumn id="14005" xr3:uid="{4F2D6005-B2BC-4A04-BD63-F2ECCC18821E}" name="Column13994"/>
    <tableColumn id="14006" xr3:uid="{B50A37A0-0EAB-408F-9DCC-706AB5EBB15F}" name="Column13995"/>
    <tableColumn id="14007" xr3:uid="{A222814F-D04E-4C59-838A-BCF7B19EDD63}" name="Column13996"/>
    <tableColumn id="14008" xr3:uid="{8C841844-2E31-4AEC-995F-7541385DC361}" name="Column13997"/>
    <tableColumn id="14009" xr3:uid="{5F332A92-0ED4-4662-8395-DDDB14CD98C9}" name="Column13998"/>
    <tableColumn id="14010" xr3:uid="{B49310A8-AE90-41AF-90A5-1B9DC4D0C732}" name="Column13999"/>
    <tableColumn id="14011" xr3:uid="{21F5754D-C6F6-4B87-ADA0-81E87F1BC2E4}" name="Column14000"/>
    <tableColumn id="14012" xr3:uid="{35E2EDD0-B4B1-47E8-8EF7-1B13DD23D548}" name="Column14001"/>
    <tableColumn id="14013" xr3:uid="{49D4E9DC-3A50-4C37-AEDE-0FC54C82BE33}" name="Column14002"/>
    <tableColumn id="14014" xr3:uid="{6E8CEF08-487F-42AE-9589-EBB3CC380ED1}" name="Column14003"/>
    <tableColumn id="14015" xr3:uid="{B882A031-CECE-4BC3-BF7C-758A6EF15E20}" name="Column14004"/>
    <tableColumn id="14016" xr3:uid="{1B071D3F-9736-419C-BF88-47655EC8F110}" name="Column14005"/>
    <tableColumn id="14017" xr3:uid="{0019EFF6-8F26-4225-A33B-4576296EADDD}" name="Column14006"/>
    <tableColumn id="14018" xr3:uid="{0BF643F4-1795-4668-A428-465E9D1BCDAA}" name="Column14007"/>
    <tableColumn id="14019" xr3:uid="{198EC460-6DC0-4307-AA5D-6C8B59FDBA60}" name="Column14008"/>
    <tableColumn id="14020" xr3:uid="{8391BE89-F9E4-4B92-B2E8-353C5DC37907}" name="Column14009"/>
    <tableColumn id="14021" xr3:uid="{408CB78D-B1DB-44B1-87BF-8D2A64A445DC}" name="Column14010"/>
    <tableColumn id="14022" xr3:uid="{ABDD5C79-DCF3-4D47-836F-49846519DB68}" name="Column14011"/>
    <tableColumn id="14023" xr3:uid="{D18FB9A1-6F5D-4C83-9032-887C6C769B8E}" name="Column14012"/>
    <tableColumn id="14024" xr3:uid="{D62E4D6B-0314-45CE-9E15-BCC0D2032A5E}" name="Column14013"/>
    <tableColumn id="14025" xr3:uid="{0A98D189-C5FD-4BE8-810E-C1EB08858724}" name="Column14014"/>
    <tableColumn id="14026" xr3:uid="{FA8544C5-0B72-4964-A6F5-6564B6A1374C}" name="Column14015"/>
    <tableColumn id="14027" xr3:uid="{91FAAE7E-469B-4E8E-9041-C5A6C442A52B}" name="Column14016"/>
    <tableColumn id="14028" xr3:uid="{FABF900E-D250-4E10-A048-2E40AD01C28A}" name="Column14017"/>
    <tableColumn id="14029" xr3:uid="{DE182E9F-5905-4AAC-855D-316367E926CF}" name="Column14018"/>
    <tableColumn id="14030" xr3:uid="{A21570ED-6267-4658-84E9-EEF959B51936}" name="Column14019"/>
    <tableColumn id="14031" xr3:uid="{80F3E8B5-B635-4800-A1D5-66F574106774}" name="Column14020"/>
    <tableColumn id="14032" xr3:uid="{2D75E810-3F73-4849-90A8-3A09239EC9A2}" name="Column14021"/>
    <tableColumn id="14033" xr3:uid="{C70E6ED4-D7DB-4E55-8FC0-8D260919D17D}" name="Column14022"/>
    <tableColumn id="14034" xr3:uid="{FAFAA96C-4FB3-4AF3-A76A-29853604D1F3}" name="Column14023"/>
    <tableColumn id="14035" xr3:uid="{797EFE00-2D70-47FC-A52B-07BBC124BA55}" name="Column14024"/>
    <tableColumn id="14036" xr3:uid="{6DD36079-CE98-4755-AE28-738F7CB4B86C}" name="Column14025"/>
    <tableColumn id="14037" xr3:uid="{F5AE3673-C4D5-41E3-BEA3-D3351314BE90}" name="Column14026"/>
    <tableColumn id="14038" xr3:uid="{9E1A2C48-3E97-40FF-BE3A-7BE7D69CEF6E}" name="Column14027"/>
    <tableColumn id="14039" xr3:uid="{738B2FF4-F6C1-4F71-AE83-9460C8486CED}" name="Column14028"/>
    <tableColumn id="14040" xr3:uid="{0D39223B-658A-40E3-87A3-872D60EEFABC}" name="Column14029"/>
    <tableColumn id="14041" xr3:uid="{4DCE206B-7985-4C54-A0F7-AA7A79B5DC08}" name="Column14030"/>
    <tableColumn id="14042" xr3:uid="{09F13D2F-7326-4E6D-B65D-CB1823244514}" name="Column14031"/>
    <tableColumn id="14043" xr3:uid="{0E0EBC04-1B24-4E5D-8FFF-54B4F07B8155}" name="Column14032"/>
    <tableColumn id="14044" xr3:uid="{9BD93D40-8FC8-46CE-BE0B-CC12A4565C1D}" name="Column14033"/>
    <tableColumn id="14045" xr3:uid="{73CA860B-AF21-431F-B993-2D10AD36158F}" name="Column14034"/>
    <tableColumn id="14046" xr3:uid="{2450ABF8-F07E-4AB4-837C-6A820DFE8C0E}" name="Column14035"/>
    <tableColumn id="14047" xr3:uid="{5C0101D4-470A-479B-A1C7-4C742A25A3E0}" name="Column14036"/>
    <tableColumn id="14048" xr3:uid="{27E8B669-B7A4-49DC-83EF-7A51FEB52926}" name="Column14037"/>
    <tableColumn id="14049" xr3:uid="{932E527A-539F-42DF-9399-A62335771BB8}" name="Column14038"/>
    <tableColumn id="14050" xr3:uid="{598B9206-A8DD-4054-8062-042525F08786}" name="Column14039"/>
    <tableColumn id="14051" xr3:uid="{6AC256CA-8233-45A2-BA23-EC2D4E4767D4}" name="Column14040"/>
    <tableColumn id="14052" xr3:uid="{E464D465-61E8-4525-B413-151CC65FE88E}" name="Column14041"/>
    <tableColumn id="14053" xr3:uid="{542EE596-385D-42FD-88E5-2A6470CB5F37}" name="Column14042"/>
    <tableColumn id="14054" xr3:uid="{90BDC3A1-56F2-4CA7-8C5F-F0FB0B5BF221}" name="Column14043"/>
    <tableColumn id="14055" xr3:uid="{A1A47247-173E-4AEF-A402-0BEABB2E95A8}" name="Column14044"/>
    <tableColumn id="14056" xr3:uid="{042EC995-10DC-483F-B1FE-E35B9A444317}" name="Column14045"/>
    <tableColumn id="14057" xr3:uid="{4ACA5724-8DA1-435A-B190-92CF94987958}" name="Column14046"/>
    <tableColumn id="14058" xr3:uid="{EDDE0598-B517-4488-9214-0E9BB5A6FE5C}" name="Column14047"/>
    <tableColumn id="14059" xr3:uid="{59A552E7-C111-46A0-A9CF-3E7E0C261EBD}" name="Column14048"/>
    <tableColumn id="14060" xr3:uid="{714D9E69-79D4-4BD7-A72C-F72B1C807A79}" name="Column14049"/>
    <tableColumn id="14061" xr3:uid="{D74E2C29-1024-4478-BBC3-A96161EBD422}" name="Column14050"/>
    <tableColumn id="14062" xr3:uid="{DC938497-5448-4618-91A6-2845859773CC}" name="Column14051"/>
    <tableColumn id="14063" xr3:uid="{158F3FD5-73AC-4C80-B356-EA5493B203B9}" name="Column14052"/>
    <tableColumn id="14064" xr3:uid="{7F0D6B28-7DED-4B96-8233-46B429781304}" name="Column14053"/>
    <tableColumn id="14065" xr3:uid="{9FDAE497-CED0-43E0-8A90-93D72CEB5D6D}" name="Column14054"/>
    <tableColumn id="14066" xr3:uid="{3F2E3422-04A4-4326-8E59-8681E8249272}" name="Column14055"/>
    <tableColumn id="14067" xr3:uid="{C30EF4C3-A0A4-4FA5-82E4-591EB904C2F2}" name="Column14056"/>
    <tableColumn id="14068" xr3:uid="{3EDCA44A-0BBE-4966-81A0-9A281F0DD087}" name="Column14057"/>
    <tableColumn id="14069" xr3:uid="{79C4BEF8-8EDD-4782-B503-5956EC454CD1}" name="Column14058"/>
    <tableColumn id="14070" xr3:uid="{1E0C2A9F-81F9-4605-9B8F-6AAB57173678}" name="Column14059"/>
    <tableColumn id="14071" xr3:uid="{8D0B0D00-B853-42FA-967C-43A2C42173A2}" name="Column14060"/>
    <tableColumn id="14072" xr3:uid="{699E121E-91FF-45A2-B79E-C1446EA2517C}" name="Column14061"/>
    <tableColumn id="14073" xr3:uid="{9F73E64C-005A-417D-B9DF-3F85375C06FF}" name="Column14062"/>
    <tableColumn id="14074" xr3:uid="{33ACB33D-879C-41E6-B9C2-52F68A74C7EB}" name="Column14063"/>
    <tableColumn id="14075" xr3:uid="{59493FC8-50A9-4A36-A6D8-43EDA2C2EA25}" name="Column14064"/>
    <tableColumn id="14076" xr3:uid="{BE9E7D57-A29E-47DC-AD62-74A2E066ACAE}" name="Column14065"/>
    <tableColumn id="14077" xr3:uid="{F1753A94-AE82-4ABD-AFF4-FD825963068B}" name="Column14066"/>
    <tableColumn id="14078" xr3:uid="{12C46B09-1203-44F8-B688-6B2C48D34205}" name="Column14067"/>
    <tableColumn id="14079" xr3:uid="{3AAE71F8-C88F-4113-849E-46F0EB282DC5}" name="Column14068"/>
    <tableColumn id="14080" xr3:uid="{4795CA88-2271-4D50-8706-58C5AA1AE4DF}" name="Column14069"/>
    <tableColumn id="14081" xr3:uid="{0652F719-3E98-4818-8222-3B3A0C9BA2EA}" name="Column14070"/>
    <tableColumn id="14082" xr3:uid="{2D44C7B0-17BD-44DD-AAF7-A383DD2D37E3}" name="Column14071"/>
    <tableColumn id="14083" xr3:uid="{A8C3E67B-A9F5-4903-96D6-581E46CD7B70}" name="Column14072"/>
    <tableColumn id="14084" xr3:uid="{6740A414-C497-4F62-9C84-53F09E0BB5B4}" name="Column14073"/>
    <tableColumn id="14085" xr3:uid="{FD88FC1B-4755-4322-986A-E2FE71768C30}" name="Column14074"/>
    <tableColumn id="14086" xr3:uid="{5A94139C-933F-465C-A891-7AE5FF43B374}" name="Column14075"/>
    <tableColumn id="14087" xr3:uid="{B21C6FE2-0500-4D38-AB9F-E1E5419963AF}" name="Column14076"/>
    <tableColumn id="14088" xr3:uid="{F7B3ECA4-AD9E-495C-A1F5-5551B6F6F9FF}" name="Column14077"/>
    <tableColumn id="14089" xr3:uid="{307F8943-4165-430F-B06E-9A6EBBBA38D3}" name="Column14078"/>
    <tableColumn id="14090" xr3:uid="{EE1BB9DB-3C6C-4CC5-B8A6-2BEE07AEF25B}" name="Column14079"/>
    <tableColumn id="14091" xr3:uid="{1605A876-327A-4D6D-95EF-9017B3A3F6F4}" name="Column14080"/>
    <tableColumn id="14092" xr3:uid="{34C73777-0085-4F5F-807C-041928212EC8}" name="Column14081"/>
    <tableColumn id="14093" xr3:uid="{3C92C22A-9904-4551-9636-B5757A0ECA71}" name="Column14082"/>
    <tableColumn id="14094" xr3:uid="{04A1DB13-EDD3-44EA-B1F1-3CB8643D8090}" name="Column14083"/>
    <tableColumn id="14095" xr3:uid="{A91EADF2-3703-4C8F-992E-2A8E63C3ED58}" name="Column14084"/>
    <tableColumn id="14096" xr3:uid="{9BB87D69-E35D-400D-9E89-1E565C7BAEDB}" name="Column14085"/>
    <tableColumn id="14097" xr3:uid="{BF7342F4-3D48-4191-837F-A60B3EAA068C}" name="Column14086"/>
    <tableColumn id="14098" xr3:uid="{27642B2B-9A0F-40BC-9B45-6426CF3B747C}" name="Column14087"/>
    <tableColumn id="14099" xr3:uid="{0936034A-9D53-4F54-95BD-8C38E72F7EE7}" name="Column14088"/>
    <tableColumn id="14100" xr3:uid="{6793972A-AB31-4E92-A89F-FE67D60E9CF1}" name="Column14089"/>
    <tableColumn id="14101" xr3:uid="{B96A640D-1F1A-4759-80CF-D32F4243B36D}" name="Column14090"/>
    <tableColumn id="14102" xr3:uid="{D9BE5EBF-7116-40A9-95F4-30432DE178FC}" name="Column14091"/>
    <tableColumn id="14103" xr3:uid="{212F8994-64D3-4EE1-9BF5-2EEDE332805C}" name="Column14092"/>
    <tableColumn id="14104" xr3:uid="{836EA2ED-B23E-426E-B0DD-7337A97C0D9D}" name="Column14093"/>
    <tableColumn id="14105" xr3:uid="{923F3E8F-9C49-47BC-8E6F-4E8B2A9A3212}" name="Column14094"/>
    <tableColumn id="14106" xr3:uid="{CAE4E848-08BD-4AB0-A7E0-BBECA88AB3A4}" name="Column14095"/>
    <tableColumn id="14107" xr3:uid="{B6890DB1-A1C0-4084-87CC-72E6EF1024D4}" name="Column14096"/>
    <tableColumn id="14108" xr3:uid="{2C9F04D7-9F93-4C8F-9F44-591DCC356D63}" name="Column14097"/>
    <tableColumn id="14109" xr3:uid="{24483239-3042-4536-B79E-CBFC32302E82}" name="Column14098"/>
    <tableColumn id="14110" xr3:uid="{CB3300B5-E66A-4FCB-80F0-6D5225E6F8DC}" name="Column14099"/>
    <tableColumn id="14111" xr3:uid="{1CA021BB-1E91-463E-9376-033DCFC0F627}" name="Column14100"/>
    <tableColumn id="14112" xr3:uid="{60672088-97C1-4C57-AC94-3835A607A059}" name="Column14101"/>
    <tableColumn id="14113" xr3:uid="{E2CE5C44-CCA8-46E2-8C9B-7A9231F1FA15}" name="Column14102"/>
    <tableColumn id="14114" xr3:uid="{3E17A48C-3DB4-40CC-9350-7D32BD16CB6C}" name="Column14103"/>
    <tableColumn id="14115" xr3:uid="{38E49526-40DF-44DF-B2DF-19C95231AD79}" name="Column14104"/>
    <tableColumn id="14116" xr3:uid="{8D5A908F-43F5-463D-B961-8EC0DC0802B4}" name="Column14105"/>
    <tableColumn id="14117" xr3:uid="{CFF2E28E-988F-4DC7-A977-F8F5126C601A}" name="Column14106"/>
    <tableColumn id="14118" xr3:uid="{2AED2AAD-39C9-4F45-ADE3-F853EEB838DC}" name="Column14107"/>
    <tableColumn id="14119" xr3:uid="{052BFD9E-EDC0-40CA-AF90-4B85A2A18A16}" name="Column14108"/>
    <tableColumn id="14120" xr3:uid="{471C097F-6DA0-490F-BFA5-56D1953BA0FE}" name="Column14109"/>
    <tableColumn id="14121" xr3:uid="{487CFAEA-C039-4BCD-AEBF-4AE2907D37E1}" name="Column14110"/>
    <tableColumn id="14122" xr3:uid="{0257E5C1-25BD-4FAA-82E8-9E02169A033D}" name="Column14111"/>
    <tableColumn id="14123" xr3:uid="{7DEA353D-82F3-4A44-830C-8E979473F7C4}" name="Column14112"/>
    <tableColumn id="14124" xr3:uid="{3CF478CF-399D-45CF-AEB5-DDF0E5C75EA8}" name="Column14113"/>
    <tableColumn id="14125" xr3:uid="{5DF764A2-A323-4148-9D16-8A58510A8C55}" name="Column14114"/>
    <tableColumn id="14126" xr3:uid="{08242D10-9640-420C-9318-CDC90B20B193}" name="Column14115"/>
    <tableColumn id="14127" xr3:uid="{C7F2E1F8-5F51-4656-AA78-2E2BCD58DFD0}" name="Column14116"/>
    <tableColumn id="14128" xr3:uid="{19C02B3A-81AC-4AF3-AF3C-92F3BB23B8EC}" name="Column14117"/>
    <tableColumn id="14129" xr3:uid="{B3956070-FAE2-4923-8539-E14F3935BB67}" name="Column14118"/>
    <tableColumn id="14130" xr3:uid="{53536E95-1D4A-4718-ABC7-B69E1050EB1F}" name="Column14119"/>
    <tableColumn id="14131" xr3:uid="{0374FC28-9D84-491D-861F-DDFC79C8B05F}" name="Column14120"/>
    <tableColumn id="14132" xr3:uid="{F3ABE84D-84BB-4027-875E-16969DE594CC}" name="Column14121"/>
    <tableColumn id="14133" xr3:uid="{06E32AF6-1A6D-4628-A28A-6F29B80FF4D7}" name="Column14122"/>
    <tableColumn id="14134" xr3:uid="{46905449-1AE1-4D19-93C7-08DD9BBA5377}" name="Column14123"/>
    <tableColumn id="14135" xr3:uid="{31803E94-F1FC-40F2-9A6D-5E3A2B483B58}" name="Column14124"/>
    <tableColumn id="14136" xr3:uid="{3EB735CC-C962-40DD-A65F-C2EB51497028}" name="Column14125"/>
    <tableColumn id="14137" xr3:uid="{D9AD8F04-42F0-4205-8CC2-2F8B1B782FC3}" name="Column14126"/>
    <tableColumn id="14138" xr3:uid="{D780EF6B-4DCD-4D09-ADB0-588411752C3C}" name="Column14127"/>
    <tableColumn id="14139" xr3:uid="{5D34E88B-4506-4107-BC98-B0E24FA4F00D}" name="Column14128"/>
    <tableColumn id="14140" xr3:uid="{7CF2E687-740C-4D3C-B9C9-96D96F141D47}" name="Column14129"/>
    <tableColumn id="14141" xr3:uid="{44408536-B1A1-4E40-BEAF-2B0277BC9C7A}" name="Column14130"/>
    <tableColumn id="14142" xr3:uid="{BD8DB9E7-2DAC-4520-807C-2407998FC9A7}" name="Column14131"/>
    <tableColumn id="14143" xr3:uid="{8A2C3B6C-FAB9-401F-A4D3-5116B213DBE9}" name="Column14132"/>
    <tableColumn id="14144" xr3:uid="{1C3914C6-582C-48E1-B301-1E658E0556C0}" name="Column14133"/>
    <tableColumn id="14145" xr3:uid="{0CEF048A-AD20-40A7-A158-BC0DF85BEF10}" name="Column14134"/>
    <tableColumn id="14146" xr3:uid="{81631E09-481B-48C8-A98E-031E23CC778C}" name="Column14135"/>
    <tableColumn id="14147" xr3:uid="{990D6886-7490-4F45-AD45-5E3DCBFF7903}" name="Column14136"/>
    <tableColumn id="14148" xr3:uid="{8F5D9B45-F6D9-4992-B630-297F4B514CBF}" name="Column14137"/>
    <tableColumn id="14149" xr3:uid="{60D4A0A1-3E0A-4D94-9EE8-C6C66C7A3FCD}" name="Column14138"/>
    <tableColumn id="14150" xr3:uid="{2BDD158B-0033-4F04-A368-AD6A44A1C6F2}" name="Column14139"/>
    <tableColumn id="14151" xr3:uid="{FBEC86F5-0FE6-4FDC-B5B6-8897AF23586B}" name="Column14140"/>
    <tableColumn id="14152" xr3:uid="{6810DC6A-05D5-4538-91B3-C0734E557E86}" name="Column14141"/>
    <tableColumn id="14153" xr3:uid="{A0074587-74D7-45BF-A6E7-D40D42DC0777}" name="Column14142"/>
    <tableColumn id="14154" xr3:uid="{F7385F18-CEC0-46E2-8F6E-2C7EF0C1107D}" name="Column14143"/>
    <tableColumn id="14155" xr3:uid="{C6554938-3401-45E2-90B0-0A77BFEAA935}" name="Column14144"/>
    <tableColumn id="14156" xr3:uid="{D4667AD6-931B-4121-827A-CBD4C8848583}" name="Column14145"/>
    <tableColumn id="14157" xr3:uid="{B01C067E-F1BA-4935-9E9F-3C12A78DABBD}" name="Column14146"/>
    <tableColumn id="14158" xr3:uid="{6D06CAA3-E708-4B7A-8105-8FA6A5D8B8B5}" name="Column14147"/>
    <tableColumn id="14159" xr3:uid="{1A3BA754-D192-4B1D-A6F4-B5B8296122BC}" name="Column14148"/>
    <tableColumn id="14160" xr3:uid="{46ECB208-554F-4A20-AE93-F789E0D5E854}" name="Column14149"/>
    <tableColumn id="14161" xr3:uid="{70BFC3EB-C7E5-4021-91FD-4B45C0E60F1D}" name="Column14150"/>
    <tableColumn id="14162" xr3:uid="{70E4F0F9-7221-4D98-99B8-70791B0A39E3}" name="Column14151"/>
    <tableColumn id="14163" xr3:uid="{2E5DF38C-1F78-460D-9FC7-76AEBA4E84F6}" name="Column14152"/>
    <tableColumn id="14164" xr3:uid="{0BDF1BCB-7A8D-4101-96C0-35C84EB2022E}" name="Column14153"/>
    <tableColumn id="14165" xr3:uid="{0B7F82E6-3029-47B8-99E4-64BBD1D6D969}" name="Column14154"/>
    <tableColumn id="14166" xr3:uid="{49147771-B28C-4822-BC17-F784E1F0068C}" name="Column14155"/>
    <tableColumn id="14167" xr3:uid="{9BB82007-53E4-4E45-90A1-385ED1DE9C94}" name="Column14156"/>
    <tableColumn id="14168" xr3:uid="{47037769-5442-4F1F-97FB-75D7DEF8F7F7}" name="Column14157"/>
    <tableColumn id="14169" xr3:uid="{C852BB14-B79F-4E8E-9104-9AEADC1302B7}" name="Column14158"/>
    <tableColumn id="14170" xr3:uid="{35E24FA3-27B4-470F-B595-81B40BEE0A55}" name="Column14159"/>
    <tableColumn id="14171" xr3:uid="{A9A48B76-C3C9-4F4E-9AE5-8D9717825CB8}" name="Column14160"/>
    <tableColumn id="14172" xr3:uid="{C079B2A5-85AF-4C7F-919F-1FADF9E7AA30}" name="Column14161"/>
    <tableColumn id="14173" xr3:uid="{8C0DCCF1-7DA2-45D6-9A7D-FA4B19662BF8}" name="Column14162"/>
    <tableColumn id="14174" xr3:uid="{DB22BFD6-66B9-4F8C-A1B7-AC7B4E9924C6}" name="Column14163"/>
    <tableColumn id="14175" xr3:uid="{14D69754-9947-4B16-8A90-879C56CFCD68}" name="Column14164"/>
    <tableColumn id="14176" xr3:uid="{651E3ECF-D4AE-426A-A9A9-8F6DB7D9615D}" name="Column14165"/>
    <tableColumn id="14177" xr3:uid="{4EE6B0E7-33D0-470E-BDDE-27FFB9783570}" name="Column14166"/>
    <tableColumn id="14178" xr3:uid="{813BE28D-B854-4FFE-89FC-C9739908103E}" name="Column14167"/>
    <tableColumn id="14179" xr3:uid="{8575A603-08CD-4744-BEAF-50F0596FC77D}" name="Column14168"/>
    <tableColumn id="14180" xr3:uid="{2C2CC895-BD50-4F53-A93C-6B4D300723ED}" name="Column14169"/>
    <tableColumn id="14181" xr3:uid="{24CF0064-EEF6-40F1-ABE3-90C3C17D35A6}" name="Column14170"/>
    <tableColumn id="14182" xr3:uid="{986FF871-7BB1-4C68-B69D-E996F9A68859}" name="Column14171"/>
    <tableColumn id="14183" xr3:uid="{25DB012E-3528-4046-8311-14979B7F58D0}" name="Column14172"/>
    <tableColumn id="14184" xr3:uid="{1FD6F116-580B-4A17-A65F-A38A095F23F3}" name="Column14173"/>
    <tableColumn id="14185" xr3:uid="{1A2108E3-F872-4E94-9A99-D2142D622303}" name="Column14174"/>
    <tableColumn id="14186" xr3:uid="{ABC3C158-AB22-4CD1-9AE3-E59014201B83}" name="Column14175"/>
    <tableColumn id="14187" xr3:uid="{F4609E48-6636-46E0-9B62-3BD860BF20FA}" name="Column14176"/>
    <tableColumn id="14188" xr3:uid="{EFD01EAF-7952-45C3-8659-51BB0ACA0041}" name="Column14177"/>
    <tableColumn id="14189" xr3:uid="{D17DF519-343D-4ED8-96A2-499DE853E9C0}" name="Column14178"/>
    <tableColumn id="14190" xr3:uid="{507321C5-2CD6-4086-9A1B-A4EB23910742}" name="Column14179"/>
    <tableColumn id="14191" xr3:uid="{6DF86349-A33B-4219-AB3F-A1C08E995C3F}" name="Column14180"/>
    <tableColumn id="14192" xr3:uid="{23A0F2BE-A347-48FD-86C5-634A74A62E9D}" name="Column14181"/>
    <tableColumn id="14193" xr3:uid="{A1E319D4-C008-4540-86C2-6F8D6573EBED}" name="Column14182"/>
    <tableColumn id="14194" xr3:uid="{20E12801-885E-4DEF-9373-82596F1DD819}" name="Column14183"/>
    <tableColumn id="14195" xr3:uid="{AE3BFEC8-FBDF-421B-BFBD-A4DE6CA518FB}" name="Column14184"/>
    <tableColumn id="14196" xr3:uid="{274F724A-1094-4B71-BB14-2DB78E66694C}" name="Column14185"/>
    <tableColumn id="14197" xr3:uid="{6F3D7DA5-4292-48AD-917A-9093FABFB518}" name="Column14186"/>
    <tableColumn id="14198" xr3:uid="{FDBDA705-51BA-45DD-9A45-8DFAFE7F2E66}" name="Column14187"/>
    <tableColumn id="14199" xr3:uid="{78124617-052D-4B2C-9684-2714FCA7F3DA}" name="Column14188"/>
    <tableColumn id="14200" xr3:uid="{FCCFCCF0-1791-496A-BEC9-8DB0E07C22DC}" name="Column14189"/>
    <tableColumn id="14201" xr3:uid="{F063CDD1-D91A-4B45-A658-18862C640C22}" name="Column14190"/>
    <tableColumn id="14202" xr3:uid="{A41D3B6E-9FDF-41BB-ABB1-91DD28624234}" name="Column14191"/>
    <tableColumn id="14203" xr3:uid="{DF66102E-EC0B-4DF7-948C-9CCAD6ACE8F1}" name="Column14192"/>
    <tableColumn id="14204" xr3:uid="{62DA49BF-39A7-44AE-8078-EF3C921068E7}" name="Column14193"/>
    <tableColumn id="14205" xr3:uid="{D0A7D749-AE61-4946-A04C-B125BEF39C3D}" name="Column14194"/>
    <tableColumn id="14206" xr3:uid="{F3D12DC0-4166-493B-9AF7-797454C8C563}" name="Column14195"/>
    <tableColumn id="14207" xr3:uid="{0D1A256D-9278-4EA4-8FE6-7108DA9E67F3}" name="Column14196"/>
    <tableColumn id="14208" xr3:uid="{331DFEB6-9C91-424E-9A7C-361927FC0719}" name="Column14197"/>
    <tableColumn id="14209" xr3:uid="{397F2DB1-F8F8-4B9C-BD07-2DCCA8285012}" name="Column14198"/>
    <tableColumn id="14210" xr3:uid="{350FC58A-E9F4-4547-A091-171A5E6364A0}" name="Column14199"/>
    <tableColumn id="14211" xr3:uid="{9582ABFE-B788-4A53-A32D-259B0F40B55B}" name="Column14200"/>
    <tableColumn id="14212" xr3:uid="{0AF0FBBB-061D-448B-A583-C649B938B174}" name="Column14201"/>
    <tableColumn id="14213" xr3:uid="{56865DBB-FDCD-4E8F-A960-2D8963D6D22C}" name="Column14202"/>
    <tableColumn id="14214" xr3:uid="{C79E5E1D-BA2B-4255-82DE-877619010B37}" name="Column14203"/>
    <tableColumn id="14215" xr3:uid="{3282791C-6634-4C73-854F-D2C32771383A}" name="Column14204"/>
    <tableColumn id="14216" xr3:uid="{C70F0FC3-48D6-44BD-84F3-BA865DA24688}" name="Column14205"/>
    <tableColumn id="14217" xr3:uid="{4F0E253E-61F4-4834-A6B2-25C6BEBBD85C}" name="Column14206"/>
    <tableColumn id="14218" xr3:uid="{A3335286-E918-43D9-8094-B91D3EF024F1}" name="Column14207"/>
    <tableColumn id="14219" xr3:uid="{3ACBA069-72F3-4E62-8FB3-FEA3402B19F0}" name="Column14208"/>
    <tableColumn id="14220" xr3:uid="{CAC63FB4-988C-4E14-8A67-58B3D896CEF6}" name="Column14209"/>
    <tableColumn id="14221" xr3:uid="{5E20B766-DD31-4393-851B-CDC8FBC19FDF}" name="Column14210"/>
    <tableColumn id="14222" xr3:uid="{39DC5B6F-7A48-477C-9B6E-48A8155919AD}" name="Column14211"/>
    <tableColumn id="14223" xr3:uid="{3BDE5FA3-C830-4730-A80F-6A0F5B84C15B}" name="Column14212"/>
    <tableColumn id="14224" xr3:uid="{40B4E203-ECA5-42E3-BD3A-51BF7258C0CD}" name="Column14213"/>
    <tableColumn id="14225" xr3:uid="{C84F7041-D8F7-4A6B-AFC1-6164361B8B3F}" name="Column14214"/>
    <tableColumn id="14226" xr3:uid="{83B1D4DC-DBAE-4D97-AA5F-B5E06AD3EE84}" name="Column14215"/>
    <tableColumn id="14227" xr3:uid="{4DDD8E37-0EE0-414B-8A99-2AE7729F86A5}" name="Column14216"/>
    <tableColumn id="14228" xr3:uid="{6933BE18-9A82-4EC2-876B-C632257A5841}" name="Column14217"/>
    <tableColumn id="14229" xr3:uid="{C521F1DB-3CA3-493E-8C90-7BA136204CB2}" name="Column14218"/>
    <tableColumn id="14230" xr3:uid="{8902D19E-7D5B-440F-8E93-3D25F08E4544}" name="Column14219"/>
    <tableColumn id="14231" xr3:uid="{132818C3-1C9E-449C-9F82-F5CC764D70E9}" name="Column14220"/>
    <tableColumn id="14232" xr3:uid="{4D644BB3-A9F0-4370-A851-F2E810926218}" name="Column14221"/>
    <tableColumn id="14233" xr3:uid="{A0DFFBED-8AC2-4FB7-BCBD-80D73593E59F}" name="Column14222"/>
    <tableColumn id="14234" xr3:uid="{3BAFD1E7-986C-46AA-B482-F29C877E00F4}" name="Column14223"/>
    <tableColumn id="14235" xr3:uid="{843F9585-58E1-45E3-80C8-B6F6A05B7598}" name="Column14224"/>
    <tableColumn id="14236" xr3:uid="{F1B53D8A-4301-4C28-A3F6-E0AE715221A9}" name="Column14225"/>
    <tableColumn id="14237" xr3:uid="{78AC4618-C447-4F1F-ABBC-0113073DDA0C}" name="Column14226"/>
    <tableColumn id="14238" xr3:uid="{B790739C-0C69-45D4-962A-D305BFCAF72A}" name="Column14227"/>
    <tableColumn id="14239" xr3:uid="{B1F53FE6-D3F5-4E3E-AA8E-7B8FD9B33F4D}" name="Column14228"/>
    <tableColumn id="14240" xr3:uid="{94C75D8A-00EC-4FD0-B2EB-64CCCBA7D039}" name="Column14229"/>
    <tableColumn id="14241" xr3:uid="{9C5A432E-B727-4275-B1CE-BFBD0C23B5B0}" name="Column14230"/>
    <tableColumn id="14242" xr3:uid="{E0F8184A-29EE-4599-A86D-95AB49187A40}" name="Column14231"/>
    <tableColumn id="14243" xr3:uid="{9C1AD2D3-8F5F-4DA9-ACF0-C21FC4571E4A}" name="Column14232"/>
    <tableColumn id="14244" xr3:uid="{414FC223-A099-473C-AF6B-2019C2654055}" name="Column14233"/>
    <tableColumn id="14245" xr3:uid="{2D4940E1-13AB-4C24-8F4A-1A834C8D469B}" name="Column14234"/>
    <tableColumn id="14246" xr3:uid="{C6A4A43F-52BA-4B55-98AF-879000647E72}" name="Column14235"/>
    <tableColumn id="14247" xr3:uid="{6EE54404-EEED-4107-BD3E-9B0CFE0AD0F2}" name="Column14236"/>
    <tableColumn id="14248" xr3:uid="{EBD96DFB-D521-4F03-AE7D-F2D57EF128F1}" name="Column14237"/>
    <tableColumn id="14249" xr3:uid="{328B858D-CBC2-43D1-A56D-15FC79D02C1D}" name="Column14238"/>
    <tableColumn id="14250" xr3:uid="{12AADAEA-03D7-491D-BF38-81A3BCC03BAA}" name="Column14239"/>
    <tableColumn id="14251" xr3:uid="{94B745CD-0CD5-4AF2-8179-DD27C86EA316}" name="Column14240"/>
    <tableColumn id="14252" xr3:uid="{9408FAF5-B3A1-4A09-A72F-BE2497F00235}" name="Column14241"/>
    <tableColumn id="14253" xr3:uid="{747A017E-3336-4AAB-824E-3EABCA94A4B2}" name="Column14242"/>
    <tableColumn id="14254" xr3:uid="{A7B3B987-2AF8-4A14-80B5-79F7F2EEFB02}" name="Column14243"/>
    <tableColumn id="14255" xr3:uid="{2786C106-1AFA-4E66-BDB3-E555C7CCB9AA}" name="Column14244"/>
    <tableColumn id="14256" xr3:uid="{BEB23FEE-4C98-424E-865C-4E0DF39C708F}" name="Column14245"/>
    <tableColumn id="14257" xr3:uid="{9F48FE9F-481D-4019-BCE3-023AE071D0DE}" name="Column14246"/>
    <tableColumn id="14258" xr3:uid="{D8B754A4-22CB-48E1-B178-A3F805F0D621}" name="Column14247"/>
    <tableColumn id="14259" xr3:uid="{1A8AE835-AF23-40BD-A812-D4287421630F}" name="Column14248"/>
    <tableColumn id="14260" xr3:uid="{678F091E-A867-4D5E-B640-51F74F0AC10D}" name="Column14249"/>
    <tableColumn id="14261" xr3:uid="{3574D790-DECE-435A-9760-BB6E0C7563AD}" name="Column14250"/>
    <tableColumn id="14262" xr3:uid="{FCA4D338-0C24-4F80-9C3C-239589EE13F2}" name="Column14251"/>
    <tableColumn id="14263" xr3:uid="{707EDD29-DCE4-4261-87DA-84606717DF9C}" name="Column14252"/>
    <tableColumn id="14264" xr3:uid="{60429706-DB35-4B71-BF77-778181330EC5}" name="Column14253"/>
    <tableColumn id="14265" xr3:uid="{E719E8EF-D1A6-4D36-8800-09838EAAE9FB}" name="Column14254"/>
    <tableColumn id="14266" xr3:uid="{FEAA4454-F3CE-42D4-99FB-8E73D966CB4C}" name="Column14255"/>
    <tableColumn id="14267" xr3:uid="{E944C9A3-1B04-40CA-BFC5-98C116FD4BF0}" name="Column14256"/>
    <tableColumn id="14268" xr3:uid="{274160C3-600E-4767-A892-73899118973F}" name="Column14257"/>
    <tableColumn id="14269" xr3:uid="{C98B43CB-DFB0-4B01-ABFD-F369C6D27BF5}" name="Column14258"/>
    <tableColumn id="14270" xr3:uid="{AD9E62BE-E855-43A6-B8D8-A688FD3CE82E}" name="Column14259"/>
    <tableColumn id="14271" xr3:uid="{8EC4623F-2635-4C9B-89A3-610CFACB5B02}" name="Column14260"/>
    <tableColumn id="14272" xr3:uid="{12330E24-7E4D-4DBE-9542-60948D3830F4}" name="Column14261"/>
    <tableColumn id="14273" xr3:uid="{369843AB-4598-4A94-AA14-D34C2596DAE4}" name="Column14262"/>
    <tableColumn id="14274" xr3:uid="{9C374AC4-BE97-45C3-8FC3-2D795FA47B64}" name="Column14263"/>
    <tableColumn id="14275" xr3:uid="{014A9171-890E-4A12-8D4E-917AD1099BF7}" name="Column14264"/>
    <tableColumn id="14276" xr3:uid="{A58B92C7-BB77-4DB0-B62B-E59802B6FB76}" name="Column14265"/>
    <tableColumn id="14277" xr3:uid="{72CCC428-C959-45C1-BD3B-9C3056201605}" name="Column14266"/>
    <tableColumn id="14278" xr3:uid="{69E6A211-8D9D-49C3-A5EC-606350F3C6A7}" name="Column14267"/>
    <tableColumn id="14279" xr3:uid="{3B9FAF2B-8C2A-4BD8-9B7E-5E56D1479167}" name="Column14268"/>
    <tableColumn id="14280" xr3:uid="{E0A324DB-6BB4-4B1C-B67A-BBBBC950796F}" name="Column14269"/>
    <tableColumn id="14281" xr3:uid="{79277022-7329-4B61-AFE3-C05FA7A27EB2}" name="Column14270"/>
    <tableColumn id="14282" xr3:uid="{26CD22CF-D6F6-45C1-BCCD-F0CA0AEAF233}" name="Column14271"/>
    <tableColumn id="14283" xr3:uid="{99BE5A71-3EF9-418B-9CF9-F48E5C3BDFC5}" name="Column14272"/>
    <tableColumn id="14284" xr3:uid="{20A7109C-0F4C-4799-B47A-540B25ABB326}" name="Column14273"/>
    <tableColumn id="14285" xr3:uid="{91DF5E31-BD78-4734-97DF-ABF5AB481008}" name="Column14274"/>
    <tableColumn id="14286" xr3:uid="{CA704600-0F9F-4018-B5B8-3BD430487BAF}" name="Column14275"/>
    <tableColumn id="14287" xr3:uid="{75BB5BB5-79E5-4EB6-9DF7-FEFE5AB78C91}" name="Column14276"/>
    <tableColumn id="14288" xr3:uid="{DC542C3E-EF2B-4F4C-AD76-84DFEAC16B22}" name="Column14277"/>
    <tableColumn id="14289" xr3:uid="{61A80817-374D-4D46-9B7E-D32C14156A7A}" name="Column14278"/>
    <tableColumn id="14290" xr3:uid="{905BD1C2-3287-4989-8BDD-451458310C93}" name="Column14279"/>
    <tableColumn id="14291" xr3:uid="{BE7105FB-E708-40E2-B32E-4FF0C2F2940F}" name="Column14280"/>
    <tableColumn id="14292" xr3:uid="{F4E7A5B3-11F3-4CC6-8BF7-D6FA70680C8C}" name="Column14281"/>
    <tableColumn id="14293" xr3:uid="{A39CADF0-DBD0-464E-A3FA-AF124CC9202E}" name="Column14282"/>
    <tableColumn id="14294" xr3:uid="{A7A5E86B-BEF5-4C0F-AE60-C71A0FED5620}" name="Column14283"/>
    <tableColumn id="14295" xr3:uid="{E2A9FCB4-295F-485D-990E-08607E9EA805}" name="Column14284"/>
    <tableColumn id="14296" xr3:uid="{AAB733F6-3EB5-4061-90E9-9B0DB3C7A5BB}" name="Column14285"/>
    <tableColumn id="14297" xr3:uid="{59E4A8FA-2303-400B-BBBF-E64481E0C8A1}" name="Column14286"/>
    <tableColumn id="14298" xr3:uid="{176F0F04-28F7-473E-8AC9-2B1F7DC7B94C}" name="Column14287"/>
    <tableColumn id="14299" xr3:uid="{1589E9BE-229D-49B5-90E8-05D1C9046CCF}" name="Column14288"/>
    <tableColumn id="14300" xr3:uid="{413B4916-166F-4C72-881C-C53FDC1FF355}" name="Column14289"/>
    <tableColumn id="14301" xr3:uid="{048123FE-5F68-4897-BFAF-292857A582BC}" name="Column14290"/>
    <tableColumn id="14302" xr3:uid="{64A7D974-F5E3-41C7-A0A7-48F4FDA6E424}" name="Column14291"/>
    <tableColumn id="14303" xr3:uid="{82C7BE68-828A-4591-9655-92073A209894}" name="Column14292"/>
    <tableColumn id="14304" xr3:uid="{14854413-1C7B-40B3-9AFF-DA974532291E}" name="Column14293"/>
    <tableColumn id="14305" xr3:uid="{4F3E343C-4A18-4F9B-B1BD-C1BD26AB2761}" name="Column14294"/>
    <tableColumn id="14306" xr3:uid="{42555806-C573-48C8-A630-B66C2065CE9D}" name="Column14295"/>
    <tableColumn id="14307" xr3:uid="{DE7D58F4-4556-4758-BDCD-D6571DA0ACC8}" name="Column14296"/>
    <tableColumn id="14308" xr3:uid="{89BE586A-F4C7-42CD-A889-6D163B5F109F}" name="Column14297"/>
    <tableColumn id="14309" xr3:uid="{F393A0C0-C8DB-4B7C-A14A-0E80E71C1227}" name="Column14298"/>
    <tableColumn id="14310" xr3:uid="{22B099F4-929B-4401-A535-E597F70C81FE}" name="Column14299"/>
    <tableColumn id="14311" xr3:uid="{5CF07DB9-039D-4340-B406-B8CF3DB19273}" name="Column14300"/>
    <tableColumn id="14312" xr3:uid="{73BB864B-13F4-4511-B3E9-A0B7B3E9A56C}" name="Column14301"/>
    <tableColumn id="14313" xr3:uid="{CB2CC7A0-2778-4E84-BA7B-7D99118A0C16}" name="Column14302"/>
    <tableColumn id="14314" xr3:uid="{D5E3E7D6-F82B-44C9-858F-AD6949A251B1}" name="Column14303"/>
    <tableColumn id="14315" xr3:uid="{3602A48A-49A3-4741-BFB7-8A84F7717DA6}" name="Column14304"/>
    <tableColumn id="14316" xr3:uid="{5658DDA9-C3D1-4492-931D-910C6E435F78}" name="Column14305"/>
    <tableColumn id="14317" xr3:uid="{624982DE-FEB7-4965-A1BF-F978A40EB0AE}" name="Column14306"/>
    <tableColumn id="14318" xr3:uid="{D4A857BD-09AA-4FF4-8F19-7290F61BEE0D}" name="Column14307"/>
    <tableColumn id="14319" xr3:uid="{F22C2CF9-BD9C-4D9B-AB14-499DE84F8688}" name="Column14308"/>
    <tableColumn id="14320" xr3:uid="{BD460A63-0955-4509-811A-CE185EEE6B9A}" name="Column14309"/>
    <tableColumn id="14321" xr3:uid="{A4008E6D-AF9A-448B-B473-60B91D7E4A5B}" name="Column14310"/>
    <tableColumn id="14322" xr3:uid="{5A2FB1F7-3119-486A-AEC5-0CAD3158EEAE}" name="Column14311"/>
    <tableColumn id="14323" xr3:uid="{40223452-ABB0-4C6E-85DC-F759D6B4A4DD}" name="Column14312"/>
    <tableColumn id="14324" xr3:uid="{4A152E4E-FB73-441D-A8AD-8C2A4A760646}" name="Column14313"/>
    <tableColumn id="14325" xr3:uid="{D68F7B28-CCFD-4BF8-8E76-C150AD0B659A}" name="Column14314"/>
    <tableColumn id="14326" xr3:uid="{9F8FFE46-A68D-4613-9E0F-A92B16CFAE89}" name="Column14315"/>
    <tableColumn id="14327" xr3:uid="{0A106E20-23C1-4D0A-86BA-8D7E99033D0E}" name="Column14316"/>
    <tableColumn id="14328" xr3:uid="{E7EBE17D-4173-4AE6-A4D3-779E21F15847}" name="Column14317"/>
    <tableColumn id="14329" xr3:uid="{AF7D000B-83DB-49B5-8F18-5CACA0D19E30}" name="Column14318"/>
    <tableColumn id="14330" xr3:uid="{6E37A00B-BC4E-4D95-87B7-49F969A7CDAB}" name="Column14319"/>
    <tableColumn id="14331" xr3:uid="{9FB7496A-9598-4421-8A35-3526F581B977}" name="Column14320"/>
    <tableColumn id="14332" xr3:uid="{3194B880-C26F-4363-B54F-4AB2FB709604}" name="Column14321"/>
    <tableColumn id="14333" xr3:uid="{66FD99CB-CD76-4908-96CE-B7E3DB5A3905}" name="Column14322"/>
    <tableColumn id="14334" xr3:uid="{4B2BEEBA-1F8B-4349-81C3-D1C40AE37DA2}" name="Column14323"/>
    <tableColumn id="14335" xr3:uid="{419E528C-69A7-416A-9558-97002601BA9C}" name="Column14324"/>
    <tableColumn id="14336" xr3:uid="{88E71588-0A1B-47FE-904B-1DC18507A215}" name="Column14325"/>
    <tableColumn id="14337" xr3:uid="{1DD28193-21EB-48AC-8D94-D3B65612CF36}" name="Column14326"/>
    <tableColumn id="14338" xr3:uid="{4B722AEF-EACE-46E8-9534-80F696FCC84D}" name="Column14327"/>
    <tableColumn id="14339" xr3:uid="{3A43DDD2-C99F-45A8-8501-3B471C461745}" name="Column14328"/>
    <tableColumn id="14340" xr3:uid="{494C1700-AD78-48C0-8134-0487BF59E5E0}" name="Column14329"/>
    <tableColumn id="14341" xr3:uid="{0320EB96-ADCC-4B48-B01F-75CEBBD03D44}" name="Column14330"/>
    <tableColumn id="14342" xr3:uid="{867BE078-862A-4081-B812-1066B12213D1}" name="Column14331"/>
    <tableColumn id="14343" xr3:uid="{29009137-1186-48D2-84B2-B6C2C488C460}" name="Column14332"/>
    <tableColumn id="14344" xr3:uid="{D22C1887-CBC9-4590-B7FC-2794E5AAC5BE}" name="Column14333"/>
    <tableColumn id="14345" xr3:uid="{0D4D800B-6A8E-492A-9BC5-12D192EB39F0}" name="Column14334"/>
    <tableColumn id="14346" xr3:uid="{65081146-1510-47D7-B6E0-CAF563C0F730}" name="Column14335"/>
    <tableColumn id="14347" xr3:uid="{36D1F199-8D7E-4571-8831-BD62CE773A86}" name="Column14336"/>
    <tableColumn id="14348" xr3:uid="{E6FDF8CE-1A8D-44A4-8339-3E4C65C8993C}" name="Column14337"/>
    <tableColumn id="14349" xr3:uid="{558146CE-D20C-4DD8-8654-67A6A398AA93}" name="Column14338"/>
    <tableColumn id="14350" xr3:uid="{DE2518FA-D9CE-4B62-9744-169D6F2039A4}" name="Column14339"/>
    <tableColumn id="14351" xr3:uid="{ADC239F4-2EBD-4345-9454-2BDD73ECFB7D}" name="Column14340"/>
    <tableColumn id="14352" xr3:uid="{1DB07AEB-6192-40B4-8926-5FC008BAC8F3}" name="Column14341"/>
    <tableColumn id="14353" xr3:uid="{D57F4D26-898F-4203-9864-2E19C6F2E86C}" name="Column14342"/>
    <tableColumn id="14354" xr3:uid="{8F74C762-E5C8-488A-BF58-76A8123AAE1D}" name="Column14343"/>
    <tableColumn id="14355" xr3:uid="{20605AD9-E5B9-4897-BCAA-0A0F970C6D45}" name="Column14344"/>
    <tableColumn id="14356" xr3:uid="{87BB3888-CD5B-42BE-BC02-C12D2D595491}" name="Column14345"/>
    <tableColumn id="14357" xr3:uid="{F56BBF93-23B9-475A-BAA2-232F00831B76}" name="Column14346"/>
    <tableColumn id="14358" xr3:uid="{E3D02E34-EABD-4172-B177-B10B7F9F8976}" name="Column14347"/>
    <tableColumn id="14359" xr3:uid="{591FF838-89A3-403C-A7D5-79AD53368D22}" name="Column14348"/>
    <tableColumn id="14360" xr3:uid="{4C452D67-BBAE-4136-9E52-1919A02B5243}" name="Column14349"/>
    <tableColumn id="14361" xr3:uid="{C5348234-EAA8-403D-B2A9-11CC3DBB586E}" name="Column14350"/>
    <tableColumn id="14362" xr3:uid="{2696A8EA-4D6C-4606-8AB2-8E1AE91D5A34}" name="Column14351"/>
    <tableColumn id="14363" xr3:uid="{5CF1D7A3-FBF6-4C2A-8BD5-698F37D2C80D}" name="Column14352"/>
    <tableColumn id="14364" xr3:uid="{3D65B7C3-FB9A-4B3C-B5DB-791D1AA862F8}" name="Column14353"/>
    <tableColumn id="14365" xr3:uid="{A3F9FFAC-DF1D-40B4-A2D2-297A6C912186}" name="Column14354"/>
    <tableColumn id="14366" xr3:uid="{FAE07F73-E6BD-4B8D-8D73-BFD29C69D29E}" name="Column14355"/>
    <tableColumn id="14367" xr3:uid="{A100E9FE-323D-4060-BDFC-5867910FCE14}" name="Column14356"/>
    <tableColumn id="14368" xr3:uid="{A4FE07F5-B4BD-491D-B3D3-BF7FB82EAA76}" name="Column14357"/>
    <tableColumn id="14369" xr3:uid="{5650F331-1C07-4652-862A-368CF89500D1}" name="Column14358"/>
    <tableColumn id="14370" xr3:uid="{F5315DEE-FD0D-4312-A8AA-9A34CA95924D}" name="Column14359"/>
    <tableColumn id="14371" xr3:uid="{309A623D-E937-4C53-AA2C-CC5AC54FFD85}" name="Column14360"/>
    <tableColumn id="14372" xr3:uid="{3012647B-4B4C-42BF-8BB5-A3702DBE7BE6}" name="Column14361"/>
    <tableColumn id="14373" xr3:uid="{2BF84EDB-0164-4B8F-AAA8-CCC7F2E9348A}" name="Column14362"/>
    <tableColumn id="14374" xr3:uid="{B1A4FC5B-05E9-470C-AAF0-740217EBD6E6}" name="Column14363"/>
    <tableColumn id="14375" xr3:uid="{C42BE06F-BD7F-4476-A13C-9E94D87C906B}" name="Column14364"/>
    <tableColumn id="14376" xr3:uid="{4B195DE5-01BB-45A0-8BF0-3BA5A167A5E9}" name="Column14365"/>
    <tableColumn id="14377" xr3:uid="{4EE8AB79-A10D-4CA1-BC09-264D0EE6005C}" name="Column14366"/>
    <tableColumn id="14378" xr3:uid="{B83947D3-F63C-41C6-AC35-B37DA85CC176}" name="Column14367"/>
    <tableColumn id="14379" xr3:uid="{D017CA00-C0A5-47C5-9862-4B130D3D952B}" name="Column14368"/>
    <tableColumn id="14380" xr3:uid="{974EC183-7C98-4BEA-8526-1E926ABF92AA}" name="Column14369"/>
    <tableColumn id="14381" xr3:uid="{E811E901-4E69-4659-97F4-15BBEE678D45}" name="Column14370"/>
    <tableColumn id="14382" xr3:uid="{A3EE4D25-5CA9-47AE-A46A-B537348E71E2}" name="Column14371"/>
    <tableColumn id="14383" xr3:uid="{2BE16633-6582-4E9D-9FCC-02514970735E}" name="Column14372"/>
    <tableColumn id="14384" xr3:uid="{9C266500-888C-40E2-9A12-E0EBC0FBAB41}" name="Column14373"/>
    <tableColumn id="14385" xr3:uid="{C5F82A53-CE25-48AA-B74B-CCF8594A8734}" name="Column14374"/>
    <tableColumn id="14386" xr3:uid="{B8955DA0-BA0F-4F4F-8261-8CA5442FEE14}" name="Column14375"/>
    <tableColumn id="14387" xr3:uid="{887F72D5-8C49-4D1D-BF2E-357CEA1885B8}" name="Column14376"/>
    <tableColumn id="14388" xr3:uid="{3B5D1AF2-A7D9-4CFD-90A3-DFD676946805}" name="Column14377"/>
    <tableColumn id="14389" xr3:uid="{6621EE04-5F2D-4A57-A373-FA2B482E53A1}" name="Column14378"/>
    <tableColumn id="14390" xr3:uid="{55681E18-F606-49F9-9C54-2D704303971F}" name="Column14379"/>
    <tableColumn id="14391" xr3:uid="{769307C5-227A-44F8-8D71-1A4B8E3592D6}" name="Column14380"/>
    <tableColumn id="14392" xr3:uid="{A45A5873-2F42-4574-9AC3-B40C3F2D19F8}" name="Column14381"/>
    <tableColumn id="14393" xr3:uid="{B93224E0-3C52-4CB9-9826-27EC804FEB60}" name="Column14382"/>
    <tableColumn id="14394" xr3:uid="{31CD728A-C98D-4277-A40E-7A2B50F9D2A4}" name="Column14383"/>
    <tableColumn id="14395" xr3:uid="{2B07B1B9-BFC7-42D5-A6AD-E13F3174B981}" name="Column14384"/>
    <tableColumn id="14396" xr3:uid="{8EC3C343-184D-4808-A559-1EF627FEED80}" name="Column14385"/>
    <tableColumn id="14397" xr3:uid="{4D4B83BE-A8ED-4AC3-869A-99D2F6DBB7AA}" name="Column14386"/>
    <tableColumn id="14398" xr3:uid="{46E8D671-9784-464C-AA73-628D8D21E23C}" name="Column14387"/>
    <tableColumn id="14399" xr3:uid="{23AC000A-1149-4D41-B1AC-4768B3DF3A3F}" name="Column14388"/>
    <tableColumn id="14400" xr3:uid="{B2F50DA8-B561-43A7-98A7-C4F3EF1924BC}" name="Column14389"/>
    <tableColumn id="14401" xr3:uid="{8BB67264-04BE-4688-BA79-F2128575D4FF}" name="Column14390"/>
    <tableColumn id="14402" xr3:uid="{CCB3A53E-7C8A-4688-B4C4-A6B63CFF830D}" name="Column14391"/>
    <tableColumn id="14403" xr3:uid="{46DF7DDD-C848-45BB-9E61-C4366D7A9E75}" name="Column14392"/>
    <tableColumn id="14404" xr3:uid="{B5DDBF56-1292-4D8C-9838-9FE574BF322C}" name="Column14393"/>
    <tableColumn id="14405" xr3:uid="{1339153B-EC63-4E8F-88E9-BB3DF6858CDC}" name="Column14394"/>
    <tableColumn id="14406" xr3:uid="{9213C8C3-5C85-4840-B15B-6EFE7CC74EC0}" name="Column14395"/>
    <tableColumn id="14407" xr3:uid="{3FFFAE6E-235E-4EF6-B52D-F3E85C1DF67F}" name="Column14396"/>
    <tableColumn id="14408" xr3:uid="{137E73E6-2480-4515-B034-E7CF6332C944}" name="Column14397"/>
    <tableColumn id="14409" xr3:uid="{EB5B50BF-2616-4347-B794-62BD16B673C6}" name="Column14398"/>
    <tableColumn id="14410" xr3:uid="{8095B197-538F-4DAF-BAE1-A5E253B2F529}" name="Column14399"/>
    <tableColumn id="14411" xr3:uid="{235A66B1-9897-45C1-9ACA-49B8E376D6C8}" name="Column14400"/>
    <tableColumn id="14412" xr3:uid="{DB83FEAE-9F1A-41FB-960B-C6ECD6B100F2}" name="Column14401"/>
    <tableColumn id="14413" xr3:uid="{6CBAD759-24F1-4B87-9E50-2BD73F49A764}" name="Column14402"/>
    <tableColumn id="14414" xr3:uid="{F81D6B2C-B7CD-4A99-943B-761B5BB8CC26}" name="Column14403"/>
    <tableColumn id="14415" xr3:uid="{55F61018-6F40-4B5D-AA29-1237FAA6F305}" name="Column14404"/>
    <tableColumn id="14416" xr3:uid="{5509C8DB-C278-4336-B604-6DFD5D6A6030}" name="Column14405"/>
    <tableColumn id="14417" xr3:uid="{B1DD6ECA-7C0F-4170-9A11-B6E5EA99A71F}" name="Column14406"/>
    <tableColumn id="14418" xr3:uid="{F3112004-D400-4C02-9E3D-54AD17BFCCA7}" name="Column14407"/>
    <tableColumn id="14419" xr3:uid="{130E7631-C8BE-460A-A9C1-A8341A19B5C4}" name="Column14408"/>
    <tableColumn id="14420" xr3:uid="{62BA66B6-A784-4959-900D-5D754D340985}" name="Column14409"/>
    <tableColumn id="14421" xr3:uid="{6FA24F9D-D3EB-4343-BCD8-29D00BF5947B}" name="Column14410"/>
    <tableColumn id="14422" xr3:uid="{6381DC9E-3DB7-448A-B499-376F54C1DE4D}" name="Column14411"/>
    <tableColumn id="14423" xr3:uid="{57571489-C08F-4A1D-BFB8-7898A03DD487}" name="Column14412"/>
    <tableColumn id="14424" xr3:uid="{59F905C2-BB0F-42BF-98F2-25BDE7CB4F87}" name="Column14413"/>
    <tableColumn id="14425" xr3:uid="{100A169D-30B2-4857-AC06-887D8D430852}" name="Column14414"/>
    <tableColumn id="14426" xr3:uid="{6302170F-8F04-4B0F-9F50-AF0C1C042245}" name="Column14415"/>
    <tableColumn id="14427" xr3:uid="{41DDAB65-E877-4121-9B18-5144A623A5FD}" name="Column14416"/>
    <tableColumn id="14428" xr3:uid="{A062F6B1-AA70-45C5-9E70-6D3FE76E70AF}" name="Column14417"/>
    <tableColumn id="14429" xr3:uid="{D83F3FF8-C1BD-448F-9ABB-23365ABFEE98}" name="Column14418"/>
    <tableColumn id="14430" xr3:uid="{12972A12-0EA4-4869-80FE-8EED46989715}" name="Column14419"/>
    <tableColumn id="14431" xr3:uid="{DF53AA8C-90CC-4590-9C54-E95B68D0917B}" name="Column14420"/>
    <tableColumn id="14432" xr3:uid="{BE175FC8-187C-49B8-9B67-AE722A750822}" name="Column14421"/>
    <tableColumn id="14433" xr3:uid="{AA4D6720-6D0A-4225-AD68-FB517C0C8844}" name="Column14422"/>
    <tableColumn id="14434" xr3:uid="{A6B9AB78-C34C-48B8-87E0-31942667577B}" name="Column14423"/>
    <tableColumn id="14435" xr3:uid="{270F2513-D795-44E9-BDA1-7569E658C15A}" name="Column14424"/>
    <tableColumn id="14436" xr3:uid="{931A5EDA-9CF8-47F5-8BA3-8F4B175CBA68}" name="Column14425"/>
    <tableColumn id="14437" xr3:uid="{F1AFE976-5B53-4101-A864-68BB77C8EB44}" name="Column14426"/>
    <tableColumn id="14438" xr3:uid="{A24E961D-23FB-427D-A02F-845837E51DFB}" name="Column14427"/>
    <tableColumn id="14439" xr3:uid="{0DBC0D88-7A03-46A3-A12E-91A1C45234A5}" name="Column14428"/>
    <tableColumn id="14440" xr3:uid="{316DD411-C1AC-43A2-B76C-419B81392894}" name="Column14429"/>
    <tableColumn id="14441" xr3:uid="{C827DB42-6481-40F6-88D4-DC2F7C30A0B6}" name="Column14430"/>
    <tableColumn id="14442" xr3:uid="{46AE1E98-0A7D-4F05-A632-0BB34B2A6C09}" name="Column14431"/>
    <tableColumn id="14443" xr3:uid="{D89470E2-3E64-4B79-86B2-1C5C3A10D0D5}" name="Column14432"/>
    <tableColumn id="14444" xr3:uid="{F9FED760-F10A-4CC1-B285-40F1AEC78C31}" name="Column14433"/>
    <tableColumn id="14445" xr3:uid="{AC55DAF6-FDE1-4E0A-B8E9-4C19D5DC40E2}" name="Column14434"/>
    <tableColumn id="14446" xr3:uid="{6753260E-E95B-4C57-80BC-14EC769F8B6D}" name="Column14435"/>
    <tableColumn id="14447" xr3:uid="{E4938C08-B6D1-4BCD-A49D-7CED642A7432}" name="Column14436"/>
    <tableColumn id="14448" xr3:uid="{B44ADFA0-176A-4BE2-A886-452AB9740819}" name="Column14437"/>
    <tableColumn id="14449" xr3:uid="{EDC0C009-00A0-4027-8737-3058B40935C9}" name="Column14438"/>
    <tableColumn id="14450" xr3:uid="{EEE6B1A6-EA99-4A6A-91A2-136B9541AFED}" name="Column14439"/>
    <tableColumn id="14451" xr3:uid="{E4FBD15D-0A11-4338-8065-7AAC71A53FF7}" name="Column14440"/>
    <tableColumn id="14452" xr3:uid="{BCB24FEA-FA75-412D-A1FF-B392BB8A9CB6}" name="Column14441"/>
    <tableColumn id="14453" xr3:uid="{BCECAEC6-17BE-49F6-8DBA-863101994A75}" name="Column14442"/>
    <tableColumn id="14454" xr3:uid="{E5600FB5-553B-4F35-9606-8838F4A07C9E}" name="Column14443"/>
    <tableColumn id="14455" xr3:uid="{E0858E26-D9F8-49B8-A511-4A1B4C9537CD}" name="Column14444"/>
    <tableColumn id="14456" xr3:uid="{F2426D02-1B5C-479A-9BE2-ED5A356F3B28}" name="Column14445"/>
    <tableColumn id="14457" xr3:uid="{A6830860-3702-44A7-9215-DB1C5DEDB9B2}" name="Column14446"/>
    <tableColumn id="14458" xr3:uid="{7BD5B933-157C-44BF-85A8-ADEB4E7EA110}" name="Column14447"/>
    <tableColumn id="14459" xr3:uid="{19196C15-2E60-4FBE-86BB-3D1A5101631C}" name="Column14448"/>
    <tableColumn id="14460" xr3:uid="{3F2D0793-82C5-4E82-BCFD-094719F041E9}" name="Column14449"/>
    <tableColumn id="14461" xr3:uid="{621DF745-EC25-4AB8-A39D-9C1764C8CDED}" name="Column14450"/>
    <tableColumn id="14462" xr3:uid="{898DC983-FD8C-4AE3-B8CC-66098FD60F1B}" name="Column14451"/>
    <tableColumn id="14463" xr3:uid="{5FC54F85-6CDD-4E20-A9BD-F0F0D6B9DE61}" name="Column14452"/>
    <tableColumn id="14464" xr3:uid="{446FABEB-FBE8-4ABC-87FF-F373B5708925}" name="Column14453"/>
    <tableColumn id="14465" xr3:uid="{48D56A12-E1BA-474D-8582-E0558C384B35}" name="Column14454"/>
    <tableColumn id="14466" xr3:uid="{B95D8ADE-EDC9-4CE2-9A13-AD554D28FDE1}" name="Column14455"/>
    <tableColumn id="14467" xr3:uid="{9D8B3620-753D-48AE-99C9-94CB8347122C}" name="Column14456"/>
    <tableColumn id="14468" xr3:uid="{7B0DE871-2493-4870-84E5-26B11AB5A6C2}" name="Column14457"/>
    <tableColumn id="14469" xr3:uid="{384939DA-43B6-4C95-9F6F-35A59C49E37B}" name="Column14458"/>
    <tableColumn id="14470" xr3:uid="{A615CE76-91AA-4170-8C53-4D67A8CFE899}" name="Column14459"/>
    <tableColumn id="14471" xr3:uid="{76A4EE94-BCC2-47C6-893E-991A0B4FDD6B}" name="Column14460"/>
    <tableColumn id="14472" xr3:uid="{7CF2AB31-EBFB-48C5-A717-EA764494E124}" name="Column14461"/>
    <tableColumn id="14473" xr3:uid="{D6654B32-F716-462A-BCCF-DC7212504D22}" name="Column14462"/>
    <tableColumn id="14474" xr3:uid="{57E48AD8-3097-4A00-B1DF-EA89A1F4D716}" name="Column14463"/>
    <tableColumn id="14475" xr3:uid="{841A2B33-4C5E-465A-9390-44BE4B253AAD}" name="Column14464"/>
    <tableColumn id="14476" xr3:uid="{D4FEBF66-F811-414B-8F14-11719C55AAAB}" name="Column14465"/>
    <tableColumn id="14477" xr3:uid="{5197783B-9353-49B2-8E0F-176D81D22A06}" name="Column14466"/>
    <tableColumn id="14478" xr3:uid="{AAEFF6B2-0256-4993-ADBC-B6C16758612E}" name="Column14467"/>
    <tableColumn id="14479" xr3:uid="{8C866C6C-0DDF-4F07-82C2-67ED81380AB2}" name="Column14468"/>
    <tableColumn id="14480" xr3:uid="{32CB184B-D45E-462D-9779-D9640761F304}" name="Column14469"/>
    <tableColumn id="14481" xr3:uid="{F64C2899-FC71-41CA-BD68-14D382C6DF06}" name="Column14470"/>
    <tableColumn id="14482" xr3:uid="{D4B798AF-033D-4F3E-BF68-00F3C3111F99}" name="Column14471"/>
    <tableColumn id="14483" xr3:uid="{B3E04686-0B84-4C9A-A872-4F551E0C63DC}" name="Column14472"/>
    <tableColumn id="14484" xr3:uid="{392A78CE-A38F-49D8-8DBC-9FA51EC01905}" name="Column14473"/>
    <tableColumn id="14485" xr3:uid="{9B5CEE40-2BCF-4E82-9D44-93F3F3B00ED6}" name="Column14474"/>
    <tableColumn id="14486" xr3:uid="{57376D8B-00EF-447E-95BA-C3CAC6D1DB8C}" name="Column14475"/>
    <tableColumn id="14487" xr3:uid="{78BC9BA1-6925-472E-B294-765654AFA834}" name="Column14476"/>
    <tableColumn id="14488" xr3:uid="{2D848B2C-DEF2-4EA5-A6B8-87D7A3907826}" name="Column14477"/>
    <tableColumn id="14489" xr3:uid="{FA58D942-576D-479B-BFA7-D4BD11BB1840}" name="Column14478"/>
    <tableColumn id="14490" xr3:uid="{ABDDF044-8AEA-4029-9BB6-84B7107D65E2}" name="Column14479"/>
    <tableColumn id="14491" xr3:uid="{CB8A6137-AA75-4682-8BB4-C4B2AB1E473C}" name="Column14480"/>
    <tableColumn id="14492" xr3:uid="{EAA0EB82-88D6-44F7-81B6-36ACD323E0A7}" name="Column14481"/>
    <tableColumn id="14493" xr3:uid="{921A085C-F372-4D1E-A493-B5A98DBC2A8F}" name="Column14482"/>
    <tableColumn id="14494" xr3:uid="{2BAF3724-8E8E-4F2C-BD9B-119E56850FF3}" name="Column14483"/>
    <tableColumn id="14495" xr3:uid="{2AD68938-EBB9-4F60-BDB7-D0D6B7C08ACF}" name="Column14484"/>
    <tableColumn id="14496" xr3:uid="{9A69E903-96C7-4176-B4E0-2A446AA2CAD2}" name="Column14485"/>
    <tableColumn id="14497" xr3:uid="{53F4DA74-DFB8-4623-820B-EE9200315479}" name="Column14486"/>
    <tableColumn id="14498" xr3:uid="{683A97F9-345E-445E-B8B5-F67D1E7C529A}" name="Column14487"/>
    <tableColumn id="14499" xr3:uid="{84F60462-625E-4EE4-8E72-1B56592FDCE3}" name="Column14488"/>
    <tableColumn id="14500" xr3:uid="{4042EAE0-8BC2-48F2-BD71-B490D97AA925}" name="Column14489"/>
    <tableColumn id="14501" xr3:uid="{1357CE2D-95EA-40A8-A6EE-88DD75E86BFC}" name="Column14490"/>
    <tableColumn id="14502" xr3:uid="{B0023FB9-DD19-4CE6-A817-102897E2ECE4}" name="Column14491"/>
    <tableColumn id="14503" xr3:uid="{E08CEBA2-2A36-40AB-BD9F-B6AB92CECCD2}" name="Column14492"/>
    <tableColumn id="14504" xr3:uid="{CC905556-8BF4-4ACC-B079-28AECB1CF5F3}" name="Column14493"/>
    <tableColumn id="14505" xr3:uid="{CD35E260-3369-4415-BE07-1D2375B7D05B}" name="Column14494"/>
    <tableColumn id="14506" xr3:uid="{06951CC1-C6E5-4CC5-B378-22CC45E20ACA}" name="Column14495"/>
    <tableColumn id="14507" xr3:uid="{C056BF36-3641-44DE-BC7F-1D97FC2A0240}" name="Column14496"/>
    <tableColumn id="14508" xr3:uid="{41595FDD-146A-4EF5-90A6-9A3B6119930C}" name="Column14497"/>
    <tableColumn id="14509" xr3:uid="{1E48EE67-8396-4948-8033-AA1E105851DE}" name="Column14498"/>
    <tableColumn id="14510" xr3:uid="{79102623-9848-428E-ADCE-25FEE70AA3A8}" name="Column14499"/>
    <tableColumn id="14511" xr3:uid="{0799A5E0-9D28-48FA-A0B2-78FD93DBF039}" name="Column14500"/>
    <tableColumn id="14512" xr3:uid="{D922D164-0AFE-4FF2-A706-D6AC359F19EE}" name="Column14501"/>
    <tableColumn id="14513" xr3:uid="{B4CCBA9C-5A20-4DE5-96E4-7B211884171B}" name="Column14502"/>
    <tableColumn id="14514" xr3:uid="{673FAA8C-80A8-41E2-9FE7-247C0DE15690}" name="Column14503"/>
    <tableColumn id="14515" xr3:uid="{B7FC4D91-64E1-4DE0-B5F0-016DC133BFE5}" name="Column14504"/>
    <tableColumn id="14516" xr3:uid="{CC5FF34A-9AF5-4D74-BD5B-2FA9B1575600}" name="Column14505"/>
    <tableColumn id="14517" xr3:uid="{A168B185-BB32-42FD-AB0D-4FC815532EDC}" name="Column14506"/>
    <tableColumn id="14518" xr3:uid="{776FB7EF-64DE-4C97-986C-5EDDB71A43D1}" name="Column14507"/>
    <tableColumn id="14519" xr3:uid="{C3C3F5A1-0242-42B4-AE6B-3318B242CB87}" name="Column14508"/>
    <tableColumn id="14520" xr3:uid="{E4BE78A3-F395-4133-9F80-F63737F0EA15}" name="Column14509"/>
    <tableColumn id="14521" xr3:uid="{5E2A9059-412C-4C8C-A87B-AF32F625E13F}" name="Column14510"/>
    <tableColumn id="14522" xr3:uid="{BA2BD8E4-1261-4C49-A3CA-237B1DE983A2}" name="Column14511"/>
    <tableColumn id="14523" xr3:uid="{BF2FB3BC-7940-4217-8A1C-C3FCBD626D4E}" name="Column14512"/>
    <tableColumn id="14524" xr3:uid="{04C9E015-7FF9-47A9-9E97-A1BA8D4771A0}" name="Column14513"/>
    <tableColumn id="14525" xr3:uid="{A1A3C52D-28F2-44EE-96BF-3ADC2F49B58E}" name="Column14514"/>
    <tableColumn id="14526" xr3:uid="{8195B811-B0BA-4A63-AE50-DD5972A1EE62}" name="Column14515"/>
    <tableColumn id="14527" xr3:uid="{23753C09-D22C-4B6A-B64C-95AD8D803F15}" name="Column14516"/>
    <tableColumn id="14528" xr3:uid="{6EADF538-DC18-4A23-B6E8-9CBAE7C21E90}" name="Column14517"/>
    <tableColumn id="14529" xr3:uid="{7D8C244F-7B6E-4E8B-9B67-FCF3D646C398}" name="Column14518"/>
    <tableColumn id="14530" xr3:uid="{463C49F5-C999-436E-B476-9C9354072C04}" name="Column14519"/>
    <tableColumn id="14531" xr3:uid="{12D0770D-A79E-479E-B947-D516113CA951}" name="Column14520"/>
    <tableColumn id="14532" xr3:uid="{408ABE4E-D154-4835-A856-06E4C47924E9}" name="Column14521"/>
    <tableColumn id="14533" xr3:uid="{09C76470-338C-403F-B652-6C678EB65D94}" name="Column14522"/>
    <tableColumn id="14534" xr3:uid="{FAD128B5-E580-4D4B-8EE1-37153FB86C14}" name="Column14523"/>
    <tableColumn id="14535" xr3:uid="{0D522E48-30EA-4579-AD00-3AACEF2DDEBD}" name="Column14524"/>
    <tableColumn id="14536" xr3:uid="{D5EB74E7-A647-4C93-8D39-1E2845CB26AB}" name="Column14525"/>
    <tableColumn id="14537" xr3:uid="{A3913A34-644F-4FB7-BFFB-266A1BD9515C}" name="Column14526"/>
    <tableColumn id="14538" xr3:uid="{18DB8573-6371-4A6D-AEA4-026DD65DFFAE}" name="Column14527"/>
    <tableColumn id="14539" xr3:uid="{0C4C1201-0F6A-434C-8780-E437D6120A55}" name="Column14528"/>
    <tableColumn id="14540" xr3:uid="{F4B83979-9820-439B-AAE5-C510A44AA454}" name="Column14529"/>
    <tableColumn id="14541" xr3:uid="{014E4355-07E7-491B-A844-B55EA9F53FB8}" name="Column14530"/>
    <tableColumn id="14542" xr3:uid="{1CF91320-2C89-45A4-959B-5DFC58732EE0}" name="Column14531"/>
    <tableColumn id="14543" xr3:uid="{DABBF5AC-6664-4857-93F0-78AB612BD1F7}" name="Column14532"/>
    <tableColumn id="14544" xr3:uid="{5509E496-3A84-4F0C-9848-869438CA3BD9}" name="Column14533"/>
    <tableColumn id="14545" xr3:uid="{47CB00D7-786F-4C18-AD90-A417E3C0B3C4}" name="Column14534"/>
    <tableColumn id="14546" xr3:uid="{B12E574A-A0C1-4A35-ACEA-975F258C4A77}" name="Column14535"/>
    <tableColumn id="14547" xr3:uid="{1118008C-C395-4B2C-9453-04F4B0B0333D}" name="Column14536"/>
    <tableColumn id="14548" xr3:uid="{CA082E0D-9C1E-44A4-8DCC-017645B902B1}" name="Column14537"/>
    <tableColumn id="14549" xr3:uid="{B985BF23-1140-4715-AECB-B909CDB2B68D}" name="Column14538"/>
    <tableColumn id="14550" xr3:uid="{1FBB94DC-F8C5-40D0-87E0-83049F5F086F}" name="Column14539"/>
    <tableColumn id="14551" xr3:uid="{78BCD9B1-84E5-4CBE-B996-AEC0F4AC02EE}" name="Column14540"/>
    <tableColumn id="14552" xr3:uid="{123923C1-960E-447C-94DF-EB7CC6D8B180}" name="Column14541"/>
    <tableColumn id="14553" xr3:uid="{10148521-3AA5-4AD2-9A5E-C89BDE2E2CB4}" name="Column14542"/>
    <tableColumn id="14554" xr3:uid="{A260080A-D184-40EB-BCAA-70EE77115DC4}" name="Column14543"/>
    <tableColumn id="14555" xr3:uid="{A961A3FD-DD6C-431F-88CD-3D3C939AED32}" name="Column14544"/>
    <tableColumn id="14556" xr3:uid="{20B25F15-CA1A-4F0F-BB57-E6E2451D04F4}" name="Column14545"/>
    <tableColumn id="14557" xr3:uid="{5ED8ECBD-C94B-44CD-BAA3-0691E7D0DC25}" name="Column14546"/>
    <tableColumn id="14558" xr3:uid="{A5098C4B-77A8-49E3-8814-C629B840F068}" name="Column14547"/>
    <tableColumn id="14559" xr3:uid="{C5BC65D6-941E-40CE-A33F-EB58085A9088}" name="Column14548"/>
    <tableColumn id="14560" xr3:uid="{313396A8-5E12-4882-B69F-4870DC9A341B}" name="Column14549"/>
    <tableColumn id="14561" xr3:uid="{DBC88494-6D36-4C2C-B283-D78DEE735E54}" name="Column14550"/>
    <tableColumn id="14562" xr3:uid="{95334A89-3599-4BEA-9A73-950AB0735D21}" name="Column14551"/>
    <tableColumn id="14563" xr3:uid="{1D7F3307-4AAD-4924-9648-C90CDC27AAAD}" name="Column14552"/>
    <tableColumn id="14564" xr3:uid="{B81E7944-9733-4BE2-811A-0976EE68AB40}" name="Column14553"/>
    <tableColumn id="14565" xr3:uid="{21500593-22FA-4AE0-93F7-A5C2CC53813F}" name="Column14554"/>
    <tableColumn id="14566" xr3:uid="{FC475828-DFF2-4E59-BB20-555A18E95F47}" name="Column14555"/>
    <tableColumn id="14567" xr3:uid="{45938EFD-0DF2-40EE-BBDF-EA83154E6D32}" name="Column14556"/>
    <tableColumn id="14568" xr3:uid="{33354CD9-4848-4720-8092-107B74A605DC}" name="Column14557"/>
    <tableColumn id="14569" xr3:uid="{FDD34BCF-76E7-4B64-9BF7-A0E63F6EBEB3}" name="Column14558"/>
    <tableColumn id="14570" xr3:uid="{11963AB1-1D8F-498C-8D42-2A0C49C33413}" name="Column14559"/>
    <tableColumn id="14571" xr3:uid="{0680732A-01B0-4971-A07A-0585B2E3C0B4}" name="Column14560"/>
    <tableColumn id="14572" xr3:uid="{B4651F96-C55B-451A-A276-3CCE64F1E0FE}" name="Column14561"/>
    <tableColumn id="14573" xr3:uid="{A238BE90-D16E-4ECE-976A-83842DA61AE7}" name="Column14562"/>
    <tableColumn id="14574" xr3:uid="{A74BED67-15BA-4023-8399-4B781F539997}" name="Column14563"/>
    <tableColumn id="14575" xr3:uid="{AAE6D69A-CB7E-4AF0-A762-99F792875CB0}" name="Column14564"/>
    <tableColumn id="14576" xr3:uid="{8A36785B-57DA-4414-B117-DADB54441585}" name="Column14565"/>
    <tableColumn id="14577" xr3:uid="{0C69BB1A-115A-4097-BAFA-9777134FA5C0}" name="Column14566"/>
    <tableColumn id="14578" xr3:uid="{7B1B82CB-BA05-491A-8021-AAD9A6B97D98}" name="Column14567"/>
    <tableColumn id="14579" xr3:uid="{5DAC0D8C-9AC4-4BEF-8550-0E87D42ED895}" name="Column14568"/>
    <tableColumn id="14580" xr3:uid="{1261746E-4416-4F19-A733-AEC0593C6D68}" name="Column14569"/>
    <tableColumn id="14581" xr3:uid="{30CEEF36-0EC1-4ED1-AC2F-D6B3CEA3B4B7}" name="Column14570"/>
    <tableColumn id="14582" xr3:uid="{A20657A4-BE7F-48EB-A71A-3C8313A0B74F}" name="Column14571"/>
    <tableColumn id="14583" xr3:uid="{5AA3F01B-0463-4AD8-BC7A-C977ABF2D2FB}" name="Column14572"/>
    <tableColumn id="14584" xr3:uid="{F3318A18-27F1-4D66-87F0-3C7A7F0246EB}" name="Column14573"/>
    <tableColumn id="14585" xr3:uid="{7009ABBF-117D-4E29-84DD-6E9DC77C5D27}" name="Column14574"/>
    <tableColumn id="14586" xr3:uid="{0B871C95-81E2-466D-A9B1-3AF2E4B85E72}" name="Column14575"/>
    <tableColumn id="14587" xr3:uid="{2111CC23-AC7E-46A2-9D6A-E7B80E467E2E}" name="Column14576"/>
    <tableColumn id="14588" xr3:uid="{47A208A4-6E6D-41ED-8A85-35C2B4B2485E}" name="Column14577"/>
    <tableColumn id="14589" xr3:uid="{AFD5F785-4FDF-4FBD-AFC7-597F090F0A87}" name="Column14578"/>
    <tableColumn id="14590" xr3:uid="{F608B579-EA92-43FC-8ACB-58F5F3959935}" name="Column14579"/>
    <tableColumn id="14591" xr3:uid="{1DF433CC-44C5-420E-A5D8-95860C2C69A0}" name="Column14580"/>
    <tableColumn id="14592" xr3:uid="{6D504FE8-0BA3-4B8C-84EE-A4C0CECD7D74}" name="Column14581"/>
    <tableColumn id="14593" xr3:uid="{312DC337-CC0D-4DAC-BACB-BA18AF964E70}" name="Column14582"/>
    <tableColumn id="14594" xr3:uid="{50689E21-2461-4C68-93FE-773CBD3934C7}" name="Column14583"/>
    <tableColumn id="14595" xr3:uid="{63CFF971-015B-419C-A125-C0ED73710F76}" name="Column14584"/>
    <tableColumn id="14596" xr3:uid="{B4C903AD-D786-41D2-B645-19DA52DDA9B7}" name="Column14585"/>
    <tableColumn id="14597" xr3:uid="{5FC576D5-033E-421F-907F-8E72EF46C4FD}" name="Column14586"/>
    <tableColumn id="14598" xr3:uid="{7047B33B-7B75-4981-AAC6-FB2D9D756FB3}" name="Column14587"/>
    <tableColumn id="14599" xr3:uid="{2AF66A45-7F5F-4E73-B536-82626ECF62D8}" name="Column14588"/>
    <tableColumn id="14600" xr3:uid="{DEBE7331-4781-4628-8F86-7975F3AEAF2F}" name="Column14589"/>
    <tableColumn id="14601" xr3:uid="{9692EB12-0186-470E-A00D-480F74E1BEE5}" name="Column14590"/>
    <tableColumn id="14602" xr3:uid="{81656205-0215-45C7-A86F-6BDFCA5EADC5}" name="Column14591"/>
    <tableColumn id="14603" xr3:uid="{82FC6E0A-6C82-45E4-B034-A0D9EF389FAC}" name="Column14592"/>
    <tableColumn id="14604" xr3:uid="{04FE7C49-4D21-487C-8807-9C20CD3D3FBA}" name="Column14593"/>
    <tableColumn id="14605" xr3:uid="{0FFA1982-CF43-4E88-A963-4718124F00C5}" name="Column14594"/>
    <tableColumn id="14606" xr3:uid="{C934397D-D746-4B9B-84BF-7D0A5C213D27}" name="Column14595"/>
    <tableColumn id="14607" xr3:uid="{50CB74B0-5927-4AB9-B5EA-E73921C23FFF}" name="Column14596"/>
    <tableColumn id="14608" xr3:uid="{96617AA7-5A5A-4BFF-A778-401E6609E265}" name="Column14597"/>
    <tableColumn id="14609" xr3:uid="{A1E0FF62-EC7E-46B5-AE82-26584FD46F17}" name="Column14598"/>
    <tableColumn id="14610" xr3:uid="{2EDECC66-E3BF-413D-B33A-3A939593E28E}" name="Column14599"/>
    <tableColumn id="14611" xr3:uid="{6E126A98-F8FF-48FF-9F55-0E50589C0234}" name="Column14600"/>
    <tableColumn id="14612" xr3:uid="{B6699E30-FD62-4B98-B555-C9ED84145D98}" name="Column14601"/>
    <tableColumn id="14613" xr3:uid="{F75144E5-6880-4ED5-9601-B52F0337C08E}" name="Column14602"/>
    <tableColumn id="14614" xr3:uid="{520D7D4E-218D-4E6D-82E4-7A7F2DB0F39F}" name="Column14603"/>
    <tableColumn id="14615" xr3:uid="{A54850A8-7B14-41AE-8374-B8D1F0B71F30}" name="Column14604"/>
    <tableColumn id="14616" xr3:uid="{1834B41C-AFBA-4B88-B285-DDEC54A3354F}" name="Column14605"/>
    <tableColumn id="14617" xr3:uid="{AB69AA25-41FC-4EB0-8982-D6060877E82E}" name="Column14606"/>
    <tableColumn id="14618" xr3:uid="{62884CCE-C033-44B1-9BB5-256126AD1A7B}" name="Column14607"/>
    <tableColumn id="14619" xr3:uid="{06041137-3474-4077-8DC0-EC2890A5A733}" name="Column14608"/>
    <tableColumn id="14620" xr3:uid="{DFFDED58-4A6F-45BA-B589-C53EFE03789A}" name="Column14609"/>
    <tableColumn id="14621" xr3:uid="{05F51EFE-060B-4E1C-BB91-1C85F4ED8551}" name="Column14610"/>
    <tableColumn id="14622" xr3:uid="{4F1C4B28-F215-4779-B62A-787297DBA512}" name="Column14611"/>
    <tableColumn id="14623" xr3:uid="{0443ACEE-64EC-4B89-A8D1-4FE8745FA254}" name="Column14612"/>
    <tableColumn id="14624" xr3:uid="{DA700446-A220-4B1C-852A-8C82F0F59FC6}" name="Column14613"/>
    <tableColumn id="14625" xr3:uid="{98983BBD-3013-4EC4-8FA7-73FAA02CFF7A}" name="Column14614"/>
    <tableColumn id="14626" xr3:uid="{5B548C0F-013A-42F2-801A-9517D12795C3}" name="Column14615"/>
    <tableColumn id="14627" xr3:uid="{7C3DDF3B-87F0-46EB-9C62-95E8A8BB52B0}" name="Column14616"/>
    <tableColumn id="14628" xr3:uid="{A53D00D9-3732-464D-B1AA-295502DEB8FF}" name="Column14617"/>
    <tableColumn id="14629" xr3:uid="{78EDCEC0-9A9E-4D0F-8261-FCEB5EEE949B}" name="Column14618"/>
    <tableColumn id="14630" xr3:uid="{0F782280-111C-4008-8CA1-1DE35440D198}" name="Column14619"/>
    <tableColumn id="14631" xr3:uid="{3F6B2D63-9A74-4000-9372-81DA8FB16939}" name="Column14620"/>
    <tableColumn id="14632" xr3:uid="{FDF3F358-5CF3-47EE-BC43-360CC7F5C39D}" name="Column14621"/>
    <tableColumn id="14633" xr3:uid="{514638A6-275F-4830-A3F0-C92752A32EC8}" name="Column14622"/>
    <tableColumn id="14634" xr3:uid="{FB178D54-C684-40E3-945D-0E0FF6DE552D}" name="Column14623"/>
    <tableColumn id="14635" xr3:uid="{08CC8039-1381-49F3-82A1-19243EF85F04}" name="Column14624"/>
    <tableColumn id="14636" xr3:uid="{389FB553-E357-40CB-93FA-D74407D7F7E5}" name="Column14625"/>
    <tableColumn id="14637" xr3:uid="{D280DB36-CABD-4820-B827-A4EB4386A19E}" name="Column14626"/>
    <tableColumn id="14638" xr3:uid="{011DAC48-84CC-46F1-A27C-97B0F4B497DC}" name="Column14627"/>
    <tableColumn id="14639" xr3:uid="{66BE62BC-89BF-4AD5-AF67-E15AEBBBA616}" name="Column14628"/>
    <tableColumn id="14640" xr3:uid="{5BFC28AB-D3A4-407C-9818-60EC1B174854}" name="Column14629"/>
    <tableColumn id="14641" xr3:uid="{B0E7C2AF-D14C-4DC0-9FF1-00ACB9670B69}" name="Column14630"/>
    <tableColumn id="14642" xr3:uid="{83139E7E-9856-49E3-94CA-1CE13B42D47D}" name="Column14631"/>
    <tableColumn id="14643" xr3:uid="{45C1FC44-0C56-4870-83BF-4516024E45B3}" name="Column14632"/>
    <tableColumn id="14644" xr3:uid="{9F545C91-70BC-417E-82EE-130862430188}" name="Column14633"/>
    <tableColumn id="14645" xr3:uid="{DA0C0DC4-3368-4CE6-AA2A-A9B00B5FEDEA}" name="Column14634"/>
    <tableColumn id="14646" xr3:uid="{B47AD94F-3690-4F56-921D-D12A372399D6}" name="Column14635"/>
    <tableColumn id="14647" xr3:uid="{6FE439CC-E943-4FE7-B432-FD7828637F01}" name="Column14636"/>
    <tableColumn id="14648" xr3:uid="{05989805-42C4-411D-B459-15BD66FCA04A}" name="Column14637"/>
    <tableColumn id="14649" xr3:uid="{17500746-3734-409A-BE6E-8875E3253596}" name="Column14638"/>
    <tableColumn id="14650" xr3:uid="{E0B10023-38E9-44F8-91A8-33290BD425F7}" name="Column14639"/>
    <tableColumn id="14651" xr3:uid="{FFD2F8F1-2DC2-458E-A997-AE063E89936E}" name="Column14640"/>
    <tableColumn id="14652" xr3:uid="{37FEC808-AAB0-463D-A7A1-EBDEC34BD88B}" name="Column14641"/>
    <tableColumn id="14653" xr3:uid="{1E9620F0-290E-4327-BF67-FE713A804600}" name="Column14642"/>
    <tableColumn id="14654" xr3:uid="{EAEB8BCB-9141-4DF5-80D6-65A95A9CA671}" name="Column14643"/>
    <tableColumn id="14655" xr3:uid="{06ABD2E2-944A-4548-BE2F-E1688A6DC18F}" name="Column14644"/>
    <tableColumn id="14656" xr3:uid="{F090B610-7CEF-4728-97CA-2CB593369D78}" name="Column14645"/>
    <tableColumn id="14657" xr3:uid="{A51FE164-9492-4B6E-BAEC-2D90DD820DEB}" name="Column14646"/>
    <tableColumn id="14658" xr3:uid="{A2126D29-4AA0-4A05-9AB6-954F792BE36E}" name="Column14647"/>
    <tableColumn id="14659" xr3:uid="{329F7566-0288-4D8C-BF33-A48F90AF68D8}" name="Column14648"/>
    <tableColumn id="14660" xr3:uid="{68DFE3D9-46D2-4EF1-A109-5468F9B8E272}" name="Column14649"/>
    <tableColumn id="14661" xr3:uid="{05CE68D8-003C-47F8-94E0-E49E36428E77}" name="Column14650"/>
    <tableColumn id="14662" xr3:uid="{949DB2E4-7BA7-4A36-A85D-2438C5E398E8}" name="Column14651"/>
    <tableColumn id="14663" xr3:uid="{D1E8C8DC-0C79-4208-8C0F-1B78119743C7}" name="Column14652"/>
    <tableColumn id="14664" xr3:uid="{F28A793A-C5DB-435F-B0FC-13A8B3F4EB62}" name="Column14653"/>
    <tableColumn id="14665" xr3:uid="{D525A7DF-5F53-4C59-810B-DE403B2EB510}" name="Column14654"/>
    <tableColumn id="14666" xr3:uid="{19CA8122-102A-42B5-8809-16B892BFE589}" name="Column14655"/>
    <tableColumn id="14667" xr3:uid="{8CB2C74F-8F4F-4523-9A26-A378EB7F78C5}" name="Column14656"/>
    <tableColumn id="14668" xr3:uid="{A1B16AE1-7B28-4035-A29D-82DB147EF912}" name="Column14657"/>
    <tableColumn id="14669" xr3:uid="{34A26D8B-A4B4-4C86-B0E8-9F30A545394B}" name="Column14658"/>
    <tableColumn id="14670" xr3:uid="{3F01154C-14D2-4A8F-9623-76CEDD2BD769}" name="Column14659"/>
    <tableColumn id="14671" xr3:uid="{30C21C56-F638-4B29-90D3-8F64BE0DB899}" name="Column14660"/>
    <tableColumn id="14672" xr3:uid="{54600D43-E4C3-4E99-A8A7-6DE718C476BB}" name="Column14661"/>
    <tableColumn id="14673" xr3:uid="{42780DA8-B9D7-4DB1-8A81-2F36A4B2C6C4}" name="Column14662"/>
    <tableColumn id="14674" xr3:uid="{9CF6E292-C9DB-4C69-B941-EC9F3E3BB4CC}" name="Column14663"/>
    <tableColumn id="14675" xr3:uid="{218DC1B3-0D14-4E2B-AF46-983C6F80F095}" name="Column14664"/>
    <tableColumn id="14676" xr3:uid="{C1EE3FF1-0E4C-4E4F-9473-A909ECA5AD68}" name="Column14665"/>
    <tableColumn id="14677" xr3:uid="{E96E880B-0B69-4998-972B-E304686D7510}" name="Column14666"/>
    <tableColumn id="14678" xr3:uid="{62733243-731A-4FBC-8020-8B98880B235A}" name="Column14667"/>
    <tableColumn id="14679" xr3:uid="{C2CBB479-C2BF-4D17-9B6D-7D563BBA0C00}" name="Column14668"/>
    <tableColumn id="14680" xr3:uid="{5B70EDC4-5DB1-4972-A5F6-19BA64DA23DD}" name="Column14669"/>
    <tableColumn id="14681" xr3:uid="{21145283-8A4C-4CDE-ACEA-656C71A3AF48}" name="Column14670"/>
    <tableColumn id="14682" xr3:uid="{A2DA38F4-71CA-4CC1-A177-81B654D2DFB9}" name="Column14671"/>
    <tableColumn id="14683" xr3:uid="{D5F4C5E4-99C6-4D82-8AFB-4818A8133DCB}" name="Column14672"/>
    <tableColumn id="14684" xr3:uid="{4CA62384-4F46-473F-94CD-7E023418933A}" name="Column14673"/>
    <tableColumn id="14685" xr3:uid="{C1301764-3CCE-4DCD-A59E-0A59035B6511}" name="Column14674"/>
    <tableColumn id="14686" xr3:uid="{F293AE2D-89BA-47AE-8017-4749F78BCE04}" name="Column14675"/>
    <tableColumn id="14687" xr3:uid="{C4D81208-A840-48CB-9D42-E9E7FDD0218D}" name="Column14676"/>
    <tableColumn id="14688" xr3:uid="{83012B22-C2A2-4052-9072-3CEBC43C872F}" name="Column14677"/>
    <tableColumn id="14689" xr3:uid="{88F71484-1066-4273-A0C6-CD9727873062}" name="Column14678"/>
    <tableColumn id="14690" xr3:uid="{7AC29367-1805-408E-8FA0-02AB328DD472}" name="Column14679"/>
    <tableColumn id="14691" xr3:uid="{550CE519-B752-4338-922E-44DCB0A5941F}" name="Column14680"/>
    <tableColumn id="14692" xr3:uid="{F8975CE6-25D9-4758-B4DA-D0867679DC86}" name="Column14681"/>
    <tableColumn id="14693" xr3:uid="{1DEC425B-8FD2-47B7-B5F6-685D5A0ACA94}" name="Column14682"/>
    <tableColumn id="14694" xr3:uid="{4D7AA1CB-5FCE-4C9A-B73A-23A0DFD2EAB3}" name="Column14683"/>
    <tableColumn id="14695" xr3:uid="{81F8E711-717A-4D67-8134-74910AA51C68}" name="Column14684"/>
    <tableColumn id="14696" xr3:uid="{7476E2F0-25F3-4CC3-9673-19E8AA9D8216}" name="Column14685"/>
    <tableColumn id="14697" xr3:uid="{FDC6505A-6C05-445C-A900-C8352A8DD62B}" name="Column14686"/>
    <tableColumn id="14698" xr3:uid="{6F34EFCE-8249-459F-92DB-EE8824CB10A6}" name="Column14687"/>
    <tableColumn id="14699" xr3:uid="{137967CE-742F-4076-97F5-76391051E009}" name="Column14688"/>
    <tableColumn id="14700" xr3:uid="{E18ABF5A-6607-4180-BADB-97B07E63D319}" name="Column14689"/>
    <tableColumn id="14701" xr3:uid="{0E43A2AD-1061-4C22-8906-1CEA72F703F4}" name="Column14690"/>
    <tableColumn id="14702" xr3:uid="{E03C6DBA-B96A-413B-BFEA-456E1C68ADE1}" name="Column14691"/>
    <tableColumn id="14703" xr3:uid="{A38359B0-00E0-4F5E-B9BD-7CF3DEDEF808}" name="Column14692"/>
    <tableColumn id="14704" xr3:uid="{9A0AA157-BCF9-487F-A8B0-3C1F5D466EF6}" name="Column14693"/>
    <tableColumn id="14705" xr3:uid="{1830EBA6-34E5-4EFB-A77E-4CEBC490DB97}" name="Column14694"/>
    <tableColumn id="14706" xr3:uid="{427F221A-EC65-4579-AB42-D683ADD21F50}" name="Column14695"/>
    <tableColumn id="14707" xr3:uid="{F75B5C32-C806-472D-946E-EDD658BD6CC6}" name="Column14696"/>
    <tableColumn id="14708" xr3:uid="{8EC38047-C9AB-44F0-853C-2BC2AC2F4CE3}" name="Column14697"/>
    <tableColumn id="14709" xr3:uid="{758F24DA-7551-432C-B602-0ECBA1D209EA}" name="Column14698"/>
    <tableColumn id="14710" xr3:uid="{7F00A6E3-53B2-421B-AF8F-EEEE8F58E55B}" name="Column14699"/>
    <tableColumn id="14711" xr3:uid="{1ABAF592-A5A5-463F-B200-30C5BBA740E3}" name="Column14700"/>
    <tableColumn id="14712" xr3:uid="{177BE32F-8102-4501-8E8D-9D3A9A60E163}" name="Column14701"/>
    <tableColumn id="14713" xr3:uid="{2EC6ADC0-863E-4BC6-96C0-F16BBA7389A4}" name="Column14702"/>
    <tableColumn id="14714" xr3:uid="{8235B386-3DDC-4234-AC9B-2194BB96C1EE}" name="Column14703"/>
    <tableColumn id="14715" xr3:uid="{07AFB064-475C-40F8-942C-E7DA4BC0AB79}" name="Column14704"/>
    <tableColumn id="14716" xr3:uid="{76D83A72-2854-4836-821B-C09271C4F80F}" name="Column14705"/>
    <tableColumn id="14717" xr3:uid="{71001005-AB15-4D63-877A-F194BDBAF05C}" name="Column14706"/>
    <tableColumn id="14718" xr3:uid="{9E460C99-EC87-4063-9652-13557783AB36}" name="Column14707"/>
    <tableColumn id="14719" xr3:uid="{3BF772D3-D96F-4DCE-9A2C-142FEFA0D6AF}" name="Column14708"/>
    <tableColumn id="14720" xr3:uid="{55BFF46B-434D-42F3-9F75-FD05A844C0F1}" name="Column14709"/>
    <tableColumn id="14721" xr3:uid="{15FB4888-512E-47D2-8A50-95495AC0242E}" name="Column14710"/>
    <tableColumn id="14722" xr3:uid="{B2CE38F8-859C-4C63-84F6-DB44DD124BB6}" name="Column14711"/>
    <tableColumn id="14723" xr3:uid="{C1585097-FF0B-472B-86F0-E1CC6418FA71}" name="Column14712"/>
    <tableColumn id="14724" xr3:uid="{517CFA30-9A3B-42BE-94FE-5EE8A1CCBFCA}" name="Column14713"/>
    <tableColumn id="14725" xr3:uid="{682B2EA7-8248-401E-B5AC-7A6228C7EF7C}" name="Column14714"/>
    <tableColumn id="14726" xr3:uid="{5DB13AC6-CF71-4B18-B84F-7282051B0EAB}" name="Column14715"/>
    <tableColumn id="14727" xr3:uid="{235FD226-11FC-432E-929C-7FB783FD8739}" name="Column14716"/>
    <tableColumn id="14728" xr3:uid="{611E82AC-6351-4CFD-BC36-E924A5883538}" name="Column14717"/>
    <tableColumn id="14729" xr3:uid="{386364F1-0055-4B1A-B0FB-3DAC2556BCA9}" name="Column14718"/>
    <tableColumn id="14730" xr3:uid="{CD5FE06D-E4FC-4650-BA35-E58B2A2F70A1}" name="Column14719"/>
    <tableColumn id="14731" xr3:uid="{48A2F723-3643-4F63-83A1-6B85FD191E18}" name="Column14720"/>
    <tableColumn id="14732" xr3:uid="{D3E2AB38-A141-40D6-B133-355AFDBC829C}" name="Column14721"/>
    <tableColumn id="14733" xr3:uid="{CB4B1C6D-28AD-4120-9D00-8357D89B9E92}" name="Column14722"/>
    <tableColumn id="14734" xr3:uid="{DC870BC3-3D73-44EF-89C2-E91A7DDCB964}" name="Column14723"/>
    <tableColumn id="14735" xr3:uid="{09F39A4D-4F56-42EC-97E6-B03E4BA14385}" name="Column14724"/>
    <tableColumn id="14736" xr3:uid="{D5087B32-F3AA-407A-9626-FDF320E3122D}" name="Column14725"/>
    <tableColumn id="14737" xr3:uid="{351EA814-A3B5-483A-B878-0437DC8F1F02}" name="Column14726"/>
    <tableColumn id="14738" xr3:uid="{067A14F4-5B2A-4BE5-BB0D-BF51DDD91720}" name="Column14727"/>
    <tableColumn id="14739" xr3:uid="{C8ECA1D8-7763-4B61-A220-81A214EAF9F2}" name="Column14728"/>
    <tableColumn id="14740" xr3:uid="{E36305F3-04E7-4EAC-8D63-92120927D462}" name="Column14729"/>
    <tableColumn id="14741" xr3:uid="{2211FD61-9862-4997-A231-A85B49F87E1F}" name="Column14730"/>
    <tableColumn id="14742" xr3:uid="{B0215BBA-2836-4983-AF4B-8739A94D24BF}" name="Column14731"/>
    <tableColumn id="14743" xr3:uid="{560DBFEB-01A1-4730-9AEF-131E85F8AD98}" name="Column14732"/>
    <tableColumn id="14744" xr3:uid="{232230AB-69E9-45DE-B1A8-E5A3F137D3FF}" name="Column14733"/>
    <tableColumn id="14745" xr3:uid="{39BF5FAD-EF57-4359-83F2-25A27F8E1339}" name="Column14734"/>
    <tableColumn id="14746" xr3:uid="{1CFC38AC-28C9-4897-B62D-DDB2B3B8FDA9}" name="Column14735"/>
    <tableColumn id="14747" xr3:uid="{068848E2-3AA8-4537-A752-E0D5ADD1F052}" name="Column14736"/>
    <tableColumn id="14748" xr3:uid="{AA2D18D9-3711-4E41-837D-9ED3D92B0697}" name="Column14737"/>
    <tableColumn id="14749" xr3:uid="{D72CC8EB-0124-4A5A-8420-B8B990480FD9}" name="Column14738"/>
    <tableColumn id="14750" xr3:uid="{2279CCFB-7AD5-45D3-A6F9-CB4943E43267}" name="Column14739"/>
    <tableColumn id="14751" xr3:uid="{6A80B869-5967-4FEF-A336-D07427435B9F}" name="Column14740"/>
    <tableColumn id="14752" xr3:uid="{33B58C6C-AEE0-40D9-848A-908665E23FC3}" name="Column14741"/>
    <tableColumn id="14753" xr3:uid="{89864B4D-FC7B-449C-8BFC-CA3BFAE24727}" name="Column14742"/>
    <tableColumn id="14754" xr3:uid="{E2CBED8D-CBA7-47D7-B955-EEF188EDAE25}" name="Column14743"/>
    <tableColumn id="14755" xr3:uid="{D8BB0D94-BC00-42BD-B89D-BFBFECA1268D}" name="Column14744"/>
    <tableColumn id="14756" xr3:uid="{0244F0E8-32B8-43AC-B393-7034BB591D1E}" name="Column14745"/>
    <tableColumn id="14757" xr3:uid="{A60A6458-E580-4B28-9DF0-F051FB770C43}" name="Column14746"/>
    <tableColumn id="14758" xr3:uid="{01174BA3-D92B-4025-B12F-D03FDB157CC6}" name="Column14747"/>
    <tableColumn id="14759" xr3:uid="{4DDEEF02-10C0-4129-9C19-4D2451093CBD}" name="Column14748"/>
    <tableColumn id="14760" xr3:uid="{03EB9D2C-C06A-4572-8E3A-1E10A8E46D74}" name="Column14749"/>
    <tableColumn id="14761" xr3:uid="{3BA7F823-F750-4AFF-8300-8B19ECE013E2}" name="Column14750"/>
    <tableColumn id="14762" xr3:uid="{A29199DA-4F3B-41B5-AF35-46E5CCAEA5C8}" name="Column14751"/>
    <tableColumn id="14763" xr3:uid="{B7FB6567-079A-43C8-91D0-F7A8907702D9}" name="Column14752"/>
    <tableColumn id="14764" xr3:uid="{A1508E7F-D2BE-43C9-BDF9-2F75514623A0}" name="Column14753"/>
    <tableColumn id="14765" xr3:uid="{1874428E-2938-43A7-B12A-4D3564CB3973}" name="Column14754"/>
    <tableColumn id="14766" xr3:uid="{E9F2C79C-1878-44E8-B342-6051497A0E50}" name="Column14755"/>
    <tableColumn id="14767" xr3:uid="{DC47E63F-15B5-4CC5-8628-D6EE04AFCFD5}" name="Column14756"/>
    <tableColumn id="14768" xr3:uid="{EA7E46E9-AA61-4769-B509-DB8347711628}" name="Column14757"/>
    <tableColumn id="14769" xr3:uid="{F15CEA97-1A69-4ED6-83FA-B11ECDA6ED40}" name="Column14758"/>
    <tableColumn id="14770" xr3:uid="{9B525AAF-9627-4B05-A7BF-B22DF95A1F1C}" name="Column14759"/>
    <tableColumn id="14771" xr3:uid="{9CF9930C-DDA4-414B-B80A-C16F2D8BA067}" name="Column14760"/>
    <tableColumn id="14772" xr3:uid="{7BDCA3EA-7F6A-4FED-B57E-3E7E3ADEC177}" name="Column14761"/>
    <tableColumn id="14773" xr3:uid="{3E179920-9EE0-4E53-B834-411F9654A68C}" name="Column14762"/>
    <tableColumn id="14774" xr3:uid="{EA660E2A-1414-4FDB-AB9D-947580B4EFE6}" name="Column14763"/>
    <tableColumn id="14775" xr3:uid="{AF2F4FD2-5B83-4D5B-85A0-5A3F400922B7}" name="Column14764"/>
    <tableColumn id="14776" xr3:uid="{B4CAB87A-BCB3-4CB1-B83F-F74DDFFD185D}" name="Column14765"/>
    <tableColumn id="14777" xr3:uid="{5B8F68B6-4149-4517-932D-E42BEAA33710}" name="Column14766"/>
    <tableColumn id="14778" xr3:uid="{D4F985C4-2839-4BA8-8983-6D4017B64E74}" name="Column14767"/>
    <tableColumn id="14779" xr3:uid="{827789B1-C8CF-4E6E-A193-1AFE8848986D}" name="Column14768"/>
    <tableColumn id="14780" xr3:uid="{DF009DDF-7F5B-47C2-9896-17257E1B127C}" name="Column14769"/>
    <tableColumn id="14781" xr3:uid="{2DCD87F1-642D-468D-B3D7-599768A7EE26}" name="Column14770"/>
    <tableColumn id="14782" xr3:uid="{5E49E037-402C-4026-B0D6-D9152FC62745}" name="Column14771"/>
    <tableColumn id="14783" xr3:uid="{A013FA02-F063-498A-94D9-2B42AF6F0998}" name="Column14772"/>
    <tableColumn id="14784" xr3:uid="{FD150BE3-9D64-4617-9AE8-10BCA0CF53DA}" name="Column14773"/>
    <tableColumn id="14785" xr3:uid="{B6F34FD0-4C44-45AD-BFDA-B8CBE06637C4}" name="Column14774"/>
    <tableColumn id="14786" xr3:uid="{B0E2A26A-B119-4E60-BDC9-F75B5CE97550}" name="Column14775"/>
    <tableColumn id="14787" xr3:uid="{97BB39EF-F315-4B8F-AD2C-063B2593DB3B}" name="Column14776"/>
    <tableColumn id="14788" xr3:uid="{C97766E5-D734-4CE5-880F-5F6F69F703D4}" name="Column14777"/>
    <tableColumn id="14789" xr3:uid="{0054ECE5-0B11-43CD-A478-559DDFC48487}" name="Column14778"/>
    <tableColumn id="14790" xr3:uid="{BF1155A9-3F92-4B47-99C5-C9D9370FC75B}" name="Column14779"/>
    <tableColumn id="14791" xr3:uid="{A5BC3BAE-5E8C-4B98-B454-20C11FC42846}" name="Column14780"/>
    <tableColumn id="14792" xr3:uid="{B64D8022-125D-4402-9197-026F8100EB6E}" name="Column14781"/>
    <tableColumn id="14793" xr3:uid="{070E0D96-9F71-4D30-9D86-09DAC186F5A0}" name="Column14782"/>
    <tableColumn id="14794" xr3:uid="{2A5C57FB-8AD8-41B2-A1FB-C3C1AB149129}" name="Column14783"/>
    <tableColumn id="14795" xr3:uid="{DFBE3E98-F5F1-4AA9-9471-4DF7E1357903}" name="Column14784"/>
    <tableColumn id="14796" xr3:uid="{3D7637C0-02C8-4435-B5C4-CAF211F1D1B9}" name="Column14785"/>
    <tableColumn id="14797" xr3:uid="{C5A3ABD1-AE8E-43AF-9137-0502AA3EFD13}" name="Column14786"/>
    <tableColumn id="14798" xr3:uid="{DD9CAC4E-0CE4-4ECB-8632-DBF9B8205939}" name="Column14787"/>
    <tableColumn id="14799" xr3:uid="{86D69D7A-501E-4EDF-BFEB-8A4A9CCE6FFA}" name="Column14788"/>
    <tableColumn id="14800" xr3:uid="{71BF79F0-C1C4-4F8D-BC28-9E0F0245D154}" name="Column14789"/>
    <tableColumn id="14801" xr3:uid="{848F78A0-87E2-4D8C-9B22-9A699AD36413}" name="Column14790"/>
    <tableColumn id="14802" xr3:uid="{17D4393C-3177-433F-8A67-A9FEA73A215D}" name="Column14791"/>
    <tableColumn id="14803" xr3:uid="{FAE71AB2-FB8A-4BC2-8658-3B9FCBE4DCA4}" name="Column14792"/>
    <tableColumn id="14804" xr3:uid="{C0B4FD61-060F-48E2-8C0C-7D93DDD23220}" name="Column14793"/>
    <tableColumn id="14805" xr3:uid="{65868D32-1F1D-40B4-AB03-244D465B8A13}" name="Column14794"/>
    <tableColumn id="14806" xr3:uid="{70D239C3-D715-4028-9B50-AE30FD03AC05}" name="Column14795"/>
    <tableColumn id="14807" xr3:uid="{ED48D0BC-3013-4499-8272-A0BFCBF28FB1}" name="Column14796"/>
    <tableColumn id="14808" xr3:uid="{41C2A09F-4A5E-4A2F-B616-3BDC28F1A8E8}" name="Column14797"/>
    <tableColumn id="14809" xr3:uid="{D5BBC9C4-A109-4AC7-BC5C-62F15BABD9AD}" name="Column14798"/>
    <tableColumn id="14810" xr3:uid="{4FA46457-D9F0-4B0B-A3A6-0128E1E2D67C}" name="Column14799"/>
    <tableColumn id="14811" xr3:uid="{563F8693-481D-4804-B5EB-3B12DB14920D}" name="Column14800"/>
    <tableColumn id="14812" xr3:uid="{2C79FA3C-2E26-4140-869F-88D557E8979A}" name="Column14801"/>
    <tableColumn id="14813" xr3:uid="{D49A40F6-E754-4F92-898E-45165E7AA15F}" name="Column14802"/>
    <tableColumn id="14814" xr3:uid="{A9624C88-45C7-41C2-A1D6-D022803DCB8C}" name="Column14803"/>
    <tableColumn id="14815" xr3:uid="{D5B9756B-63B2-4508-B3DF-BCA999709B37}" name="Column14804"/>
    <tableColumn id="14816" xr3:uid="{3BE5A48F-FC1C-488D-825A-4D21B504D164}" name="Column14805"/>
    <tableColumn id="14817" xr3:uid="{C08F42D3-51EC-4531-8938-8EFBECBCC57B}" name="Column14806"/>
    <tableColumn id="14818" xr3:uid="{9C52431E-4840-48B4-A126-BEF30846A520}" name="Column14807"/>
    <tableColumn id="14819" xr3:uid="{0296D0AA-26D3-49FC-844F-5F2B52F09E7C}" name="Column14808"/>
    <tableColumn id="14820" xr3:uid="{C201F2B3-82F0-4E50-BAA0-A818F5C2C972}" name="Column14809"/>
    <tableColumn id="14821" xr3:uid="{CF23525B-7B14-4F66-87DD-2D95613BFCD1}" name="Column14810"/>
    <tableColumn id="14822" xr3:uid="{1CD49F64-82D2-41C6-ADF8-F9CCEE7FEE04}" name="Column14811"/>
    <tableColumn id="14823" xr3:uid="{EE78D744-FF72-4DA6-B97B-C7DEE3008A39}" name="Column14812"/>
    <tableColumn id="14824" xr3:uid="{7EC17F5A-DC57-4557-8419-8C1F3D238B80}" name="Column14813"/>
    <tableColumn id="14825" xr3:uid="{68F27378-871F-4450-A025-0A6AC661040D}" name="Column14814"/>
    <tableColumn id="14826" xr3:uid="{F9C57B2C-14CD-4993-B55D-91702EACB3CF}" name="Column14815"/>
    <tableColumn id="14827" xr3:uid="{C44A5A7B-6742-404A-B716-3226F2F84841}" name="Column14816"/>
    <tableColumn id="14828" xr3:uid="{74F6DA50-8B3B-4F32-BC38-72862935113F}" name="Column14817"/>
    <tableColumn id="14829" xr3:uid="{6A0A98F0-5FD0-4C62-B7E1-0A8AF487597A}" name="Column14818"/>
    <tableColumn id="14830" xr3:uid="{B90FAC5D-57A8-42FB-B816-7B0636835B03}" name="Column14819"/>
    <tableColumn id="14831" xr3:uid="{450AD68E-BF67-48D9-9FB7-F5D9E8788306}" name="Column14820"/>
    <tableColumn id="14832" xr3:uid="{1C225529-D061-4B9A-A0B8-32213AEDE312}" name="Column14821"/>
    <tableColumn id="14833" xr3:uid="{54E143DE-792E-48DC-AC56-0BFEF0218E09}" name="Column14822"/>
    <tableColumn id="14834" xr3:uid="{41DD08A6-83D4-4527-AAE4-173DF19F3772}" name="Column14823"/>
    <tableColumn id="14835" xr3:uid="{1012F769-26C8-4F0A-8AAF-F62F308168FE}" name="Column14824"/>
    <tableColumn id="14836" xr3:uid="{6AF1E37C-31C6-4904-8D4F-9E96496AD553}" name="Column14825"/>
    <tableColumn id="14837" xr3:uid="{A8CFAFB5-C574-457A-99FB-407490EB6DF9}" name="Column14826"/>
    <tableColumn id="14838" xr3:uid="{9292C1FA-4A61-4038-AB47-085FE1273A09}" name="Column14827"/>
    <tableColumn id="14839" xr3:uid="{EF45C9CB-8E21-4806-A8E7-40D46FF4AC6C}" name="Column14828"/>
    <tableColumn id="14840" xr3:uid="{37EA28A4-C118-49C1-A533-A25A3A84CE0E}" name="Column14829"/>
    <tableColumn id="14841" xr3:uid="{F1DDE8FC-D8C5-4786-9F1A-056FB92ABFFB}" name="Column14830"/>
    <tableColumn id="14842" xr3:uid="{400FD05D-954F-4BBD-963B-842C960CAB09}" name="Column14831"/>
    <tableColumn id="14843" xr3:uid="{D3018D4C-77AD-40C5-B6DB-920EE40C9864}" name="Column14832"/>
    <tableColumn id="14844" xr3:uid="{29F1F7EE-E0FE-4455-931C-1383E2C0BAA6}" name="Column14833"/>
    <tableColumn id="14845" xr3:uid="{D9693C7D-7140-4B0E-B00F-5FFF506C6B8D}" name="Column14834"/>
    <tableColumn id="14846" xr3:uid="{BDE2BA71-04AE-4C51-832E-A842BD068B36}" name="Column14835"/>
    <tableColumn id="14847" xr3:uid="{45120219-04FA-4FAE-9F9D-D8459DEBBCE5}" name="Column14836"/>
    <tableColumn id="14848" xr3:uid="{999895E3-1046-402F-AD4D-70660D5606BF}" name="Column14837"/>
    <tableColumn id="14849" xr3:uid="{6A0A30E1-BD7B-41C3-A08E-F1F75BD62F12}" name="Column14838"/>
    <tableColumn id="14850" xr3:uid="{FC034B4A-5D69-4C62-A5A5-572A7F4F9964}" name="Column14839"/>
    <tableColumn id="14851" xr3:uid="{07FB0638-E39E-4062-81F7-471775843E4C}" name="Column14840"/>
    <tableColumn id="14852" xr3:uid="{773F6322-1314-4D73-93AB-9A66659874CD}" name="Column14841"/>
    <tableColumn id="14853" xr3:uid="{652EE942-794F-4628-B46E-98F5A69E07B3}" name="Column14842"/>
    <tableColumn id="14854" xr3:uid="{444E6027-CE90-46F1-A34A-CCBF55B78CCA}" name="Column14843"/>
    <tableColumn id="14855" xr3:uid="{CDBDDB93-759F-4205-9924-0D7623CCA450}" name="Column14844"/>
    <tableColumn id="14856" xr3:uid="{0F87CBBD-651E-4733-A43F-6C6BAA76A06B}" name="Column14845"/>
    <tableColumn id="14857" xr3:uid="{3E11F068-30C6-43BE-8E96-4896E90F6706}" name="Column14846"/>
    <tableColumn id="14858" xr3:uid="{AF521B8E-D9A7-433D-84BB-65633E18EFE5}" name="Column14847"/>
    <tableColumn id="14859" xr3:uid="{D42F6603-FFEB-4A4D-BA07-A1CD68A46F16}" name="Column14848"/>
    <tableColumn id="14860" xr3:uid="{F8FFA673-C63C-4594-ACEB-37DD1BEC8784}" name="Column14849"/>
    <tableColumn id="14861" xr3:uid="{857AF915-9018-4555-8A8F-5D0EFFEF1300}" name="Column14850"/>
    <tableColumn id="14862" xr3:uid="{85EAB053-2F71-402F-99A7-FF83A84ABD86}" name="Column14851"/>
    <tableColumn id="14863" xr3:uid="{042748FA-AFE9-4F6D-87FF-BD121E77FA08}" name="Column14852"/>
    <tableColumn id="14864" xr3:uid="{C206CF8E-AD3E-42C5-B749-C61BC89B2592}" name="Column14853"/>
    <tableColumn id="14865" xr3:uid="{8E93A511-487D-44B9-9294-F8BE0BDB0A43}" name="Column14854"/>
    <tableColumn id="14866" xr3:uid="{1316D9DA-4DAE-4139-B90D-CABC65B0D46C}" name="Column14855"/>
    <tableColumn id="14867" xr3:uid="{561012A9-4508-4E46-9176-FE5FBE82126D}" name="Column14856"/>
    <tableColumn id="14868" xr3:uid="{81DD6D5F-AF93-4BDF-A1F1-E564CC9A79B4}" name="Column14857"/>
    <tableColumn id="14869" xr3:uid="{249E56E0-9DAA-4C5B-B772-7EB9B0ECD586}" name="Column14858"/>
    <tableColumn id="14870" xr3:uid="{EC39EE79-BC83-4117-9CB6-BAA5F5E42A74}" name="Column14859"/>
    <tableColumn id="14871" xr3:uid="{02671A33-C792-4C09-965B-DC32B3ED6165}" name="Column14860"/>
    <tableColumn id="14872" xr3:uid="{BE3F6A70-EC19-4F08-9684-F3369373F14A}" name="Column14861"/>
    <tableColumn id="14873" xr3:uid="{7458A698-BAF7-4E55-9BD5-98FA9D98E102}" name="Column14862"/>
    <tableColumn id="14874" xr3:uid="{3CAAF8F2-7E7C-48CA-93D0-3286508F5CB4}" name="Column14863"/>
    <tableColumn id="14875" xr3:uid="{692E3A09-345C-4D69-ADE8-C1FE3F54B6F5}" name="Column14864"/>
    <tableColumn id="14876" xr3:uid="{0ADB6EB5-6C75-4AA3-BDA4-E0E4C6D5CA43}" name="Column14865"/>
    <tableColumn id="14877" xr3:uid="{52AEE4A8-BF8B-4225-9312-B719441F22F0}" name="Column14866"/>
    <tableColumn id="14878" xr3:uid="{382C07BF-8435-476A-9070-2D1F309ACC41}" name="Column14867"/>
    <tableColumn id="14879" xr3:uid="{ABA89A9E-23F6-4C72-9E22-DB4A18BE5E30}" name="Column14868"/>
    <tableColumn id="14880" xr3:uid="{306D3BE8-0919-462E-B200-CA038272BB14}" name="Column14869"/>
    <tableColumn id="14881" xr3:uid="{CD829895-D1B6-405F-A59B-D961E5CFFC22}" name="Column14870"/>
    <tableColumn id="14882" xr3:uid="{598F10DD-E9C0-461D-9364-5195D2100F72}" name="Column14871"/>
    <tableColumn id="14883" xr3:uid="{C790C28A-17F2-4644-8F9D-0B6ABDC7406B}" name="Column14872"/>
    <tableColumn id="14884" xr3:uid="{57B46457-B804-4130-BF56-F33AA39A1A57}" name="Column14873"/>
    <tableColumn id="14885" xr3:uid="{E1863463-4A72-4F53-B5FD-3E7BE9820091}" name="Column14874"/>
    <tableColumn id="14886" xr3:uid="{16D44FC6-4D8D-4568-BEB0-0423942B547A}" name="Column14875"/>
    <tableColumn id="14887" xr3:uid="{BC5769ED-C2AF-4569-911F-8059BF4D3DFA}" name="Column14876"/>
    <tableColumn id="14888" xr3:uid="{195F0DD8-693E-4F3F-9B40-0AC0E0EAA28F}" name="Column14877"/>
    <tableColumn id="14889" xr3:uid="{33A3C4C1-8080-4F5B-9555-07DF78B33B8E}" name="Column14878"/>
    <tableColumn id="14890" xr3:uid="{7ECBB8AB-C8BB-42D7-9048-D38F4BBA8C16}" name="Column14879"/>
    <tableColumn id="14891" xr3:uid="{76641B8D-ED33-4C92-831B-F4418001EC5C}" name="Column14880"/>
    <tableColumn id="14892" xr3:uid="{0E6FAFD7-EB9C-4F79-A9D9-30E1B93A2371}" name="Column14881"/>
    <tableColumn id="14893" xr3:uid="{20B90E76-E012-459D-9AC6-FFC9065F2CF1}" name="Column14882"/>
    <tableColumn id="14894" xr3:uid="{5CB9E80F-5FC5-4199-A3EF-37F42A3A673D}" name="Column14883"/>
    <tableColumn id="14895" xr3:uid="{B6F4300E-5821-4E0A-B21D-ED3F25F9DC09}" name="Column14884"/>
    <tableColumn id="14896" xr3:uid="{58626F2C-0C6A-40A4-B6C9-A6BBE66FCDBA}" name="Column14885"/>
    <tableColumn id="14897" xr3:uid="{8609FA08-F6D8-4A58-A4EA-DF74EAA601F5}" name="Column14886"/>
    <tableColumn id="14898" xr3:uid="{1F7A7904-332E-4074-B26D-2871C88FBCA5}" name="Column14887"/>
    <tableColumn id="14899" xr3:uid="{E6717DC8-CB96-4973-A5D4-DD09166FDC04}" name="Column14888"/>
    <tableColumn id="14900" xr3:uid="{3A0DA6A3-697D-4443-A092-3B795C54ACF9}" name="Column14889"/>
    <tableColumn id="14901" xr3:uid="{E969DB84-17DC-4C2A-B117-3CC45893B993}" name="Column14890"/>
    <tableColumn id="14902" xr3:uid="{476BAA8C-9DE8-4DB8-8357-62030D5ECFCC}" name="Column14891"/>
    <tableColumn id="14903" xr3:uid="{92992135-6286-45B3-BF3C-387EFE9DE237}" name="Column14892"/>
    <tableColumn id="14904" xr3:uid="{FB746118-9FD8-4807-9AC6-DBBB436CBA75}" name="Column14893"/>
    <tableColumn id="14905" xr3:uid="{345BA70C-EE41-4681-BC00-2D70DDB1BA7A}" name="Column14894"/>
    <tableColumn id="14906" xr3:uid="{9A4A3E1F-E505-457A-91DD-D284133F1D85}" name="Column14895"/>
    <tableColumn id="14907" xr3:uid="{1639856C-4545-4C47-B4E8-9D67288BB72E}" name="Column14896"/>
    <tableColumn id="14908" xr3:uid="{1C8A8800-0ECA-480A-BD3F-4D6B26DCC12A}" name="Column14897"/>
    <tableColumn id="14909" xr3:uid="{A2DE3C85-911F-42A5-9830-5F0B5B3AD86E}" name="Column14898"/>
    <tableColumn id="14910" xr3:uid="{6FDBF9C0-D415-445B-9782-53827B589FD5}" name="Column14899"/>
    <tableColumn id="14911" xr3:uid="{875DC69B-EE55-470E-9861-78522AFE9565}" name="Column14900"/>
    <tableColumn id="14912" xr3:uid="{3690FEDF-D351-4765-A682-4F39547AAB68}" name="Column14901"/>
    <tableColumn id="14913" xr3:uid="{273B935E-C170-4601-9D97-C6F0E6C6834D}" name="Column14902"/>
    <tableColumn id="14914" xr3:uid="{ACF26D3D-DB19-4DBD-A3A0-6B5234E6B22A}" name="Column14903"/>
    <tableColumn id="14915" xr3:uid="{77EEEEF5-8A7D-4BF7-A3CB-00C4F71D8A4D}" name="Column14904"/>
    <tableColumn id="14916" xr3:uid="{C0C3BE88-2918-4BD4-96F5-775C14257945}" name="Column14905"/>
    <tableColumn id="14917" xr3:uid="{737C5EA2-9E25-4230-A746-CDD0AC238345}" name="Column14906"/>
    <tableColumn id="14918" xr3:uid="{12E5EC16-6697-4EB7-A448-9AF0A5DE12CD}" name="Column14907"/>
    <tableColumn id="14919" xr3:uid="{3B6222BF-2DEF-4563-94B5-AD3DCDD70C60}" name="Column14908"/>
    <tableColumn id="14920" xr3:uid="{538968B3-AFBE-45C7-BB62-36D6EE4D4EC2}" name="Column14909"/>
    <tableColumn id="14921" xr3:uid="{4AA6CAB9-803D-4492-AB6F-4A96E781E836}" name="Column14910"/>
    <tableColumn id="14922" xr3:uid="{A82CB21E-6A48-47F1-AE20-BB25D8E5CF64}" name="Column14911"/>
    <tableColumn id="14923" xr3:uid="{1DD10D1E-AD73-4901-ABA1-8BBAC9C799DF}" name="Column14912"/>
    <tableColumn id="14924" xr3:uid="{3EC95493-F8D2-47D9-823F-1BA0848357C9}" name="Column14913"/>
    <tableColumn id="14925" xr3:uid="{B458E62B-7FE8-4F74-A3AB-3D1C9BC6DB5C}" name="Column14914"/>
    <tableColumn id="14926" xr3:uid="{C710C29C-FFA9-4F66-BC97-4D2C961A40CF}" name="Column14915"/>
    <tableColumn id="14927" xr3:uid="{83E60B06-145E-4482-BF6D-B61C4A331E11}" name="Column14916"/>
    <tableColumn id="14928" xr3:uid="{BC65AAAD-5285-4375-B620-6DDE4CC63157}" name="Column14917"/>
    <tableColumn id="14929" xr3:uid="{586859DA-0C3B-4FF4-9785-F4A1D3E81C35}" name="Column14918"/>
    <tableColumn id="14930" xr3:uid="{588D8B2E-4394-4283-A98C-871C1D16DD97}" name="Column14919"/>
    <tableColumn id="14931" xr3:uid="{07A7B378-CBE7-4481-A1E1-EAD331DF3164}" name="Column14920"/>
    <tableColumn id="14932" xr3:uid="{85EA975A-84BB-445A-BEE6-D8A0224CB754}" name="Column14921"/>
    <tableColumn id="14933" xr3:uid="{28EF7EDE-570B-450F-83E8-EE49687B4213}" name="Column14922"/>
    <tableColumn id="14934" xr3:uid="{A8C4709E-4799-4BDF-8BE3-18E55EE046A5}" name="Column14923"/>
    <tableColumn id="14935" xr3:uid="{0D947CAB-D2AC-4156-814F-10EAF4693437}" name="Column14924"/>
    <tableColumn id="14936" xr3:uid="{C4AB3530-22C8-4FF5-BC64-8E50A8D8B30C}" name="Column14925"/>
    <tableColumn id="14937" xr3:uid="{CFD356BB-3CEA-4824-92CD-91F9A8BA9759}" name="Column14926"/>
    <tableColumn id="14938" xr3:uid="{D8C747E6-3BE6-49EF-8420-0EAC0CBF8EBF}" name="Column14927"/>
    <tableColumn id="14939" xr3:uid="{387E70E7-E8C9-4BDF-9895-86A699C39153}" name="Column14928"/>
    <tableColumn id="14940" xr3:uid="{01BD5400-AAAA-4913-9DED-CC2EDC4FF8C0}" name="Column14929"/>
    <tableColumn id="14941" xr3:uid="{CF5B27E8-36AE-46B8-9AD6-5F0E812A768B}" name="Column14930"/>
    <tableColumn id="14942" xr3:uid="{ABA2337C-6050-466E-8F35-C63B673455F2}" name="Column14931"/>
    <tableColumn id="14943" xr3:uid="{E21BD114-96BA-475C-955B-20FB5B53FDEF}" name="Column14932"/>
    <tableColumn id="14944" xr3:uid="{5FE5048A-B103-443A-8B9B-E85CAF338DD6}" name="Column14933"/>
    <tableColumn id="14945" xr3:uid="{CB8DBA7A-2EFA-49D8-8112-5C2C80F727C5}" name="Column14934"/>
    <tableColumn id="14946" xr3:uid="{B1B08F5D-6F76-4C53-9134-724766A30200}" name="Column14935"/>
    <tableColumn id="14947" xr3:uid="{88125A10-C7AB-402C-BE2E-74F81541EB59}" name="Column14936"/>
    <tableColumn id="14948" xr3:uid="{C2EA0195-07A6-4028-A3E5-4F738A75D8D2}" name="Column14937"/>
    <tableColumn id="14949" xr3:uid="{866195AD-C0D6-4F01-856A-961420CDA1F3}" name="Column14938"/>
    <tableColumn id="14950" xr3:uid="{08B4C5BB-095F-4D9D-81A8-8F7422068B4C}" name="Column14939"/>
    <tableColumn id="14951" xr3:uid="{077203AB-714F-4966-983B-D52F3C0BE398}" name="Column14940"/>
    <tableColumn id="14952" xr3:uid="{D3AA63A1-122E-4123-82D4-4C387CF30FC4}" name="Column14941"/>
    <tableColumn id="14953" xr3:uid="{10227678-17E9-4338-8DA9-19FBB22E4353}" name="Column14942"/>
    <tableColumn id="14954" xr3:uid="{216CE7A7-55F0-44E1-BCF3-4DDFCFEFA66C}" name="Column14943"/>
    <tableColumn id="14955" xr3:uid="{A05E3040-5FD1-47A8-8B61-C7A2C66FE606}" name="Column14944"/>
    <tableColumn id="14956" xr3:uid="{B63B98D1-2945-4706-818E-BCC2A5D0E8EF}" name="Column14945"/>
    <tableColumn id="14957" xr3:uid="{2884E9C1-AB2F-40BA-A673-B865F79E4498}" name="Column14946"/>
    <tableColumn id="14958" xr3:uid="{611022EE-0D52-4761-B63A-FECF9E07E9DB}" name="Column14947"/>
    <tableColumn id="14959" xr3:uid="{F5EFB643-E4F7-41DE-9111-DBB7BB0BCB14}" name="Column14948"/>
    <tableColumn id="14960" xr3:uid="{B58575EB-CB41-4FF1-BCA1-6F5779EE6B61}" name="Column14949"/>
    <tableColumn id="14961" xr3:uid="{5487D364-92D1-41F3-97C5-C74C1EEF7602}" name="Column14950"/>
    <tableColumn id="14962" xr3:uid="{FAA5533D-6B21-4921-BB55-4482D9DA50B4}" name="Column14951"/>
    <tableColumn id="14963" xr3:uid="{5431ADD9-40C7-4BE3-A9AC-D919421E2106}" name="Column14952"/>
    <tableColumn id="14964" xr3:uid="{25F00C21-992C-438D-A6F7-9B510662F2CB}" name="Column14953"/>
    <tableColumn id="14965" xr3:uid="{871261D6-B9D0-44C7-A8E2-EC4D502CC42C}" name="Column14954"/>
    <tableColumn id="14966" xr3:uid="{CCFC992A-1B9F-4FE2-B366-4C380DDF627C}" name="Column14955"/>
    <tableColumn id="14967" xr3:uid="{73F39D51-AA4C-4D42-ACCA-3E15B567C290}" name="Column14956"/>
    <tableColumn id="14968" xr3:uid="{05D5EDAC-1C15-4E8B-B616-1539A0B4A8B8}" name="Column14957"/>
    <tableColumn id="14969" xr3:uid="{D0EFBEA1-A88E-47C8-9836-D04291980D17}" name="Column14958"/>
    <tableColumn id="14970" xr3:uid="{3968DEA7-1292-4358-A15C-5DCDB806D70D}" name="Column14959"/>
    <tableColumn id="14971" xr3:uid="{58863A3B-4C23-4CDB-8DD0-A24C8293FC6E}" name="Column14960"/>
    <tableColumn id="14972" xr3:uid="{605C70D5-A00C-40D0-8920-AE7C5BE51D81}" name="Column14961"/>
    <tableColumn id="14973" xr3:uid="{9A359358-82EA-4BC9-BD78-6BB344CD7667}" name="Column14962"/>
    <tableColumn id="14974" xr3:uid="{92F0EA83-EDED-49E0-911C-72850C20C61E}" name="Column14963"/>
    <tableColumn id="14975" xr3:uid="{D9FE5AF6-D3D6-4E47-BF26-A0DB925773B0}" name="Column14964"/>
    <tableColumn id="14976" xr3:uid="{8787ED7F-3D7E-481A-B75B-A6AFF462AFA1}" name="Column14965"/>
    <tableColumn id="14977" xr3:uid="{9767DB9C-84B9-41C0-BAE3-9B5C585E5391}" name="Column14966"/>
    <tableColumn id="14978" xr3:uid="{13201832-CEDA-4C92-A199-F1C0D51E091F}" name="Column14967"/>
    <tableColumn id="14979" xr3:uid="{B04F8604-E575-409C-984F-79BDBC37DE12}" name="Column14968"/>
    <tableColumn id="14980" xr3:uid="{F6376058-E24F-41C8-BCEA-91F98027B78A}" name="Column14969"/>
    <tableColumn id="14981" xr3:uid="{613E1578-E4D5-4146-B809-82EB40D59BF8}" name="Column14970"/>
    <tableColumn id="14982" xr3:uid="{32D55051-CD0F-45A4-9C08-E80543F9D1EE}" name="Column14971"/>
    <tableColumn id="14983" xr3:uid="{2CFFA49D-4EAB-4DB9-A54F-1C05708C2EAB}" name="Column14972"/>
    <tableColumn id="14984" xr3:uid="{5D724322-72F7-479D-88D5-7E9F054697BB}" name="Column14973"/>
    <tableColumn id="14985" xr3:uid="{F4FFE5E7-570C-4A24-9999-B40F168C4A62}" name="Column14974"/>
    <tableColumn id="14986" xr3:uid="{953442EA-1A9B-463C-9292-B4EE302EEEF8}" name="Column14975"/>
    <tableColumn id="14987" xr3:uid="{E00C090D-9EC2-4A35-945D-ECD403532F7C}" name="Column14976"/>
    <tableColumn id="14988" xr3:uid="{C3E6AEE5-C0EF-4009-87C8-06BC04419596}" name="Column14977"/>
    <tableColumn id="14989" xr3:uid="{40E68153-3513-4F23-BDEB-A665FD7CF667}" name="Column14978"/>
    <tableColumn id="14990" xr3:uid="{67D4A3DE-5EAA-4B3C-B893-42859C332406}" name="Column14979"/>
    <tableColumn id="14991" xr3:uid="{F955AE67-85DC-4D38-AA11-547849C00C2A}" name="Column14980"/>
    <tableColumn id="14992" xr3:uid="{DB1B1373-9809-426F-AB4F-B989D3E21C2C}" name="Column14981"/>
    <tableColumn id="14993" xr3:uid="{CBF49BE7-38F5-4FF8-8813-A3214D6CA56C}" name="Column14982"/>
    <tableColumn id="14994" xr3:uid="{6DD9EDDB-3B62-48F2-847A-50A446D3253A}" name="Column14983"/>
    <tableColumn id="14995" xr3:uid="{941466D9-CE3C-43E9-9D6F-33AB92B2F8B1}" name="Column14984"/>
    <tableColumn id="14996" xr3:uid="{15E1CFBF-B86A-4EE5-8C11-8F9D3FBB6C25}" name="Column14985"/>
    <tableColumn id="14997" xr3:uid="{D179CD12-A381-48BA-994D-AA809DB00AC3}" name="Column14986"/>
    <tableColumn id="14998" xr3:uid="{5750152F-4080-4DB3-9C33-DF78878D84F8}" name="Column14987"/>
    <tableColumn id="14999" xr3:uid="{96F2BFAF-7A1A-4E5B-958A-298E65609A65}" name="Column14988"/>
    <tableColumn id="15000" xr3:uid="{39D882DB-ECCA-47FA-8CC6-517D88C517C7}" name="Column14989"/>
    <tableColumn id="15001" xr3:uid="{24E6A036-E552-4A13-8C75-09EBEAA0FA79}" name="Column14990"/>
    <tableColumn id="15002" xr3:uid="{F38160F4-AB96-49F3-B6CE-E4AB7A5060A4}" name="Column14991"/>
    <tableColumn id="15003" xr3:uid="{0D6F272F-C4B1-4250-BD42-DF6041BF0EC7}" name="Column14992"/>
    <tableColumn id="15004" xr3:uid="{59BCF07F-CFB6-41E2-8B2F-9767E8D83FBC}" name="Column14993"/>
    <tableColumn id="15005" xr3:uid="{E96DBD78-1CBE-480B-BC53-B2CC6178D1F4}" name="Column14994"/>
    <tableColumn id="15006" xr3:uid="{B0FC4782-2F29-4F43-A40B-E10B8B8D490B}" name="Column14995"/>
    <tableColumn id="15007" xr3:uid="{6595F3E7-1363-4111-AB51-0977365F2657}" name="Column14996"/>
    <tableColumn id="15008" xr3:uid="{F331482E-08BC-47DA-88EE-CD4C446A6DFB}" name="Column14997"/>
    <tableColumn id="15009" xr3:uid="{A63440DD-2468-4633-8A7E-5117450E9FA5}" name="Column14998"/>
    <tableColumn id="15010" xr3:uid="{192DC175-6119-486A-BC2F-CBAC7C9E4D0B}" name="Column14999"/>
    <tableColumn id="15011" xr3:uid="{BDD9054C-97A5-468B-B834-8BC4203EA1A1}" name="Column15000"/>
    <tableColumn id="15012" xr3:uid="{A9303D4B-7916-45E0-A417-E3E8276A6328}" name="Column15001"/>
    <tableColumn id="15013" xr3:uid="{64682AA9-77A4-44F1-800A-ADAF271F0F13}" name="Column15002"/>
    <tableColumn id="15014" xr3:uid="{3A61F367-29A5-4C84-A8BC-CE9F75C35219}" name="Column15003"/>
    <tableColumn id="15015" xr3:uid="{10B3C6A9-2875-4F61-B86E-B1B49BB965A7}" name="Column15004"/>
    <tableColumn id="15016" xr3:uid="{F944B067-5EE3-4D4F-BE26-800167F61A10}" name="Column15005"/>
    <tableColumn id="15017" xr3:uid="{4E22D280-3A94-474B-AB84-F9AE6414ECD2}" name="Column15006"/>
    <tableColumn id="15018" xr3:uid="{D61A1BEA-8D11-4155-A45A-D083D822F59D}" name="Column15007"/>
    <tableColumn id="15019" xr3:uid="{614C823D-66F5-4FE9-BDD0-0CEFB1A36D12}" name="Column15008"/>
    <tableColumn id="15020" xr3:uid="{89AB256A-A50B-4EBF-8283-1DB948248135}" name="Column15009"/>
    <tableColumn id="15021" xr3:uid="{6BB572E9-6163-4294-BB48-094D9CEBF85A}" name="Column15010"/>
    <tableColumn id="15022" xr3:uid="{98BD1348-2CAC-4046-B24F-70C44076EFF8}" name="Column15011"/>
    <tableColumn id="15023" xr3:uid="{BF44D266-1649-4BBD-98B8-13D8EE9D2DF9}" name="Column15012"/>
    <tableColumn id="15024" xr3:uid="{A2B21094-5022-4069-B1CB-2D5ACD49102B}" name="Column15013"/>
    <tableColumn id="15025" xr3:uid="{5BDA0238-104E-4B7B-B622-DF72AA27B139}" name="Column15014"/>
    <tableColumn id="15026" xr3:uid="{5D1424E9-1335-4BDD-9C5C-587716BA07A6}" name="Column15015"/>
    <tableColumn id="15027" xr3:uid="{D859FD7A-6ACA-4B8E-A60E-AD51986615B0}" name="Column15016"/>
    <tableColumn id="15028" xr3:uid="{1D37611A-27E9-4F49-8A4D-9C951D9C0FA2}" name="Column15017"/>
    <tableColumn id="15029" xr3:uid="{50219A07-6298-44B8-B337-008638A82D1D}" name="Column15018"/>
    <tableColumn id="15030" xr3:uid="{F55C257F-D2D0-4298-8C9E-5D9809667232}" name="Column15019"/>
    <tableColumn id="15031" xr3:uid="{7C01BB86-079E-416A-A332-5EDF05AD2FB5}" name="Column15020"/>
    <tableColumn id="15032" xr3:uid="{A4EDCE57-B731-41AA-8FE7-75E44970831E}" name="Column15021"/>
    <tableColumn id="15033" xr3:uid="{AE68E64B-AB40-4C9E-9551-7E68312992E7}" name="Column15022"/>
    <tableColumn id="15034" xr3:uid="{D7533F0E-EFE3-45DA-95BB-F458102E3697}" name="Column15023"/>
    <tableColumn id="15035" xr3:uid="{932B469D-558D-4907-8810-314D368F901A}" name="Column15024"/>
    <tableColumn id="15036" xr3:uid="{94613F02-082C-4724-8A94-929612E6FBD3}" name="Column15025"/>
    <tableColumn id="15037" xr3:uid="{04404323-3B65-4699-B74F-732ADA15D089}" name="Column15026"/>
    <tableColumn id="15038" xr3:uid="{FFF147A0-5CC9-49D3-94A4-F258E145F0C8}" name="Column15027"/>
    <tableColumn id="15039" xr3:uid="{D139B897-E9C4-4376-B8BD-5CD962A509FE}" name="Column15028"/>
    <tableColumn id="15040" xr3:uid="{1CECA201-B74D-4364-B8AC-FE98B23D339E}" name="Column15029"/>
    <tableColumn id="15041" xr3:uid="{13687BD3-8D40-4D53-B665-A7F305C04C79}" name="Column15030"/>
    <tableColumn id="15042" xr3:uid="{26939189-4D5C-4E20-B5FB-88643622771F}" name="Column15031"/>
    <tableColumn id="15043" xr3:uid="{C5F4626F-78B2-4271-A6D0-BBC222C8AB2A}" name="Column15032"/>
    <tableColumn id="15044" xr3:uid="{75CFD398-5062-4A2B-9090-0E74952FE743}" name="Column15033"/>
    <tableColumn id="15045" xr3:uid="{63CF94EC-0E8C-4080-B365-E9EDD7B4BBF0}" name="Column15034"/>
    <tableColumn id="15046" xr3:uid="{84252B6D-4B8E-4C5F-9E57-5B6DC32FFCCF}" name="Column15035"/>
    <tableColumn id="15047" xr3:uid="{935779B8-5714-44D5-ABB9-FA86B177E838}" name="Column15036"/>
    <tableColumn id="15048" xr3:uid="{8A1D9967-FF2B-470D-8E8E-27CEBC430F6A}" name="Column15037"/>
    <tableColumn id="15049" xr3:uid="{61ED57F6-F351-40BE-9C7D-5808D61B0C45}" name="Column15038"/>
    <tableColumn id="15050" xr3:uid="{99EF09D1-F357-4657-8E2A-49105999F5C7}" name="Column15039"/>
    <tableColumn id="15051" xr3:uid="{209B9EC5-458B-4E5C-B591-27F8D76FA639}" name="Column15040"/>
    <tableColumn id="15052" xr3:uid="{692C989F-9E32-4D5D-8CFE-4DA099614DC8}" name="Column15041"/>
    <tableColumn id="15053" xr3:uid="{AE6F1234-659D-474B-8F15-1C5BCF70904E}" name="Column15042"/>
    <tableColumn id="15054" xr3:uid="{BF9628B5-7D0B-4FCF-B8C2-A93B8AA9FB59}" name="Column15043"/>
    <tableColumn id="15055" xr3:uid="{FCD6C97B-6133-489D-A295-AB75EE1927CB}" name="Column15044"/>
    <tableColumn id="15056" xr3:uid="{5705D32E-8833-4836-BF56-551F9516CDE8}" name="Column15045"/>
    <tableColumn id="15057" xr3:uid="{6A14610C-7791-4B10-82F6-BC9E465C3836}" name="Column15046"/>
    <tableColumn id="15058" xr3:uid="{F4883931-E5F6-4587-A736-935BE6639CF5}" name="Column15047"/>
    <tableColumn id="15059" xr3:uid="{BDED79DF-F767-4DE7-9723-0BD35A9E6BC3}" name="Column15048"/>
    <tableColumn id="15060" xr3:uid="{B535D46F-BB6E-4E83-9F87-9843E498EB34}" name="Column15049"/>
    <tableColumn id="15061" xr3:uid="{C1E51FB8-FCC6-4D9A-8AC8-1AF4DCF45CFC}" name="Column15050"/>
    <tableColumn id="15062" xr3:uid="{07CBDED5-3011-494A-84B7-63021C85D667}" name="Column15051"/>
    <tableColumn id="15063" xr3:uid="{5E8B4A59-0B33-4788-AF29-57F2116BB0A3}" name="Column15052"/>
    <tableColumn id="15064" xr3:uid="{287DF21D-75BD-45ED-AA7D-B5137339435E}" name="Column15053"/>
    <tableColumn id="15065" xr3:uid="{26362D70-643F-4595-B7E9-42BCFE7EE59E}" name="Column15054"/>
    <tableColumn id="15066" xr3:uid="{16CD872D-AEF0-4608-8844-60EF891BC3BE}" name="Column15055"/>
    <tableColumn id="15067" xr3:uid="{2C71D56C-511F-43F3-9B1E-DFF5B548DB07}" name="Column15056"/>
    <tableColumn id="15068" xr3:uid="{A23CB6A3-D122-410F-A392-9CF3E066A9A8}" name="Column15057"/>
    <tableColumn id="15069" xr3:uid="{ACCD24C7-FBFC-4EC3-82BB-09925B0C762A}" name="Column15058"/>
    <tableColumn id="15070" xr3:uid="{55D92977-693D-444B-8EA8-9E09AFEA7E07}" name="Column15059"/>
    <tableColumn id="15071" xr3:uid="{579FB329-4221-43DC-9E1D-F3FCF5751BAE}" name="Column15060"/>
    <tableColumn id="15072" xr3:uid="{16E1F706-FC23-403C-9580-6DE89BF930E1}" name="Column15061"/>
    <tableColumn id="15073" xr3:uid="{F4038CA2-30B1-4222-94CF-1494BA014DFC}" name="Column15062"/>
    <tableColumn id="15074" xr3:uid="{BFA3E909-3C3E-45B6-AC53-84BF62BAE88E}" name="Column15063"/>
    <tableColumn id="15075" xr3:uid="{0AC2375D-5D7B-497D-AB98-44D1EBEB9DDB}" name="Column15064"/>
    <tableColumn id="15076" xr3:uid="{0D834A68-1365-486D-A46F-B70FA1AE45CA}" name="Column15065"/>
    <tableColumn id="15077" xr3:uid="{B4098B8A-6873-4CF1-8B24-49E9E0938269}" name="Column15066"/>
    <tableColumn id="15078" xr3:uid="{8370F9A7-5040-4283-92D8-AC71DF4C8642}" name="Column15067"/>
    <tableColumn id="15079" xr3:uid="{49D7A58F-FA00-4C0C-A344-94C6C816A0A7}" name="Column15068"/>
    <tableColumn id="15080" xr3:uid="{38A6EF02-AE78-416F-B458-C704D9CE4DC8}" name="Column15069"/>
    <tableColumn id="15081" xr3:uid="{A33517B7-3FAA-4C4F-878E-150DA8CC6263}" name="Column15070"/>
    <tableColumn id="15082" xr3:uid="{1E33A4F5-6ABD-454B-8C7C-717261873F2E}" name="Column15071"/>
    <tableColumn id="15083" xr3:uid="{BF219166-F2AE-4978-9036-5D535ADB7FCE}" name="Column15072"/>
    <tableColumn id="15084" xr3:uid="{76B38ED2-B811-49C4-8A59-EED54E45280B}" name="Column15073"/>
    <tableColumn id="15085" xr3:uid="{87D1A070-950D-4558-B7DA-E1852814FED3}" name="Column15074"/>
    <tableColumn id="15086" xr3:uid="{86EB0E5E-1A8A-44C9-9B0A-6D581CD99978}" name="Column15075"/>
    <tableColumn id="15087" xr3:uid="{B2FC1F83-12BF-4777-BBDE-057087AD8981}" name="Column15076"/>
    <tableColumn id="15088" xr3:uid="{66B9A9F0-F35B-433D-99B0-D8092A87DEE0}" name="Column15077"/>
    <tableColumn id="15089" xr3:uid="{2D13AC11-B912-4ED9-8EEA-01642E1DC796}" name="Column15078"/>
    <tableColumn id="15090" xr3:uid="{9772E946-FD46-4A50-88CA-C3FD5234E54E}" name="Column15079"/>
    <tableColumn id="15091" xr3:uid="{80AA21C6-6AD1-411F-8ECF-92DA5AAADF11}" name="Column15080"/>
    <tableColumn id="15092" xr3:uid="{01B999E2-4A63-43A2-B16C-4208EDD76ACE}" name="Column15081"/>
    <tableColumn id="15093" xr3:uid="{E915F232-8E16-4347-9044-4C4605FCE24E}" name="Column15082"/>
    <tableColumn id="15094" xr3:uid="{7E69C33C-EC88-4A3E-AF54-A0A1A06EC217}" name="Column15083"/>
    <tableColumn id="15095" xr3:uid="{751B593D-9029-4676-8B0D-A8D6D5367E21}" name="Column15084"/>
    <tableColumn id="15096" xr3:uid="{D067B6CC-2349-4B8A-BEAF-82F428BDB5CF}" name="Column15085"/>
    <tableColumn id="15097" xr3:uid="{EEF09998-3D6E-44DB-A30A-2C4E3BEAB0BB}" name="Column15086"/>
    <tableColumn id="15098" xr3:uid="{2B590CF8-A078-4971-A888-870A885A56EB}" name="Column15087"/>
    <tableColumn id="15099" xr3:uid="{41ABCA2F-DC00-425B-8724-B47903E9BD24}" name="Column15088"/>
    <tableColumn id="15100" xr3:uid="{922888D4-616D-439C-95F2-1DA6B611ED1C}" name="Column15089"/>
    <tableColumn id="15101" xr3:uid="{93C5D87B-E392-41C0-A6B5-369E1D222854}" name="Column15090"/>
    <tableColumn id="15102" xr3:uid="{D14F1816-C15C-4AF9-B181-6ADC34A607E5}" name="Column15091"/>
    <tableColumn id="15103" xr3:uid="{C8F72F33-A3AB-4E15-86BB-209EE24A7E52}" name="Column15092"/>
    <tableColumn id="15104" xr3:uid="{F6C5BA75-404B-4256-BAC1-82D1CB328736}" name="Column15093"/>
    <tableColumn id="15105" xr3:uid="{DEFA9C42-EFC0-4D63-9F04-8BBC2E10ED51}" name="Column15094"/>
    <tableColumn id="15106" xr3:uid="{26588B92-8B5F-4D6A-8B5B-90BA38288BCA}" name="Column15095"/>
    <tableColumn id="15107" xr3:uid="{E833C458-F7ED-4A99-9F06-0D4303B4071A}" name="Column15096"/>
    <tableColumn id="15108" xr3:uid="{A8847114-8A2F-433E-ACEB-F1FD0AEB7073}" name="Column15097"/>
    <tableColumn id="15109" xr3:uid="{1C7ED533-C915-4DFD-9CB1-90654013EE9A}" name="Column15098"/>
    <tableColumn id="15110" xr3:uid="{8DC626CB-03C6-45C4-8839-1379393CB644}" name="Column15099"/>
    <tableColumn id="15111" xr3:uid="{29C9177B-780F-4573-AFD1-9F741363617F}" name="Column15100"/>
    <tableColumn id="15112" xr3:uid="{3B76C3E9-D536-4DAD-972A-C3031566A8D9}" name="Column15101"/>
    <tableColumn id="15113" xr3:uid="{A6B95593-2B19-456A-96E4-629584F00321}" name="Column15102"/>
    <tableColumn id="15114" xr3:uid="{B452CEF8-473F-4259-A0CE-9E4C60735171}" name="Column15103"/>
    <tableColumn id="15115" xr3:uid="{2AB5F00D-0E35-491B-9319-FE493CD0D60E}" name="Column15104"/>
    <tableColumn id="15116" xr3:uid="{B03363EF-DE98-4C20-A5B7-B090D3317897}" name="Column15105"/>
    <tableColumn id="15117" xr3:uid="{9A5A97B2-2D94-4B0D-A46A-88FB1D9D2A6E}" name="Column15106"/>
    <tableColumn id="15118" xr3:uid="{B3A97FC2-3B9C-48F3-A969-C78751253676}" name="Column15107"/>
    <tableColumn id="15119" xr3:uid="{8E1DEC0C-22B0-485E-8D10-7F7F1344793B}" name="Column15108"/>
    <tableColumn id="15120" xr3:uid="{8897064C-F5FF-4D4B-9240-B3EDA24DB615}" name="Column15109"/>
    <tableColumn id="15121" xr3:uid="{B7DE928B-75F2-47C4-A52D-EE7C89B6DACC}" name="Column15110"/>
    <tableColumn id="15122" xr3:uid="{E1679522-AC57-4B29-85B6-EEA844FEFE02}" name="Column15111"/>
    <tableColumn id="15123" xr3:uid="{DF3AE1D8-724B-45EA-A165-6579FAFFE28D}" name="Column15112"/>
    <tableColumn id="15124" xr3:uid="{686D33C8-6DD6-46EA-AF60-05EB38F2A4C8}" name="Column15113"/>
    <tableColumn id="15125" xr3:uid="{70960027-517B-43B0-AA0E-8D2363753430}" name="Column15114"/>
    <tableColumn id="15126" xr3:uid="{C87BF821-3B89-43E7-B6E5-41E46DA8748A}" name="Column15115"/>
    <tableColumn id="15127" xr3:uid="{EEE1BEBA-0E1E-4DB8-95C4-ACCC00108BD4}" name="Column15116"/>
    <tableColumn id="15128" xr3:uid="{956DB770-7B19-4653-8AE4-CBD61A272951}" name="Column15117"/>
    <tableColumn id="15129" xr3:uid="{4BAA780D-AE99-4F07-8571-9C15ED30783B}" name="Column15118"/>
    <tableColumn id="15130" xr3:uid="{8A9617F8-1556-4589-B38B-E7951ECAE07E}" name="Column15119"/>
    <tableColumn id="15131" xr3:uid="{F2ABD242-468B-4CBD-B729-F67D03A2A18D}" name="Column15120"/>
    <tableColumn id="15132" xr3:uid="{51044901-CF3B-4B0A-B640-7D263E1C85BE}" name="Column15121"/>
    <tableColumn id="15133" xr3:uid="{4EA21877-5126-4C61-9EFF-AEE76BF5356E}" name="Column15122"/>
    <tableColumn id="15134" xr3:uid="{64ECE732-4452-4108-A527-B618117CD6CF}" name="Column15123"/>
    <tableColumn id="15135" xr3:uid="{8F3FBC31-B970-4917-BC4C-998CC0207022}" name="Column15124"/>
    <tableColumn id="15136" xr3:uid="{D7BC9616-6C48-47FB-B016-048E4831A928}" name="Column15125"/>
    <tableColumn id="15137" xr3:uid="{8A6698AC-0DFA-4899-BE66-5C7E85A1D925}" name="Column15126"/>
    <tableColumn id="15138" xr3:uid="{8788B4DB-A4F9-4B0E-BF6C-A3F3DA35C135}" name="Column15127"/>
    <tableColumn id="15139" xr3:uid="{114E72DA-A98E-473E-BF7C-961678C395F0}" name="Column15128"/>
    <tableColumn id="15140" xr3:uid="{7F2B4AE3-6F20-4791-87B2-EE9C6BB0B6AB}" name="Column15129"/>
    <tableColumn id="15141" xr3:uid="{2958885E-2945-48D6-B410-759F100A899F}" name="Column15130"/>
    <tableColumn id="15142" xr3:uid="{C3B7CEC1-8584-4D53-989B-D25BB948B162}" name="Column15131"/>
    <tableColumn id="15143" xr3:uid="{18BC3C1F-27E7-417F-BBA1-A5A521573FD0}" name="Column15132"/>
    <tableColumn id="15144" xr3:uid="{927B620E-3208-4391-A6F0-79BB46703E42}" name="Column15133"/>
    <tableColumn id="15145" xr3:uid="{F4B7737E-A0C5-44CB-AF95-3A1B264419A1}" name="Column15134"/>
    <tableColumn id="15146" xr3:uid="{19C30551-5807-415D-9645-FD9431CFAD8B}" name="Column15135"/>
    <tableColumn id="15147" xr3:uid="{21B81497-C0D9-4D1C-BE35-2EA03A6EFA70}" name="Column15136"/>
    <tableColumn id="15148" xr3:uid="{CDB9C2D8-4208-44B3-B9B8-C9182B816815}" name="Column15137"/>
    <tableColumn id="15149" xr3:uid="{BE71D90D-CD46-4E84-A5A8-66A459C35CBD}" name="Column15138"/>
    <tableColumn id="15150" xr3:uid="{EB856B0B-7F5D-498A-B0F4-373828F52DAA}" name="Column15139"/>
    <tableColumn id="15151" xr3:uid="{F76B78FF-B1F7-4FBF-9135-113343D0DBE5}" name="Column15140"/>
    <tableColumn id="15152" xr3:uid="{642947E7-C1B8-41A1-9EE9-6DF134BEE70B}" name="Column15141"/>
    <tableColumn id="15153" xr3:uid="{630EF027-FE65-4128-8F2D-8086CD58F6C3}" name="Column15142"/>
    <tableColumn id="15154" xr3:uid="{3754C95A-6EB0-4368-A6FC-405FC4E4A90C}" name="Column15143"/>
    <tableColumn id="15155" xr3:uid="{77212FAB-565F-44D9-A758-799DD370AC7F}" name="Column15144"/>
    <tableColumn id="15156" xr3:uid="{D1CA82AA-4B39-4C85-BD8E-DB7EE1706BC1}" name="Column15145"/>
    <tableColumn id="15157" xr3:uid="{A310B75A-DF5D-4422-9A1C-72BD3613569D}" name="Column15146"/>
    <tableColumn id="15158" xr3:uid="{941888CC-F8FF-401A-911A-2D6C5CBC3402}" name="Column15147"/>
    <tableColumn id="15159" xr3:uid="{EACD9A03-CF97-4226-B9D9-1DDAAB6A6981}" name="Column15148"/>
    <tableColumn id="15160" xr3:uid="{702D7F39-55A2-4A4F-9322-D2FA4D31F6C0}" name="Column15149"/>
    <tableColumn id="15161" xr3:uid="{F75A0664-A3EF-4349-8DF1-4404E70FBD89}" name="Column15150"/>
    <tableColumn id="15162" xr3:uid="{0157CE4C-A783-49AE-BEEB-9BD33A2D872A}" name="Column15151"/>
    <tableColumn id="15163" xr3:uid="{4E689733-2C49-4836-93FD-6E6BDFDB5E88}" name="Column15152"/>
    <tableColumn id="15164" xr3:uid="{C34CD74F-FE0D-4C3A-83FC-D5368D08BCF3}" name="Column15153"/>
    <tableColumn id="15165" xr3:uid="{3E8A0BB6-4C88-4DC5-9D6C-1F77222E8773}" name="Column15154"/>
    <tableColumn id="15166" xr3:uid="{CCC7AC6E-FDB5-4736-BCE3-4F46BACDDAFF}" name="Column15155"/>
    <tableColumn id="15167" xr3:uid="{14288F83-FD4B-46C7-AAB9-74D2D3CD6790}" name="Column15156"/>
    <tableColumn id="15168" xr3:uid="{0AD2CA85-7A8A-4141-8A51-34C2BF4D8801}" name="Column15157"/>
    <tableColumn id="15169" xr3:uid="{6E259715-0B14-446F-8AD2-BC34A887B9E8}" name="Column15158"/>
    <tableColumn id="15170" xr3:uid="{87465D03-7E0D-4336-98B8-1F506808E2C9}" name="Column15159"/>
    <tableColumn id="15171" xr3:uid="{D618E7C0-4FFC-42A8-A1DC-4C0183A2150B}" name="Column15160"/>
    <tableColumn id="15172" xr3:uid="{1A85E2A3-4D38-4CA8-9618-823C09A33B5E}" name="Column15161"/>
    <tableColumn id="15173" xr3:uid="{B1FC0B65-9456-41C8-A269-F3B8064D6114}" name="Column15162"/>
    <tableColumn id="15174" xr3:uid="{4A818585-DF2D-45ED-9D43-CA19F2C2F1A5}" name="Column15163"/>
    <tableColumn id="15175" xr3:uid="{2D342B01-5FCB-4874-8B81-EAC99E22889B}" name="Column15164"/>
    <tableColumn id="15176" xr3:uid="{2A2EC2E2-316A-47B6-AECD-267C36F66683}" name="Column15165"/>
    <tableColumn id="15177" xr3:uid="{33500493-62D6-4FA9-9664-9D16531A933C}" name="Column15166"/>
    <tableColumn id="15178" xr3:uid="{242E1425-80B8-4061-99FF-CDAD089DD61D}" name="Column15167"/>
    <tableColumn id="15179" xr3:uid="{3F0D462A-5A1C-4D5C-B8C9-C8331DD9FBC3}" name="Column15168"/>
    <tableColumn id="15180" xr3:uid="{C9E78223-B624-40AF-AA57-89F8AFE874A9}" name="Column15169"/>
    <tableColumn id="15181" xr3:uid="{1F999798-6C2D-49D2-81A5-BCF54A027722}" name="Column15170"/>
    <tableColumn id="15182" xr3:uid="{66AC5EA4-7581-4E76-AD49-1F4B83B9D5E0}" name="Column15171"/>
    <tableColumn id="15183" xr3:uid="{C64136AB-3550-442F-93F7-EC4218C90593}" name="Column15172"/>
    <tableColumn id="15184" xr3:uid="{3BAD6D8C-C5EC-40E3-BAB4-69B113CC3944}" name="Column15173"/>
    <tableColumn id="15185" xr3:uid="{861F57B7-F487-4E0F-A9E8-99FAD67182F2}" name="Column15174"/>
    <tableColumn id="15186" xr3:uid="{77021495-1FBA-4C03-9C73-5674C79F11D1}" name="Column15175"/>
    <tableColumn id="15187" xr3:uid="{24A619D7-C008-4722-BC78-EB3086393139}" name="Column15176"/>
    <tableColumn id="15188" xr3:uid="{B94A2B02-BA4C-4242-98C2-1DBCEB4FFF18}" name="Column15177"/>
    <tableColumn id="15189" xr3:uid="{97DCCCAD-0880-4595-A73E-72BEBB95D5A8}" name="Column15178"/>
    <tableColumn id="15190" xr3:uid="{7DAAC16F-2C8B-414E-AC54-AD26771E65EF}" name="Column15179"/>
    <tableColumn id="15191" xr3:uid="{F588ECA8-126A-4936-8EC7-F2276873021D}" name="Column15180"/>
    <tableColumn id="15192" xr3:uid="{C507C3F0-1F67-4ABD-8BE3-571306E15629}" name="Column15181"/>
    <tableColumn id="15193" xr3:uid="{25C47411-DF54-463E-8D65-E534F6CF6878}" name="Column15182"/>
    <tableColumn id="15194" xr3:uid="{CB08317D-4F69-4387-9952-0BF0D5CBE765}" name="Column15183"/>
    <tableColumn id="15195" xr3:uid="{76368A38-C6A8-4F72-8B1D-22C4BB85367B}" name="Column15184"/>
    <tableColumn id="15196" xr3:uid="{BD3436B0-E564-420F-B315-A20C5EBCECF4}" name="Column15185"/>
    <tableColumn id="15197" xr3:uid="{496BE50D-806A-4E23-B49C-38AD80208BFD}" name="Column15186"/>
    <tableColumn id="15198" xr3:uid="{295A3A07-D9CE-4B64-8E9C-282177475D09}" name="Column15187"/>
    <tableColumn id="15199" xr3:uid="{61811A3F-AAF4-45FC-A822-25CC427ED471}" name="Column15188"/>
    <tableColumn id="15200" xr3:uid="{72755CDB-4313-4351-8B96-F259302A30A4}" name="Column15189"/>
    <tableColumn id="15201" xr3:uid="{1B88F9C5-29E6-46A8-A3D7-E875521A0503}" name="Column15190"/>
    <tableColumn id="15202" xr3:uid="{AA1F24E3-A783-4D7F-A45A-CE1D376AD2F4}" name="Column15191"/>
    <tableColumn id="15203" xr3:uid="{C9E9E292-9C26-4D7D-85A1-A31A626086DE}" name="Column15192"/>
    <tableColumn id="15204" xr3:uid="{B419503A-AF28-4903-A350-940C216A6DDC}" name="Column15193"/>
    <tableColumn id="15205" xr3:uid="{5EF69083-4D97-455D-8BBA-8C6DC4AE235A}" name="Column15194"/>
    <tableColumn id="15206" xr3:uid="{C9936DE6-9FFC-4114-A78D-0A7CD7172C0C}" name="Column15195"/>
    <tableColumn id="15207" xr3:uid="{74B6F09B-90AC-46F6-BB81-26AACDD94D4A}" name="Column15196"/>
    <tableColumn id="15208" xr3:uid="{E73C934F-D30D-4C0F-8C8A-0DF02A2A1A72}" name="Column15197"/>
    <tableColumn id="15209" xr3:uid="{FF0E7375-615F-4B1E-A0F2-53961901A08C}" name="Column15198"/>
    <tableColumn id="15210" xr3:uid="{26C3EC7F-6083-48AA-BABA-3E2F5A12F5CE}" name="Column15199"/>
    <tableColumn id="15211" xr3:uid="{E104EA27-E291-40E2-A0B8-9543E3BF6EEC}" name="Column15200"/>
    <tableColumn id="15212" xr3:uid="{6696DE22-ADDF-415F-9D25-23AF8F838647}" name="Column15201"/>
    <tableColumn id="15213" xr3:uid="{C4458B7F-D3F2-4DE3-BE5A-EB37C982D536}" name="Column15202"/>
    <tableColumn id="15214" xr3:uid="{000E6C23-D6C3-4519-9C3B-7584E0EBAEAC}" name="Column15203"/>
    <tableColumn id="15215" xr3:uid="{04929B70-056B-42B4-9AFD-40DAF14EDD73}" name="Column15204"/>
    <tableColumn id="15216" xr3:uid="{1DA5403E-1953-477A-817B-9BCA68B171DC}" name="Column15205"/>
    <tableColumn id="15217" xr3:uid="{2F256721-86A4-4671-9878-E8B037A0219D}" name="Column15206"/>
    <tableColumn id="15218" xr3:uid="{452FCEFC-0AAF-4D4E-92DB-2AC6E9C9D327}" name="Column15207"/>
    <tableColumn id="15219" xr3:uid="{2BFC8027-13F7-439A-AAA2-C818CC4111C5}" name="Column15208"/>
    <tableColumn id="15220" xr3:uid="{127D1901-E617-4F9C-A410-6670E3461EA0}" name="Column15209"/>
    <tableColumn id="15221" xr3:uid="{F1062C0B-CE45-4543-8745-D8DF9B2ACEC2}" name="Column15210"/>
    <tableColumn id="15222" xr3:uid="{69BDEBEE-C424-47F2-8E76-EFCA7FFA54A8}" name="Column15211"/>
    <tableColumn id="15223" xr3:uid="{E345E4D2-66FA-4392-9C3C-0B9497E602D4}" name="Column15212"/>
    <tableColumn id="15224" xr3:uid="{B422BA55-1DE0-4226-BEC7-C1D9DE39ACA6}" name="Column15213"/>
    <tableColumn id="15225" xr3:uid="{BD28A2E2-F549-4366-B5B9-04443E2B9B80}" name="Column15214"/>
    <tableColumn id="15226" xr3:uid="{73E614F5-2358-4086-9963-837AB4F8E74B}" name="Column15215"/>
    <tableColumn id="15227" xr3:uid="{C38E7E5A-B98C-4DBE-B49B-89D4A617A2E5}" name="Column15216"/>
    <tableColumn id="15228" xr3:uid="{7CBD1427-99A8-4BC6-959A-6614C2E3F2EE}" name="Column15217"/>
    <tableColumn id="15229" xr3:uid="{349C368B-2C71-4B28-BFDC-EDACDD2DBA35}" name="Column15218"/>
    <tableColumn id="15230" xr3:uid="{065AC4C6-F5D4-40B3-99A0-A16A63B54A0E}" name="Column15219"/>
    <tableColumn id="15231" xr3:uid="{EE705C47-B022-456E-B96A-E7F1D2CBB1C2}" name="Column15220"/>
    <tableColumn id="15232" xr3:uid="{2A92A161-EA38-49EC-8C5C-8F4F28389616}" name="Column15221"/>
    <tableColumn id="15233" xr3:uid="{4ED2BDAA-9184-48D2-B9D6-DD095A48A3DD}" name="Column15222"/>
    <tableColumn id="15234" xr3:uid="{5A772BC9-D156-4A01-A800-01E1BBF35CA4}" name="Column15223"/>
    <tableColumn id="15235" xr3:uid="{3C0C9658-C1A7-49EA-84DD-BDB02F632AA5}" name="Column15224"/>
    <tableColumn id="15236" xr3:uid="{5E0C380F-89E8-4848-B3B0-824A056CFEDE}" name="Column15225"/>
    <tableColumn id="15237" xr3:uid="{BE67656E-24AA-48A8-B462-52ACDCF1E1D1}" name="Column15226"/>
    <tableColumn id="15238" xr3:uid="{BF35B834-15B2-4C74-9462-A94E737AA564}" name="Column15227"/>
    <tableColumn id="15239" xr3:uid="{1DC695AD-E264-4B29-8B69-ED74712168F7}" name="Column15228"/>
    <tableColumn id="15240" xr3:uid="{E51376E7-44AE-4114-9D50-64E3C9C283F8}" name="Column15229"/>
    <tableColumn id="15241" xr3:uid="{5D2FDDA2-516E-458C-8153-D15E0A0AF8A5}" name="Column15230"/>
    <tableColumn id="15242" xr3:uid="{9F05522A-9E9B-4556-9DCB-8F8C746909FB}" name="Column15231"/>
    <tableColumn id="15243" xr3:uid="{7B4334B3-C667-41AF-8F7E-A0DEEE9FD73B}" name="Column15232"/>
    <tableColumn id="15244" xr3:uid="{55101DDF-11DE-4AB8-A28B-92EA79C9ECFC}" name="Column15233"/>
    <tableColumn id="15245" xr3:uid="{0EB24100-7FE5-4C31-871A-5D8C8819923C}" name="Column15234"/>
    <tableColumn id="15246" xr3:uid="{5AD5D927-1332-461B-810C-0C7030367626}" name="Column15235"/>
    <tableColumn id="15247" xr3:uid="{E3D9902D-190F-4919-A225-79003F54613F}" name="Column15236"/>
    <tableColumn id="15248" xr3:uid="{1072CCDF-483C-48E1-9E4E-65BB5008C5B9}" name="Column15237"/>
    <tableColumn id="15249" xr3:uid="{7117AB96-A087-4387-801C-D02A25951045}" name="Column15238"/>
    <tableColumn id="15250" xr3:uid="{7716BFE3-F965-4751-8C63-7E128D5A5B31}" name="Column15239"/>
    <tableColumn id="15251" xr3:uid="{523684D9-DE78-44C4-A5F8-2E9D5F3DE6D1}" name="Column15240"/>
    <tableColumn id="15252" xr3:uid="{A72A06D9-8149-4BAD-A176-B42ED8D21628}" name="Column15241"/>
    <tableColumn id="15253" xr3:uid="{3C835A21-EAEF-4FAA-9EDB-88CBA35E0F3A}" name="Column15242"/>
    <tableColumn id="15254" xr3:uid="{DA50B883-51A5-4F63-AB9C-FB7B8E9DF277}" name="Column15243"/>
    <tableColumn id="15255" xr3:uid="{D6E8A2B0-ABF8-4ABB-BC9B-67B0C6C86CCC}" name="Column15244"/>
    <tableColumn id="15256" xr3:uid="{A94EF2A6-6412-43ED-A6E4-BE796E7857A2}" name="Column15245"/>
    <tableColumn id="15257" xr3:uid="{F73E0FFC-C49E-4E12-A059-1ECD81C64821}" name="Column15246"/>
    <tableColumn id="15258" xr3:uid="{B2659AC6-267C-4389-A2EF-798D303873E9}" name="Column15247"/>
    <tableColumn id="15259" xr3:uid="{4032A322-86C6-448C-B080-373BC2A8E8C6}" name="Column15248"/>
    <tableColumn id="15260" xr3:uid="{EEA4484B-FE2B-477C-834F-982D6B9FCC93}" name="Column15249"/>
    <tableColumn id="15261" xr3:uid="{96747EC4-DED9-45CA-9DB1-5576A66DBC9A}" name="Column15250"/>
    <tableColumn id="15262" xr3:uid="{DD6FC786-E789-4235-A98D-D7E423F0B8E5}" name="Column15251"/>
    <tableColumn id="15263" xr3:uid="{20633E84-D1DB-405F-8E03-BC98B3A84E65}" name="Column15252"/>
    <tableColumn id="15264" xr3:uid="{27CFAAE4-8343-4639-879F-2209C1345117}" name="Column15253"/>
    <tableColumn id="15265" xr3:uid="{A67F2AEC-3825-4CB5-8C93-F71799D45927}" name="Column15254"/>
    <tableColumn id="15266" xr3:uid="{31E00954-87FB-4D33-A66D-BC568980B91F}" name="Column15255"/>
    <tableColumn id="15267" xr3:uid="{E5F34653-8661-4360-81DF-C19E0903CA7E}" name="Column15256"/>
    <tableColumn id="15268" xr3:uid="{046176D5-2595-415E-BB4B-6C1CF87AD858}" name="Column15257"/>
    <tableColumn id="15269" xr3:uid="{1A677BD7-D708-4AC5-A08F-A17714A1D531}" name="Column15258"/>
    <tableColumn id="15270" xr3:uid="{6FFE2315-472E-4923-8ADD-5573CAD86A19}" name="Column15259"/>
    <tableColumn id="15271" xr3:uid="{463BC06F-91A4-42A4-A1AC-FDF779C28D1D}" name="Column15260"/>
    <tableColumn id="15272" xr3:uid="{A407C445-D758-4A30-972B-75432A9D8132}" name="Column15261"/>
    <tableColumn id="15273" xr3:uid="{8FB4144E-8041-49A3-BE09-79542C0000AE}" name="Column15262"/>
    <tableColumn id="15274" xr3:uid="{7A16B8D8-CF4B-4731-AE70-6169DDD3BFB7}" name="Column15263"/>
    <tableColumn id="15275" xr3:uid="{984B15E6-3123-4362-AA2E-B05268A2DBBE}" name="Column15264"/>
    <tableColumn id="15276" xr3:uid="{B9E311BD-6588-4676-8185-94FE5879DAE3}" name="Column15265"/>
    <tableColumn id="15277" xr3:uid="{95EE64F5-387B-4917-BDA9-2B1B098314C5}" name="Column15266"/>
    <tableColumn id="15278" xr3:uid="{CCC5FE50-AE00-4575-8131-8BDF07280492}" name="Column15267"/>
    <tableColumn id="15279" xr3:uid="{8C0C980A-ABB7-4CF2-94CF-E40703DB6539}" name="Column15268"/>
    <tableColumn id="15280" xr3:uid="{720A7D22-EDAC-461C-98FE-A2ED62B21B64}" name="Column15269"/>
    <tableColumn id="15281" xr3:uid="{AF3BBB93-A769-4612-BD3B-4EC5297A26E1}" name="Column15270"/>
    <tableColumn id="15282" xr3:uid="{44865BA5-F496-48DB-8744-A079F74EE655}" name="Column15271"/>
    <tableColumn id="15283" xr3:uid="{29DF6E80-427F-486E-99E9-EF2604F01954}" name="Column15272"/>
    <tableColumn id="15284" xr3:uid="{524F2749-71BE-4D4F-AD86-3FCFC182D109}" name="Column15273"/>
    <tableColumn id="15285" xr3:uid="{EE19329D-CDCA-48A2-91C4-63F02D593C0B}" name="Column15274"/>
    <tableColumn id="15286" xr3:uid="{6CAAD5C8-93E3-4683-8009-18C2F3C921C7}" name="Column15275"/>
    <tableColumn id="15287" xr3:uid="{C012EB85-B6F0-4C4F-8E1D-9E6364893305}" name="Column15276"/>
    <tableColumn id="15288" xr3:uid="{9B701CD8-5E45-4D5A-9032-AD641EADBA51}" name="Column15277"/>
    <tableColumn id="15289" xr3:uid="{56E8FBC0-86B9-49AF-98CF-08A900FD44DF}" name="Column15278"/>
    <tableColumn id="15290" xr3:uid="{2E69F450-8C93-4796-A9D6-406C79664ED7}" name="Column15279"/>
    <tableColumn id="15291" xr3:uid="{4F33FEFF-C285-4D30-B44F-8CCCA63ED8BC}" name="Column15280"/>
    <tableColumn id="15292" xr3:uid="{56717DCE-5CA0-4CCB-8342-7FB859514924}" name="Column15281"/>
    <tableColumn id="15293" xr3:uid="{5F8E4161-EB76-47E6-99DC-3013FE963CD8}" name="Column15282"/>
    <tableColumn id="15294" xr3:uid="{0FE91E84-F925-49A9-9530-D0B5543A45C7}" name="Column15283"/>
    <tableColumn id="15295" xr3:uid="{17162DD5-AD32-4407-A195-C1BC9E7F5798}" name="Column15284"/>
    <tableColumn id="15296" xr3:uid="{634A768F-F51F-4212-8D94-9861AE797205}" name="Column15285"/>
    <tableColumn id="15297" xr3:uid="{775139D4-7ACA-4CD7-96E3-9F90D80B2294}" name="Column15286"/>
    <tableColumn id="15298" xr3:uid="{76839909-1CF8-4A35-A4E9-290E057D41BC}" name="Column15287"/>
    <tableColumn id="15299" xr3:uid="{AAAE6176-C8E8-479E-9E77-9518624F512F}" name="Column15288"/>
    <tableColumn id="15300" xr3:uid="{E6FE579E-5AB4-45D7-BA0D-9454E81A8425}" name="Column15289"/>
    <tableColumn id="15301" xr3:uid="{F72E073C-2097-49EF-90EB-370C1C529E3B}" name="Column15290"/>
    <tableColumn id="15302" xr3:uid="{D913BDB1-315A-4B8B-991B-250B43743FA1}" name="Column15291"/>
    <tableColumn id="15303" xr3:uid="{6EF916EE-53B3-40A8-8041-CD9B99276473}" name="Column15292"/>
    <tableColumn id="15304" xr3:uid="{BB294F15-AF7F-4CE5-9BA4-7C4B1C8F8ED1}" name="Column15293"/>
    <tableColumn id="15305" xr3:uid="{20DC33C3-367D-42AB-92B6-2745397259F4}" name="Column15294"/>
    <tableColumn id="15306" xr3:uid="{CE589BFE-9E07-4545-906E-037849256F93}" name="Column15295"/>
    <tableColumn id="15307" xr3:uid="{FF339702-885E-48F9-AF7D-F3BB92D682BE}" name="Column15296"/>
    <tableColumn id="15308" xr3:uid="{68670F4D-DC91-4CD2-8AC8-0512E9F335C0}" name="Column15297"/>
    <tableColumn id="15309" xr3:uid="{61A08ADF-545F-41A3-8640-7EE973246034}" name="Column15298"/>
    <tableColumn id="15310" xr3:uid="{A094613E-7801-4AAC-A609-7D419A90F383}" name="Column15299"/>
    <tableColumn id="15311" xr3:uid="{4E062C1E-4731-4F89-ACC9-5F999C9A85F8}" name="Column15300"/>
    <tableColumn id="15312" xr3:uid="{893031B2-0C34-4854-8FF0-DFEBB5082CA9}" name="Column15301"/>
    <tableColumn id="15313" xr3:uid="{2DD3E4ED-2D01-45C1-88DE-B02659713C1E}" name="Column15302"/>
    <tableColumn id="15314" xr3:uid="{496D3187-6C8F-4B27-845F-CE9F37B332BC}" name="Column15303"/>
    <tableColumn id="15315" xr3:uid="{7AC10410-D5A5-442E-9223-E28CF71707CC}" name="Column15304"/>
    <tableColumn id="15316" xr3:uid="{2B1648E5-1209-41E0-BE82-D8E9344EDF57}" name="Column15305"/>
    <tableColumn id="15317" xr3:uid="{5FE63EEB-F9E2-4284-841E-0562E2BBC254}" name="Column15306"/>
    <tableColumn id="15318" xr3:uid="{7F43F608-F0A2-4D6B-8542-33D7C7DCEDC6}" name="Column15307"/>
    <tableColumn id="15319" xr3:uid="{F0DFE0A9-F903-4D02-B76E-216D36C3F49C}" name="Column15308"/>
    <tableColumn id="15320" xr3:uid="{5E458034-375C-44A9-AEFE-2E8D3C162B28}" name="Column15309"/>
    <tableColumn id="15321" xr3:uid="{404FA07B-E04D-4D1E-982F-3DB8AFE884EA}" name="Column15310"/>
    <tableColumn id="15322" xr3:uid="{DB5B9759-7841-4C7D-9DAD-C5C89F0F5C8A}" name="Column15311"/>
    <tableColumn id="15323" xr3:uid="{96BCE1DC-0FB3-4471-A4BF-8C92F84BBFE0}" name="Column15312"/>
    <tableColumn id="15324" xr3:uid="{65802898-B9AE-4B28-ADDE-E67BDF8B791C}" name="Column15313"/>
    <tableColumn id="15325" xr3:uid="{8A99BCC3-BCD8-470C-870C-D60B6F3140A3}" name="Column15314"/>
    <tableColumn id="15326" xr3:uid="{B843DC7C-FA4B-4DF1-B96D-B4BF44CD2195}" name="Column15315"/>
    <tableColumn id="15327" xr3:uid="{07937744-0F69-4131-B748-2652F94891D3}" name="Column15316"/>
    <tableColumn id="15328" xr3:uid="{CFA5E57B-6E6E-47AA-93B4-5BED9E21C011}" name="Column15317"/>
    <tableColumn id="15329" xr3:uid="{DA5CEFBC-E5B8-469A-A118-652857753C21}" name="Column15318"/>
    <tableColumn id="15330" xr3:uid="{1A94EA20-6DAB-4309-B158-FD02511B8871}" name="Column15319"/>
    <tableColumn id="15331" xr3:uid="{86DF401A-1FBD-4451-8D82-62427FA955B8}" name="Column15320"/>
    <tableColumn id="15332" xr3:uid="{EB1F43A8-E61E-454A-87E9-7AF849DD3CE7}" name="Column15321"/>
    <tableColumn id="15333" xr3:uid="{2C289C61-4014-4F88-AECC-931DEE95E74F}" name="Column15322"/>
    <tableColumn id="15334" xr3:uid="{497C2418-6E06-4E8D-BC8E-A3E7E3878413}" name="Column15323"/>
    <tableColumn id="15335" xr3:uid="{FBA74649-79CB-4AD8-B7A7-2FB970DD4B40}" name="Column15324"/>
    <tableColumn id="15336" xr3:uid="{233EC3F0-FCC2-453B-8280-3719B4FC7A4D}" name="Column15325"/>
    <tableColumn id="15337" xr3:uid="{94F9A3DF-29DB-4D46-ACF5-E2A67E709B17}" name="Column15326"/>
    <tableColumn id="15338" xr3:uid="{DCE6A742-9610-47E1-B153-8926E20C4F07}" name="Column15327"/>
    <tableColumn id="15339" xr3:uid="{AB59203B-1B6F-4A1A-AC13-D78D4E2C9A1A}" name="Column15328"/>
    <tableColumn id="15340" xr3:uid="{4EBFD260-7539-4C83-9D1B-00047D88FE17}" name="Column15329"/>
    <tableColumn id="15341" xr3:uid="{8C7F7554-5C56-4AAB-B7E7-93A2467B11D4}" name="Column15330"/>
    <tableColumn id="15342" xr3:uid="{B34B5D4F-7A7E-4E41-BDE1-7D58750DB3A2}" name="Column15331"/>
    <tableColumn id="15343" xr3:uid="{37952948-9FA9-45A4-ACB5-1AD7228D0480}" name="Column15332"/>
    <tableColumn id="15344" xr3:uid="{4A5087CB-945F-407F-986C-48A4F48F6A0E}" name="Column15333"/>
    <tableColumn id="15345" xr3:uid="{60E45ECD-2763-4A7C-B1ED-914621C1E73D}" name="Column15334"/>
    <tableColumn id="15346" xr3:uid="{B374CB7A-5DA0-48F8-9F64-6F5540DF165F}" name="Column15335"/>
    <tableColumn id="15347" xr3:uid="{BB2BE457-73D5-4BC7-AEF7-D289C740B0E3}" name="Column15336"/>
    <tableColumn id="15348" xr3:uid="{62F1A975-0E26-4837-83CA-A079198DB4E8}" name="Column15337"/>
    <tableColumn id="15349" xr3:uid="{F28EAB03-6F6F-4843-8E46-D9260B1E8C26}" name="Column15338"/>
    <tableColumn id="15350" xr3:uid="{CDC036D9-BE27-460D-8E69-11C39C7932D8}" name="Column15339"/>
    <tableColumn id="15351" xr3:uid="{DD7E8873-1B62-45F6-BAFA-EDD2CDE297EE}" name="Column15340"/>
    <tableColumn id="15352" xr3:uid="{2C3CD4B8-42A6-46B3-BA61-35FE3E93F929}" name="Column15341"/>
    <tableColumn id="15353" xr3:uid="{3BE5ACC6-5E3A-45B6-B010-62381491E970}" name="Column15342"/>
    <tableColumn id="15354" xr3:uid="{6DDCF10C-314A-4868-A7C2-D196E75EA4D4}" name="Column15343"/>
    <tableColumn id="15355" xr3:uid="{546FCC1F-0EE1-4A12-AE83-9E252B6BBF30}" name="Column15344"/>
    <tableColumn id="15356" xr3:uid="{D9B7EC2B-87FB-4628-848B-4FF36D71D4D9}" name="Column15345"/>
    <tableColumn id="15357" xr3:uid="{A5A5FF17-D98F-41FB-96B0-4892059ED775}" name="Column15346"/>
    <tableColumn id="15358" xr3:uid="{6CE3BEB2-4523-4005-AB2A-0D141054F9F8}" name="Column15347"/>
    <tableColumn id="15359" xr3:uid="{811F48DA-7866-4CB0-89F8-419264E5EA15}" name="Column15348"/>
    <tableColumn id="15360" xr3:uid="{C7B9AACF-DE19-44EE-A98C-D85042A2C475}" name="Column15349"/>
    <tableColumn id="15361" xr3:uid="{628D4A29-1CC0-483E-97F3-29238D1AB341}" name="Column15350"/>
    <tableColumn id="15362" xr3:uid="{9A9D4359-FE4C-4754-AB0F-EB0358CC9756}" name="Column15351"/>
    <tableColumn id="15363" xr3:uid="{883E2054-73AF-4DA8-8518-543EAAB02CB1}" name="Column15352"/>
    <tableColumn id="15364" xr3:uid="{41B46EF2-3F98-499D-BDD4-4760B45B7DD6}" name="Column15353"/>
    <tableColumn id="15365" xr3:uid="{27462D57-7EAB-4F69-AF2E-D5E5CD21C683}" name="Column15354"/>
    <tableColumn id="15366" xr3:uid="{93DFD1A9-4E50-4850-B0D9-BE8FC321AB90}" name="Column15355"/>
    <tableColumn id="15367" xr3:uid="{9CDBA225-7CCA-4C3B-9591-17FDD4268ACD}" name="Column15356"/>
    <tableColumn id="15368" xr3:uid="{9B3A7429-6F65-4933-A34D-EEDEFF1C0070}" name="Column15357"/>
    <tableColumn id="15369" xr3:uid="{75683540-6A15-48EF-93AA-0CFEE108E9BB}" name="Column15358"/>
    <tableColumn id="15370" xr3:uid="{69C60BE1-C4FD-435B-9D97-78E03210F87F}" name="Column15359"/>
    <tableColumn id="15371" xr3:uid="{82FC2709-A0C5-4537-8647-2DA33075D6E9}" name="Column15360"/>
    <tableColumn id="15372" xr3:uid="{2A28ABED-C33A-4A23-97DC-8FEDDD0B3625}" name="Column15361"/>
    <tableColumn id="15373" xr3:uid="{4B892345-849F-46C3-B21D-D7CEEC007832}" name="Column15362"/>
    <tableColumn id="15374" xr3:uid="{5350D7DA-5E51-411A-BCBF-8B3F9B298363}" name="Column15363"/>
    <tableColumn id="15375" xr3:uid="{0F0A1E0F-5F14-446A-B2B8-9F607AA02C1B}" name="Column15364"/>
    <tableColumn id="15376" xr3:uid="{0DB88690-035F-4BB9-8C72-F3006EE7FBBF}" name="Column15365"/>
    <tableColumn id="15377" xr3:uid="{CAD37BF9-C20C-4A3E-9229-F8384C3DA05F}" name="Column15366"/>
    <tableColumn id="15378" xr3:uid="{4414BAB7-B0DD-4CD7-9211-9DE2FC8513E2}" name="Column15367"/>
    <tableColumn id="15379" xr3:uid="{B446D970-8F97-49EF-97A9-A21D492440FF}" name="Column15368"/>
    <tableColumn id="15380" xr3:uid="{D9750036-BE60-4613-83F8-B1F02FFFBF34}" name="Column15369"/>
    <tableColumn id="15381" xr3:uid="{4C44025E-E615-4D89-A3E5-849C467CED5D}" name="Column15370"/>
    <tableColumn id="15382" xr3:uid="{E780B87D-49FB-4633-9555-70E08A8AD749}" name="Column15371"/>
    <tableColumn id="15383" xr3:uid="{6F41B8C1-078A-4505-A152-58D23ECFD035}" name="Column15372"/>
    <tableColumn id="15384" xr3:uid="{DC0B0B4F-0EEC-41FB-9AFC-446B9C99B7B0}" name="Column15373"/>
    <tableColumn id="15385" xr3:uid="{194B0E57-B8A8-4D23-B5D5-241CCD6D39D0}" name="Column15374"/>
    <tableColumn id="15386" xr3:uid="{E333A689-1830-4AF9-A76E-E5EB896EE7E6}" name="Column15375"/>
    <tableColumn id="15387" xr3:uid="{AE71DCD8-948A-41FB-AA3D-B0935219BE93}" name="Column15376"/>
    <tableColumn id="15388" xr3:uid="{2170311A-358F-486B-996A-30968EFE7025}" name="Column15377"/>
    <tableColumn id="15389" xr3:uid="{A018C097-1257-43DD-A6BA-BD393AA5C937}" name="Column15378"/>
    <tableColumn id="15390" xr3:uid="{C01C2EE6-7EE7-4CCF-91DB-758CE89FD59E}" name="Column15379"/>
    <tableColumn id="15391" xr3:uid="{B467054B-B9B0-4CC1-9815-58D59DEB3243}" name="Column15380"/>
    <tableColumn id="15392" xr3:uid="{CB283C12-BAC9-44EE-AA54-EB687D3FFE92}" name="Column15381"/>
    <tableColumn id="15393" xr3:uid="{CAF205E7-5E50-47E1-992B-DB3D58E2A2EF}" name="Column15382"/>
    <tableColumn id="15394" xr3:uid="{394FE7B8-E8A8-4A7D-AD5C-A35E93FCF2D3}" name="Column15383"/>
    <tableColumn id="15395" xr3:uid="{A15B39E5-10DA-461D-AC31-255427EA35B1}" name="Column15384"/>
    <tableColumn id="15396" xr3:uid="{B68275E4-126A-4357-AB96-B94044F0EB8C}" name="Column15385"/>
    <tableColumn id="15397" xr3:uid="{5808EA68-C14D-4368-A83B-8980B895F435}" name="Column15386"/>
    <tableColumn id="15398" xr3:uid="{44F19630-2E96-4EDD-9515-50E6B9D166ED}" name="Column15387"/>
    <tableColumn id="15399" xr3:uid="{85E1E264-428D-43BD-BC84-EC2332FBB8E9}" name="Column15388"/>
    <tableColumn id="15400" xr3:uid="{38FD3F8D-6E70-4A03-8274-87B741ACDB0B}" name="Column15389"/>
    <tableColumn id="15401" xr3:uid="{38749123-B0A7-4C80-9446-ED46F0C51B89}" name="Column15390"/>
    <tableColumn id="15402" xr3:uid="{1755365B-C5D7-4D2B-9077-B56BA914A0F2}" name="Column15391"/>
    <tableColumn id="15403" xr3:uid="{A3DC514B-D44D-44B6-8106-B89480F3471E}" name="Column15392"/>
    <tableColumn id="15404" xr3:uid="{7517A163-1660-4491-B08F-72B608B0364C}" name="Column15393"/>
    <tableColumn id="15405" xr3:uid="{09D5FCA9-CDEC-4ECF-B430-FF835B303D37}" name="Column15394"/>
    <tableColumn id="15406" xr3:uid="{73B653FF-0A58-4862-BDE7-FDB454ECC97D}" name="Column15395"/>
    <tableColumn id="15407" xr3:uid="{438798B4-E217-4034-A652-7DF513FBA3CE}" name="Column15396"/>
    <tableColumn id="15408" xr3:uid="{FFB775A5-C9D4-4426-B8D5-A872ECD9EE56}" name="Column15397"/>
    <tableColumn id="15409" xr3:uid="{D15308B9-C713-48D8-B4CC-0BC62D099EE9}" name="Column15398"/>
    <tableColumn id="15410" xr3:uid="{122D232A-61D3-478D-8466-EB2932A31CEA}" name="Column15399"/>
    <tableColumn id="15411" xr3:uid="{D7AEE9CE-0E13-4400-A867-083F07A34551}" name="Column15400"/>
    <tableColumn id="15412" xr3:uid="{BAA06454-E806-46A1-9DC3-EDCB9BAC1863}" name="Column15401"/>
    <tableColumn id="15413" xr3:uid="{DEFA0433-D575-441A-9BD2-2DE857181666}" name="Column15402"/>
    <tableColumn id="15414" xr3:uid="{FAB76A5C-6D6B-4FAC-AFDC-F62CC5DEAFC6}" name="Column15403"/>
    <tableColumn id="15415" xr3:uid="{295D82BD-3FD6-48D1-A6D6-21EDC428F1C7}" name="Column15404"/>
    <tableColumn id="15416" xr3:uid="{34D1B310-B5E1-4353-A022-6D6B0BA1D61E}" name="Column15405"/>
    <tableColumn id="15417" xr3:uid="{DDB3B147-D8D8-4A81-88DF-F4C0156A02CB}" name="Column15406"/>
    <tableColumn id="15418" xr3:uid="{553501F5-3D36-4F4A-9860-7E5A3A718E4C}" name="Column15407"/>
    <tableColumn id="15419" xr3:uid="{CBE9307A-C1EC-444F-BB04-6BCAA4B188CB}" name="Column15408"/>
    <tableColumn id="15420" xr3:uid="{764B1CEC-8080-46CF-900F-EA77B083B293}" name="Column15409"/>
    <tableColumn id="15421" xr3:uid="{DADEC3E6-596D-448E-845B-D3C5C8E65ECD}" name="Column15410"/>
    <tableColumn id="15422" xr3:uid="{89B376B9-56E0-4C59-9A2A-35A48ED5C80A}" name="Column15411"/>
    <tableColumn id="15423" xr3:uid="{FD7A42C7-50A5-4804-8023-72FC4EA6DC9B}" name="Column15412"/>
    <tableColumn id="15424" xr3:uid="{FE59F4F8-963E-4842-A0DD-FE8E27EE9B4E}" name="Column15413"/>
    <tableColumn id="15425" xr3:uid="{06F94108-7955-4088-B758-2D61E4457562}" name="Column15414"/>
    <tableColumn id="15426" xr3:uid="{B2E101FF-DA65-4C9D-A3C7-27016700A00D}" name="Column15415"/>
    <tableColumn id="15427" xr3:uid="{9BB472EB-8A73-4F56-9190-508AABB6D55A}" name="Column15416"/>
    <tableColumn id="15428" xr3:uid="{F69BC1F9-1F86-4B24-ACC7-3138E3C5052C}" name="Column15417"/>
    <tableColumn id="15429" xr3:uid="{6081CDBD-1F59-4BF5-9B33-B587173541FC}" name="Column15418"/>
    <tableColumn id="15430" xr3:uid="{5D556179-04C1-46F8-8439-DB87E7386CF1}" name="Column15419"/>
    <tableColumn id="15431" xr3:uid="{8856DEE9-5B1B-4792-BC73-E1592BACE14C}" name="Column15420"/>
    <tableColumn id="15432" xr3:uid="{926EC3F8-02FC-4E29-9E42-3B0A31E7C2CD}" name="Column15421"/>
    <tableColumn id="15433" xr3:uid="{A1B443C0-7D52-4A2A-9523-E77C14CE7329}" name="Column15422"/>
    <tableColumn id="15434" xr3:uid="{15D2ADD3-0DE9-40D4-8757-BA43817CEFE1}" name="Column15423"/>
    <tableColumn id="15435" xr3:uid="{DB2EE341-393C-4B9F-9B4A-A0EB34EAAB5F}" name="Column15424"/>
    <tableColumn id="15436" xr3:uid="{528C757D-173A-4475-A093-006F73E415EE}" name="Column15425"/>
    <tableColumn id="15437" xr3:uid="{B557ABC6-822C-47DA-836D-BB17383F0182}" name="Column15426"/>
    <tableColumn id="15438" xr3:uid="{C49B1BE9-CEBB-456A-BD4B-45401B6DA5FF}" name="Column15427"/>
    <tableColumn id="15439" xr3:uid="{A6797A20-C0F5-47F9-B8D8-7016E8B6BBF6}" name="Column15428"/>
    <tableColumn id="15440" xr3:uid="{57E938DE-0042-47C5-BBC9-D555835617B5}" name="Column15429"/>
    <tableColumn id="15441" xr3:uid="{75C2A541-F7FE-4A83-A73A-2489E56021AC}" name="Column15430"/>
    <tableColumn id="15442" xr3:uid="{A7583114-02C6-43FF-833A-9DBA229A034B}" name="Column15431"/>
    <tableColumn id="15443" xr3:uid="{93EC455A-3AA4-49A9-A5A6-95BA1B6EFF09}" name="Column15432"/>
    <tableColumn id="15444" xr3:uid="{B05B3647-B62C-4436-B459-91DACE434A2F}" name="Column15433"/>
    <tableColumn id="15445" xr3:uid="{E06FE891-33FE-43A7-AE8F-75DC390F1C87}" name="Column15434"/>
    <tableColumn id="15446" xr3:uid="{278030EC-9DB4-41DC-8878-3FE6927A36FA}" name="Column15435"/>
    <tableColumn id="15447" xr3:uid="{244B2368-9954-43DE-9162-C4D3D2F93FB4}" name="Column15436"/>
    <tableColumn id="15448" xr3:uid="{194BCEA2-FA98-4D1C-83D6-4CE13823814F}" name="Column15437"/>
    <tableColumn id="15449" xr3:uid="{D7235812-B8C0-4E7B-B288-DC215691DC6B}" name="Column15438"/>
    <tableColumn id="15450" xr3:uid="{04E8E0FD-73E8-4C0F-B69F-2A9F7A43E6AF}" name="Column15439"/>
    <tableColumn id="15451" xr3:uid="{61C396BA-1708-495C-BC2C-144F08A9C1CD}" name="Column15440"/>
    <tableColumn id="15452" xr3:uid="{1ADC9B49-3482-4190-BDAF-27BF91813A82}" name="Column15441"/>
    <tableColumn id="15453" xr3:uid="{215DDC38-86D9-440C-A65E-31339D8E30DC}" name="Column15442"/>
    <tableColumn id="15454" xr3:uid="{7F4E536D-1B0F-4E02-B276-1C9BEAB29706}" name="Column15443"/>
    <tableColumn id="15455" xr3:uid="{CABB20A6-97A6-4A2F-9738-4C038B601B33}" name="Column15444"/>
    <tableColumn id="15456" xr3:uid="{260BEBC6-6A06-4C55-8A03-1FDBC6F2D190}" name="Column15445"/>
    <tableColumn id="15457" xr3:uid="{407AD46A-5B14-4AEB-BC78-9F3054A6DB48}" name="Column15446"/>
    <tableColumn id="15458" xr3:uid="{21E30395-C949-46B2-94D1-29FD28D2B9E6}" name="Column15447"/>
    <tableColumn id="15459" xr3:uid="{5D83C59D-6E25-45F7-82D2-E01A73F68DF7}" name="Column15448"/>
    <tableColumn id="15460" xr3:uid="{3FFE733C-DD6E-4960-98C6-AE2F3BD54D1D}" name="Column15449"/>
    <tableColumn id="15461" xr3:uid="{145E8FF2-EB39-4D14-B173-BA7508CB1DD5}" name="Column15450"/>
    <tableColumn id="15462" xr3:uid="{4C1270AC-6BEA-4F70-88A4-5F8CF7815815}" name="Column15451"/>
    <tableColumn id="15463" xr3:uid="{F213D6F0-C83A-44C5-BDBE-E891CFFEA0D7}" name="Column15452"/>
    <tableColumn id="15464" xr3:uid="{467EAD42-8FB4-4689-BBC9-8B298E324BEA}" name="Column15453"/>
    <tableColumn id="15465" xr3:uid="{37790076-202A-4B45-8907-B2056B2676AE}" name="Column15454"/>
    <tableColumn id="15466" xr3:uid="{1D465F04-C19B-491F-A283-5D1F1A1D34CD}" name="Column15455"/>
    <tableColumn id="15467" xr3:uid="{C360CEC6-AC5A-482A-B762-39B2A0D9115B}" name="Column15456"/>
    <tableColumn id="15468" xr3:uid="{B260EC59-17FE-435D-87DF-4E79857A4B6C}" name="Column15457"/>
    <tableColumn id="15469" xr3:uid="{A74F7461-A924-4372-9240-47B287E4EA05}" name="Column15458"/>
    <tableColumn id="15470" xr3:uid="{C54A8345-A678-4312-B934-A850A87AB263}" name="Column15459"/>
    <tableColumn id="15471" xr3:uid="{A9F0B82C-B074-4682-BA6D-A2EC3170687D}" name="Column15460"/>
    <tableColumn id="15472" xr3:uid="{E491EA18-948C-4254-B29A-6F31EFD6B170}" name="Column15461"/>
    <tableColumn id="15473" xr3:uid="{2632306A-75CA-4B06-9F5A-0A2887C81DF9}" name="Column15462"/>
    <tableColumn id="15474" xr3:uid="{B05DE0EC-054F-4194-A03C-6059EC14B3DA}" name="Column15463"/>
    <tableColumn id="15475" xr3:uid="{393BC337-7BC0-4354-A4BD-199A39C5083C}" name="Column15464"/>
    <tableColumn id="15476" xr3:uid="{4C1ED1C6-CFD6-4B72-B1A9-27DF58404F3D}" name="Column15465"/>
    <tableColumn id="15477" xr3:uid="{EC416CE4-F7E9-4A3B-B6FE-EA0D57519541}" name="Column15466"/>
    <tableColumn id="15478" xr3:uid="{86003DA7-9DB7-42BF-AFC5-DBE0AB0ED52D}" name="Column15467"/>
    <tableColumn id="15479" xr3:uid="{EAED28B1-9D7E-484B-86E7-3A147D2EF365}" name="Column15468"/>
    <tableColumn id="15480" xr3:uid="{1D0EC4B4-4521-49D4-82F5-FF48D86A9700}" name="Column15469"/>
    <tableColumn id="15481" xr3:uid="{450891EA-F610-4DD7-BE71-B0233AD4E03A}" name="Column15470"/>
    <tableColumn id="15482" xr3:uid="{110CBED9-7AC1-44D3-B9AA-C9FC9D4C3B70}" name="Column15471"/>
    <tableColumn id="15483" xr3:uid="{D8843A64-2C5C-4C3E-BBA6-AB44F1E433CF}" name="Column15472"/>
    <tableColumn id="15484" xr3:uid="{7A2F0C00-6982-41F3-B73F-1F4C8844A127}" name="Column15473"/>
    <tableColumn id="15485" xr3:uid="{39639819-B7F5-47E8-AAA4-E16FC94D8782}" name="Column15474"/>
    <tableColumn id="15486" xr3:uid="{3D55BFD5-9F34-4917-804B-03B8C06D09FA}" name="Column15475"/>
    <tableColumn id="15487" xr3:uid="{494A33B4-A944-4065-8648-435EBF0D00E9}" name="Column15476"/>
    <tableColumn id="15488" xr3:uid="{6C9348E9-0E31-49BD-902D-144701D071BC}" name="Column15477"/>
    <tableColumn id="15489" xr3:uid="{2F976694-839F-4E11-BFBE-3554C2F4F1AB}" name="Column15478"/>
    <tableColumn id="15490" xr3:uid="{803673C0-6168-496B-AFB1-48317849173B}" name="Column15479"/>
    <tableColumn id="15491" xr3:uid="{6F93702C-838D-4D2D-8ECF-940F17D8549D}" name="Column15480"/>
    <tableColumn id="15492" xr3:uid="{2FF5B382-7434-4777-A2FE-E7EE7B35FCD9}" name="Column15481"/>
    <tableColumn id="15493" xr3:uid="{AFF88A5C-9091-4BC4-90BC-3B97DD2567F8}" name="Column15482"/>
    <tableColumn id="15494" xr3:uid="{888DEEC8-EC0E-43FC-A020-1557B11583D1}" name="Column15483"/>
    <tableColumn id="15495" xr3:uid="{DA456036-A161-4895-9E91-238434DBB7B8}" name="Column15484"/>
    <tableColumn id="15496" xr3:uid="{12EF49E0-3554-44C4-9AA1-D27E08553125}" name="Column15485"/>
    <tableColumn id="15497" xr3:uid="{42D32021-AED7-4168-8CD9-B642DE04C58A}" name="Column15486"/>
    <tableColumn id="15498" xr3:uid="{9EAD5014-8A3C-4C20-BC92-12685B9FFDE1}" name="Column15487"/>
    <tableColumn id="15499" xr3:uid="{11DA15D5-8716-43E7-B7C6-96BB150801EA}" name="Column15488"/>
    <tableColumn id="15500" xr3:uid="{08B02639-CFC4-4874-AEAA-A676ABED3B68}" name="Column15489"/>
    <tableColumn id="15501" xr3:uid="{132572A7-D022-4E8C-8ACB-C1DEAFA1720A}" name="Column15490"/>
    <tableColumn id="15502" xr3:uid="{9AAD8AE6-FF92-4248-8740-5F5EDE3FC6B3}" name="Column15491"/>
    <tableColumn id="15503" xr3:uid="{67130339-A3E6-4F89-8D38-199A6CD20D51}" name="Column15492"/>
    <tableColumn id="15504" xr3:uid="{5FBE1C1D-5104-45A0-A394-44B27D7276F1}" name="Column15493"/>
    <tableColumn id="15505" xr3:uid="{CB3E4F96-F591-4727-B8DB-EF026C88A195}" name="Column15494"/>
    <tableColumn id="15506" xr3:uid="{7353925C-514A-44E8-BA75-2BE7CB08FA06}" name="Column15495"/>
    <tableColumn id="15507" xr3:uid="{C6113B41-87B9-42A3-BF12-01E12922A821}" name="Column15496"/>
    <tableColumn id="15508" xr3:uid="{5FFD7EB6-53E1-4387-9BFD-7E74726D21CC}" name="Column15497"/>
    <tableColumn id="15509" xr3:uid="{CB87C949-4CEC-43EE-893F-8B5AB911A23D}" name="Column15498"/>
    <tableColumn id="15510" xr3:uid="{EDEF7AC6-8776-4DA6-B6DE-1653C491F80F}" name="Column15499"/>
    <tableColumn id="15511" xr3:uid="{3A8E5F32-8780-4D09-B45C-69A566D130DD}" name="Column15500"/>
    <tableColumn id="15512" xr3:uid="{A0278BE0-EAD4-4F56-BB02-0D476272E8FF}" name="Column15501"/>
    <tableColumn id="15513" xr3:uid="{4E3C5A06-BE5E-48C7-B675-7EAD4EBA3F91}" name="Column15502"/>
    <tableColumn id="15514" xr3:uid="{48A4BB3E-7A1C-4A46-8D07-736BDF5720E0}" name="Column15503"/>
    <tableColumn id="15515" xr3:uid="{9DF99D13-6684-429C-880A-39C29F88FBDB}" name="Column15504"/>
    <tableColumn id="15516" xr3:uid="{EFB267D5-50FE-48DD-AB54-8F1A9265335D}" name="Column15505"/>
    <tableColumn id="15517" xr3:uid="{E231EDC0-4B8E-447B-88F0-779A40544752}" name="Column15506"/>
    <tableColumn id="15518" xr3:uid="{912DF858-C166-47E6-A414-498608315E48}" name="Column15507"/>
    <tableColumn id="15519" xr3:uid="{94792A71-A66E-4971-B2E3-98068779576D}" name="Column15508"/>
    <tableColumn id="15520" xr3:uid="{C0AA3B4A-9340-40FA-8729-CC55F91E8109}" name="Column15509"/>
    <tableColumn id="15521" xr3:uid="{472906EB-0200-4C47-BADA-33D77BD30D53}" name="Column15510"/>
    <tableColumn id="15522" xr3:uid="{B825C01E-D08F-4FA5-A201-8E6B31546C19}" name="Column15511"/>
    <tableColumn id="15523" xr3:uid="{1AC9BC6F-3632-43A4-BC1D-4211A3FC3B71}" name="Column15512"/>
    <tableColumn id="15524" xr3:uid="{EF7E1E84-84E2-43A4-8DC5-35B15169029E}" name="Column15513"/>
    <tableColumn id="15525" xr3:uid="{692093E8-B123-40D2-9BF7-526E05BDF452}" name="Column15514"/>
    <tableColumn id="15526" xr3:uid="{C793E7B8-4FE2-4147-B990-76C02C6BCDF8}" name="Column15515"/>
    <tableColumn id="15527" xr3:uid="{A8BAF9FF-A108-4CBF-8F1E-59A7303FD73F}" name="Column15516"/>
    <tableColumn id="15528" xr3:uid="{10803E17-45D5-4808-96B4-8CE05792524B}" name="Column15517"/>
    <tableColumn id="15529" xr3:uid="{5B332005-8B3D-4804-A099-81538A25D0CF}" name="Column15518"/>
    <tableColumn id="15530" xr3:uid="{8D953AC9-1078-48CF-9B32-9578DD689728}" name="Column15519"/>
    <tableColumn id="15531" xr3:uid="{2F519DF2-31DF-487F-AD85-AE92B53B0C01}" name="Column15520"/>
    <tableColumn id="15532" xr3:uid="{61B57E94-584A-4599-BBF9-D5CB422DA811}" name="Column15521"/>
    <tableColumn id="15533" xr3:uid="{1B2E1E13-BB38-4EE5-9E12-1C945410EBE8}" name="Column15522"/>
    <tableColumn id="15534" xr3:uid="{FD295FE2-8981-48FD-80F8-6D4F0BDDCB79}" name="Column15523"/>
    <tableColumn id="15535" xr3:uid="{593F647E-0033-46FE-A27A-6DD1E4AD20A5}" name="Column15524"/>
    <tableColumn id="15536" xr3:uid="{29014C13-66B9-4611-8AC8-FB6419C79AD4}" name="Column15525"/>
    <tableColumn id="15537" xr3:uid="{0EBB04DF-AF59-403F-AF90-9E3079CA8E3F}" name="Column15526"/>
    <tableColumn id="15538" xr3:uid="{1A1B8C75-7884-4264-833C-E15AB28A7E23}" name="Column15527"/>
    <tableColumn id="15539" xr3:uid="{163D9FA1-BE47-4BA7-86D6-7534E2402014}" name="Column15528"/>
    <tableColumn id="15540" xr3:uid="{65F40942-DEC4-47A3-9091-40FC0D802B18}" name="Column15529"/>
    <tableColumn id="15541" xr3:uid="{267E4931-957C-4FF3-98D2-8105EDD1DAEE}" name="Column15530"/>
    <tableColumn id="15542" xr3:uid="{69ED5267-EB8A-4FEB-BF8A-1FB10E84A94F}" name="Column15531"/>
    <tableColumn id="15543" xr3:uid="{9DC52B5F-0D90-4363-958E-E09C7758F870}" name="Column15532"/>
    <tableColumn id="15544" xr3:uid="{4F10028A-99EF-4FA2-932B-6131CA39405F}" name="Column15533"/>
    <tableColumn id="15545" xr3:uid="{E56BC0BC-70F1-4F0B-8962-8F6865AF9E70}" name="Column15534"/>
    <tableColumn id="15546" xr3:uid="{5D66133D-165C-4AB9-98E4-DA90940F9B41}" name="Column15535"/>
    <tableColumn id="15547" xr3:uid="{292F60AE-BB33-4D41-8F60-F1AE5C51900A}" name="Column15536"/>
    <tableColumn id="15548" xr3:uid="{24069FF7-3603-4ED0-91C6-322106CC25AD}" name="Column15537"/>
    <tableColumn id="15549" xr3:uid="{C0FE3592-6270-44F7-946B-D21F3CCB20DD}" name="Column15538"/>
    <tableColumn id="15550" xr3:uid="{4F08F765-0C73-45FC-BADC-10D95D0177D9}" name="Column15539"/>
    <tableColumn id="15551" xr3:uid="{D8B4A0ED-D0CE-438C-BA86-40BC43CE8FD9}" name="Column15540"/>
    <tableColumn id="15552" xr3:uid="{CF9CC480-629C-45E4-838B-D6DEFC227126}" name="Column15541"/>
    <tableColumn id="15553" xr3:uid="{4AF9BF5E-2D7A-4293-B9D0-9E1A27B36D4B}" name="Column15542"/>
    <tableColumn id="15554" xr3:uid="{D3A9CE03-219B-43EA-B5BD-12B20BDE5BB9}" name="Column15543"/>
    <tableColumn id="15555" xr3:uid="{59B545DE-8462-4363-B660-5AD7D0FC4385}" name="Column15544"/>
    <tableColumn id="15556" xr3:uid="{0F913879-855B-4179-9B69-D1B1B5E2E3E0}" name="Column15545"/>
    <tableColumn id="15557" xr3:uid="{6BEC6245-F12F-44B5-A14B-BB3A6931BE4A}" name="Column15546"/>
    <tableColumn id="15558" xr3:uid="{E5154461-1AD3-4EC8-BFD3-B813306B48AD}" name="Column15547"/>
    <tableColumn id="15559" xr3:uid="{53B6BCF0-9515-4116-BF4F-EFF7596E69CC}" name="Column15548"/>
    <tableColumn id="15560" xr3:uid="{D060E835-68D5-4CB6-B939-00D7CC8554B2}" name="Column15549"/>
    <tableColumn id="15561" xr3:uid="{F5F694C8-BFE4-408D-8B7F-44E59D515D42}" name="Column15550"/>
    <tableColumn id="15562" xr3:uid="{93CCD255-3E08-47AC-98E6-10E9905B7D06}" name="Column15551"/>
    <tableColumn id="15563" xr3:uid="{708B6C1A-A346-4C3B-B724-7980441B74BF}" name="Column15552"/>
    <tableColumn id="15564" xr3:uid="{B7D854F0-AD78-49DB-ADAC-510029CA82E0}" name="Column15553"/>
    <tableColumn id="15565" xr3:uid="{5AB74250-8E58-44EF-9001-9F0ACC37064F}" name="Column15554"/>
    <tableColumn id="15566" xr3:uid="{E3847B8D-2872-4754-B9C1-024247ED24A7}" name="Column15555"/>
    <tableColumn id="15567" xr3:uid="{6971127E-AD78-4881-B3E2-59D0EA5D3006}" name="Column15556"/>
    <tableColumn id="15568" xr3:uid="{C96727C0-6D37-4A1B-9113-7B31DD789985}" name="Column15557"/>
    <tableColumn id="15569" xr3:uid="{DD02D26B-FE5E-4B24-A09E-7348212491BC}" name="Column15558"/>
    <tableColumn id="15570" xr3:uid="{B97D9948-2E1F-4FDA-9DE3-3AA747E31B0E}" name="Column15559"/>
    <tableColumn id="15571" xr3:uid="{77B8E317-8A65-49FF-8792-07B396E0F6AB}" name="Column15560"/>
    <tableColumn id="15572" xr3:uid="{D15D5B3C-FE60-408A-B0B1-6FF9757B775A}" name="Column15561"/>
    <tableColumn id="15573" xr3:uid="{2516C22D-AEB4-4B42-B495-6584E47A558C}" name="Column15562"/>
    <tableColumn id="15574" xr3:uid="{EA723C54-F902-48D0-AE93-72F56B23E66A}" name="Column15563"/>
    <tableColumn id="15575" xr3:uid="{E8F9B948-75AB-416B-A3F6-EFAF259C6FB4}" name="Column15564"/>
    <tableColumn id="15576" xr3:uid="{0390C259-54C9-40A1-BDDB-82AA4070862A}" name="Column15565"/>
    <tableColumn id="15577" xr3:uid="{EAE34992-465C-4F02-810C-885AE8F09A8B}" name="Column15566"/>
    <tableColumn id="15578" xr3:uid="{F4EF3205-E58C-4572-AD50-CD0D66F1AB87}" name="Column15567"/>
    <tableColumn id="15579" xr3:uid="{B9D62FD1-CBB6-48BC-BB6B-3305304FB002}" name="Column15568"/>
    <tableColumn id="15580" xr3:uid="{DD66CCA9-E7C0-43AA-9A23-0DCB3293BF5A}" name="Column15569"/>
    <tableColumn id="15581" xr3:uid="{0323BE41-8D5A-4A6A-BB65-2662BD72E798}" name="Column15570"/>
    <tableColumn id="15582" xr3:uid="{2941D37A-5C91-49A9-ACF7-EA41B8FA60D7}" name="Column15571"/>
    <tableColumn id="15583" xr3:uid="{19CE0763-6F11-436D-A63E-384777F1B081}" name="Column15572"/>
    <tableColumn id="15584" xr3:uid="{B7E3F8F9-D19D-4D8E-A915-10D737AAF418}" name="Column15573"/>
    <tableColumn id="15585" xr3:uid="{26CFF3B7-7511-40ED-96B9-5812ABE49E94}" name="Column15574"/>
    <tableColumn id="15586" xr3:uid="{9780299F-5F5D-499C-A922-56B937C933BB}" name="Column15575"/>
    <tableColumn id="15587" xr3:uid="{8E7F9589-8B3F-4454-A085-4DE9312D7C86}" name="Column15576"/>
    <tableColumn id="15588" xr3:uid="{B8DD42AE-82AD-474B-9B5A-287C46BCC625}" name="Column15577"/>
    <tableColumn id="15589" xr3:uid="{17F6F931-1671-4910-A66E-6F11962DDCB7}" name="Column15578"/>
    <tableColumn id="15590" xr3:uid="{F056264A-4E13-4E89-B24E-178F35AD259D}" name="Column15579"/>
    <tableColumn id="15591" xr3:uid="{6A98E79F-0498-424D-9693-6BD46D2A1823}" name="Column15580"/>
    <tableColumn id="15592" xr3:uid="{B0362FF1-1C86-4058-BF8E-BF2B4E3F687C}" name="Column15581"/>
    <tableColumn id="15593" xr3:uid="{E5EA026E-44C5-48E8-83CE-7E2AEF80C14A}" name="Column15582"/>
    <tableColumn id="15594" xr3:uid="{FDFE6997-E79A-4BB8-9CC5-96FB03078B19}" name="Column15583"/>
    <tableColumn id="15595" xr3:uid="{8CE93E8F-6542-4AE3-97CC-84A51C766502}" name="Column15584"/>
    <tableColumn id="15596" xr3:uid="{96AF5407-7069-459D-A6C9-A712E165909B}" name="Column15585"/>
    <tableColumn id="15597" xr3:uid="{81685D02-1CA9-40E5-9CDF-7271CFD602C1}" name="Column15586"/>
    <tableColumn id="15598" xr3:uid="{A09BF0FB-AA27-4BAA-A234-EA3F629B26DB}" name="Column15587"/>
    <tableColumn id="15599" xr3:uid="{1D26C062-92BB-4720-A6AC-25964DB175E5}" name="Column15588"/>
    <tableColumn id="15600" xr3:uid="{04FDAA43-0C87-42E4-93AF-69DC7E4A75DB}" name="Column15589"/>
    <tableColumn id="15601" xr3:uid="{0DCEE021-6498-425D-803B-E78EDD0437F4}" name="Column15590"/>
    <tableColumn id="15602" xr3:uid="{29D2304C-22ED-49C8-841C-54273F9383C8}" name="Column15591"/>
    <tableColumn id="15603" xr3:uid="{51ADE227-78B6-4052-8FB3-3986CECDA5D9}" name="Column15592"/>
    <tableColumn id="15604" xr3:uid="{3107BD90-4A52-4018-9885-60B28135C1C8}" name="Column15593"/>
    <tableColumn id="15605" xr3:uid="{F51B826B-B115-431F-8F26-6E6A5BFDB8F8}" name="Column15594"/>
    <tableColumn id="15606" xr3:uid="{5368E4C7-40C1-4AF9-9C82-404C24223505}" name="Column15595"/>
    <tableColumn id="15607" xr3:uid="{D8462DA6-947C-4D72-9477-6F14F7B5E1BA}" name="Column15596"/>
    <tableColumn id="15608" xr3:uid="{01ED7B64-1A68-4EEA-91FF-4EA0E2836D99}" name="Column15597"/>
    <tableColumn id="15609" xr3:uid="{AB99FE84-0998-411B-B63A-169CD1E02809}" name="Column15598"/>
    <tableColumn id="15610" xr3:uid="{CB0BB4AF-55DC-4915-974B-27F074E2D592}" name="Column15599"/>
    <tableColumn id="15611" xr3:uid="{2A957CAB-8B69-4D1A-B81E-E878B619C9F9}" name="Column15600"/>
    <tableColumn id="15612" xr3:uid="{15BC0C90-7DCA-49A9-94CA-29670986B011}" name="Column15601"/>
    <tableColumn id="15613" xr3:uid="{93407C2A-A0AF-4F6D-8BF0-BA245D085A2D}" name="Column15602"/>
    <tableColumn id="15614" xr3:uid="{936C46EE-D3C0-4B21-BFAE-F3DBEEBA3975}" name="Column15603"/>
    <tableColumn id="15615" xr3:uid="{11E2F1BF-CDBA-463C-B812-1720B94473A9}" name="Column15604"/>
    <tableColumn id="15616" xr3:uid="{AA7CEBC0-E576-49EF-9C9A-A19700E40B25}" name="Column15605"/>
    <tableColumn id="15617" xr3:uid="{602F1631-4F4B-4478-ACC9-BF4E93969709}" name="Column15606"/>
    <tableColumn id="15618" xr3:uid="{32F50100-6490-47D5-BC27-F192CE012071}" name="Column15607"/>
    <tableColumn id="15619" xr3:uid="{0118EFBE-4986-42BE-8096-5616FF1BF253}" name="Column15608"/>
    <tableColumn id="15620" xr3:uid="{4E5E104A-EC33-4000-8CF2-C72321F33766}" name="Column15609"/>
    <tableColumn id="15621" xr3:uid="{5B7B0976-94FD-4605-B7C6-0441870AC2FF}" name="Column15610"/>
    <tableColumn id="15622" xr3:uid="{4ADD7234-45D4-4CF8-8D44-F6BA567C7542}" name="Column15611"/>
    <tableColumn id="15623" xr3:uid="{B86849CC-1195-4506-9B14-21232AF70FE2}" name="Column15612"/>
    <tableColumn id="15624" xr3:uid="{EF0914C5-F2F9-45B5-92B0-F3EB95E9DB82}" name="Column15613"/>
    <tableColumn id="15625" xr3:uid="{878297A1-A33B-4D07-8B58-88336195D8EB}" name="Column15614"/>
    <tableColumn id="15626" xr3:uid="{B88AC289-291A-4517-9402-F52A78F1BB3F}" name="Column15615"/>
    <tableColumn id="15627" xr3:uid="{B6041502-02C6-41C1-B13E-C5D47386D9D8}" name="Column15616"/>
    <tableColumn id="15628" xr3:uid="{DDAB851D-D9C2-4A5F-895A-0C75BBFF3BCB}" name="Column15617"/>
    <tableColumn id="15629" xr3:uid="{C98BED12-0465-4CD7-B496-D00DA9930317}" name="Column15618"/>
    <tableColumn id="15630" xr3:uid="{8943A847-D7AB-4387-821D-6D5B2CBFA908}" name="Column15619"/>
    <tableColumn id="15631" xr3:uid="{BFB10873-4E00-4E71-996D-BEC21E548BE9}" name="Column15620"/>
    <tableColumn id="15632" xr3:uid="{276B84A9-4DBD-4A69-AB1C-CC05A15AECF3}" name="Column15621"/>
    <tableColumn id="15633" xr3:uid="{C483B65B-C971-49F8-9F1A-24A3F523DED5}" name="Column15622"/>
    <tableColumn id="15634" xr3:uid="{7AFBF2B5-103D-441C-809A-ED4EEF53519D}" name="Column15623"/>
    <tableColumn id="15635" xr3:uid="{C93E0C3F-F5C4-4463-AD9D-79409A2A26F4}" name="Column15624"/>
    <tableColumn id="15636" xr3:uid="{3DF4A450-9F5A-4EE3-8C23-CE947DA9499E}" name="Column15625"/>
    <tableColumn id="15637" xr3:uid="{908A19A7-07D2-4216-9F25-600780814031}" name="Column15626"/>
    <tableColumn id="15638" xr3:uid="{7832D1CC-F82B-4470-B88F-9599BB9532A4}" name="Column15627"/>
    <tableColumn id="15639" xr3:uid="{7ACB8CBE-8EF9-4034-8041-731758C1B832}" name="Column15628"/>
    <tableColumn id="15640" xr3:uid="{102E92E9-3B76-4380-97F3-A11F6037D485}" name="Column15629"/>
    <tableColumn id="15641" xr3:uid="{55716952-F806-4F88-AEF7-11D8BE157250}" name="Column15630"/>
    <tableColumn id="15642" xr3:uid="{A096C1A1-936C-4F28-B398-17D1C30AA029}" name="Column15631"/>
    <tableColumn id="15643" xr3:uid="{9B858591-FDDB-4E42-A53E-FB93F3B375ED}" name="Column15632"/>
    <tableColumn id="15644" xr3:uid="{9BEB2CB5-1FB5-4FF1-A7AA-8295188D4980}" name="Column15633"/>
    <tableColumn id="15645" xr3:uid="{2B584F72-F44B-4EEA-8473-3EEC89C6A594}" name="Column15634"/>
    <tableColumn id="15646" xr3:uid="{28A9C520-3A8B-4C02-9BDD-A8FA91631629}" name="Column15635"/>
    <tableColumn id="15647" xr3:uid="{92362DEB-2DB6-470A-82DF-E7E96AFC1851}" name="Column15636"/>
    <tableColumn id="15648" xr3:uid="{65D0BB32-4671-41E8-88F9-AE2667F3A469}" name="Column15637"/>
    <tableColumn id="15649" xr3:uid="{A5FE555C-B04D-459B-BF8E-7C9616EEA2F8}" name="Column15638"/>
    <tableColumn id="15650" xr3:uid="{DB239223-B770-4284-9E1B-088C95F9E0CA}" name="Column15639"/>
    <tableColumn id="15651" xr3:uid="{81B1FE21-44B1-447E-B1C9-4D1C47A1EB25}" name="Column15640"/>
    <tableColumn id="15652" xr3:uid="{5BA1FAFC-1F6A-4A19-985F-9718AF14F3EB}" name="Column15641"/>
    <tableColumn id="15653" xr3:uid="{3032B66C-6647-4EBF-8FDC-FB926B1988B3}" name="Column15642"/>
    <tableColumn id="15654" xr3:uid="{27DFC0A8-F24E-447A-8105-144563E2DFAF}" name="Column15643"/>
    <tableColumn id="15655" xr3:uid="{F919B16D-244E-424F-9849-920A3D744454}" name="Column15644"/>
    <tableColumn id="15656" xr3:uid="{627C5F93-9EA3-4DFC-A141-68B3AB05214F}" name="Column15645"/>
    <tableColumn id="15657" xr3:uid="{BC6C53BC-ACE1-4487-BB6C-7DA02371A03B}" name="Column15646"/>
    <tableColumn id="15658" xr3:uid="{98097768-1268-4301-844E-537D2A096266}" name="Column15647"/>
    <tableColumn id="15659" xr3:uid="{E3EA3FBF-63AB-4075-A0FC-DA8E9C7822AD}" name="Column15648"/>
    <tableColumn id="15660" xr3:uid="{8BFD2141-1979-41A7-A41F-35AF1A1493B2}" name="Column15649"/>
    <tableColumn id="15661" xr3:uid="{8C045D05-AF35-4D04-9E26-05E3E19FC3B2}" name="Column15650"/>
    <tableColumn id="15662" xr3:uid="{0F5794EA-8C27-413C-A613-4CFDB2C422F9}" name="Column15651"/>
    <tableColumn id="15663" xr3:uid="{DE7A69DF-7F3D-4E80-8B26-A9F6A7FC7BBC}" name="Column15652"/>
    <tableColumn id="15664" xr3:uid="{CD39E9D4-89D7-413D-A99D-4B3AFC1A2E61}" name="Column15653"/>
    <tableColumn id="15665" xr3:uid="{B4B272EC-0F61-4DA8-A017-08501E5DEF93}" name="Column15654"/>
    <tableColumn id="15666" xr3:uid="{3E1F8976-AA93-489F-9677-C86B4602845C}" name="Column15655"/>
    <tableColumn id="15667" xr3:uid="{A9901693-BB3E-4BB1-A8CA-26C7DF798AF8}" name="Column15656"/>
    <tableColumn id="15668" xr3:uid="{29B25285-6230-4CA0-99BE-42F0D405D3F4}" name="Column15657"/>
    <tableColumn id="15669" xr3:uid="{E267B51F-1094-49EE-9E56-C8ADE177C2CA}" name="Column15658"/>
    <tableColumn id="15670" xr3:uid="{D657E702-A173-44F4-A877-CAE950317F23}" name="Column15659"/>
    <tableColumn id="15671" xr3:uid="{2B8C4EB2-8DC3-4EFC-BC04-FA7FB5AD1BC8}" name="Column15660"/>
    <tableColumn id="15672" xr3:uid="{E546B023-4766-4575-A8A6-9159C6B594E2}" name="Column15661"/>
    <tableColumn id="15673" xr3:uid="{5B8A5F57-609A-4164-9B85-79D9FB324FBA}" name="Column15662"/>
    <tableColumn id="15674" xr3:uid="{BDC24827-1AE3-40DD-BE0B-9FF537D0A960}" name="Column15663"/>
    <tableColumn id="15675" xr3:uid="{20B5AEF0-F5C7-4B46-8D33-D12AB9ED53DA}" name="Column15664"/>
    <tableColumn id="15676" xr3:uid="{2A0B3DF8-6BF6-4274-92DB-0AFE103AF0AA}" name="Column15665"/>
    <tableColumn id="15677" xr3:uid="{B925CB85-2704-400C-B605-48FDD1E118CB}" name="Column15666"/>
    <tableColumn id="15678" xr3:uid="{6A9EDE07-878D-433D-ABE0-ECF6634B5A51}" name="Column15667"/>
    <tableColumn id="15679" xr3:uid="{B1B9D3F2-FC85-42B2-9FEB-11DC86B0AC89}" name="Column15668"/>
    <tableColumn id="15680" xr3:uid="{C9C66AB9-B023-4ECE-8611-67CB833BA7DE}" name="Column15669"/>
    <tableColumn id="15681" xr3:uid="{1F9B9D15-161E-4737-AF98-205293D0CA2B}" name="Column15670"/>
    <tableColumn id="15682" xr3:uid="{C2B6CE75-ED91-4BAC-9F74-0D8AA1BDFF1D}" name="Column15671"/>
    <tableColumn id="15683" xr3:uid="{23F1E4A8-E897-4D8B-B657-702ABB5C93F6}" name="Column15672"/>
    <tableColumn id="15684" xr3:uid="{035AEF3E-5167-4860-97BA-24B27F8CD50C}" name="Column15673"/>
    <tableColumn id="15685" xr3:uid="{41CF58BE-EE89-4D62-AC4A-DC8193C8A739}" name="Column15674"/>
    <tableColumn id="15686" xr3:uid="{2C38C7E2-0756-4DBE-8566-4360EB75AA16}" name="Column15675"/>
    <tableColumn id="15687" xr3:uid="{D3B45BFB-DF75-4E60-BE5A-ABAFBE05C50F}" name="Column15676"/>
    <tableColumn id="15688" xr3:uid="{624B4960-7DF4-415C-8CFE-839B88D61C47}" name="Column15677"/>
    <tableColumn id="15689" xr3:uid="{86EEF864-174E-4ECB-9263-D521669CF3E5}" name="Column15678"/>
    <tableColumn id="15690" xr3:uid="{5380500C-B659-4B76-80CB-C8C431B2E497}" name="Column15679"/>
    <tableColumn id="15691" xr3:uid="{54234D2E-4A24-44A3-B8C5-B5E6CA06313E}" name="Column15680"/>
    <tableColumn id="15692" xr3:uid="{C8A82C5E-475D-4C0C-AF79-B35EE5CFC6EA}" name="Column15681"/>
    <tableColumn id="15693" xr3:uid="{27EE465D-E22C-4536-9821-94C87318994C}" name="Column15682"/>
    <tableColumn id="15694" xr3:uid="{05D5EBA5-B8F8-463B-88C7-DCD593139203}" name="Column15683"/>
    <tableColumn id="15695" xr3:uid="{A5063751-F918-40EE-894F-26933B9CA2C7}" name="Column15684"/>
    <tableColumn id="15696" xr3:uid="{A4DB4F9F-FAF8-4FEB-89E9-D76F35122E42}" name="Column15685"/>
    <tableColumn id="15697" xr3:uid="{3F222B3D-9F74-40F3-BCF2-39C278301EF7}" name="Column15686"/>
    <tableColumn id="15698" xr3:uid="{2A2D218E-7898-4E14-83BB-F84F2EE062E2}" name="Column15687"/>
    <tableColumn id="15699" xr3:uid="{21BD3551-A34B-454D-8A67-83925A888B3E}" name="Column15688"/>
    <tableColumn id="15700" xr3:uid="{6E0CDEF3-66A6-4006-A852-9C8BB52103E1}" name="Column15689"/>
    <tableColumn id="15701" xr3:uid="{BCDB5630-7BDE-41B0-B405-93732B236B96}" name="Column15690"/>
    <tableColumn id="15702" xr3:uid="{9F6DB8D6-105A-4681-A24F-48611F888B19}" name="Column15691"/>
    <tableColumn id="15703" xr3:uid="{D6D16174-B8C0-42F5-8E02-8327094473BC}" name="Column15692"/>
    <tableColumn id="15704" xr3:uid="{2C0F819B-D7BF-4483-891C-2107F18D93EF}" name="Column15693"/>
    <tableColumn id="15705" xr3:uid="{12027423-4772-4944-85F7-801A76CCBC41}" name="Column15694"/>
    <tableColumn id="15706" xr3:uid="{C8579B4A-594D-471C-A263-A878C3F247CD}" name="Column15695"/>
    <tableColumn id="15707" xr3:uid="{B9215613-B274-4C12-8CE3-B21CD1587914}" name="Column15696"/>
    <tableColumn id="15708" xr3:uid="{6CE7BCE4-C147-4672-8450-68DDE5E3C287}" name="Column15697"/>
    <tableColumn id="15709" xr3:uid="{8438A399-FDB3-423F-A2A0-EBE6729E8AC1}" name="Column15698"/>
    <tableColumn id="15710" xr3:uid="{3BB9D7F4-2A8B-401E-AEB0-25EC580052F5}" name="Column15699"/>
    <tableColumn id="15711" xr3:uid="{5630F0BE-5F54-4E0E-A917-04D82D7B8D55}" name="Column15700"/>
    <tableColumn id="15712" xr3:uid="{4F9B9E5F-C8F9-4F3A-A842-4B4B5AD522A3}" name="Column15701"/>
    <tableColumn id="15713" xr3:uid="{0E92EEB0-2985-4DB4-8E0D-697E6629FCF3}" name="Column15702"/>
    <tableColumn id="15714" xr3:uid="{54223311-5A00-4811-9770-00B667299518}" name="Column15703"/>
    <tableColumn id="15715" xr3:uid="{B049EFE5-57C6-4B0B-8595-A3AA405D2978}" name="Column15704"/>
    <tableColumn id="15716" xr3:uid="{8E1F170C-0A25-479C-AE4F-16FB5294AE75}" name="Column15705"/>
    <tableColumn id="15717" xr3:uid="{8D739DD0-AD09-475B-8D38-8B9BF07651BF}" name="Column15706"/>
    <tableColumn id="15718" xr3:uid="{155597CF-5992-4FB0-9D94-413A3BA26BAC}" name="Column15707"/>
    <tableColumn id="15719" xr3:uid="{A2F4EA2D-DE03-4A2F-AAEB-7CA443B981FF}" name="Column15708"/>
    <tableColumn id="15720" xr3:uid="{03A9FEA6-0135-4C2B-963C-EF9B2441DE1F}" name="Column15709"/>
    <tableColumn id="15721" xr3:uid="{96D7FA8C-B1DD-423B-8949-E7429C670BB1}" name="Column15710"/>
    <tableColumn id="15722" xr3:uid="{0EDBAB85-6034-43EE-8F5F-91B076B6EE69}" name="Column15711"/>
    <tableColumn id="15723" xr3:uid="{CFF4E37B-0A46-4A37-A399-8F40F0B88403}" name="Column15712"/>
    <tableColumn id="15724" xr3:uid="{46F86084-E8E1-4F96-AA32-E5C6F25BD5E3}" name="Column15713"/>
    <tableColumn id="15725" xr3:uid="{D55550FF-DEBB-48EC-B27C-72D57F251C77}" name="Column15714"/>
    <tableColumn id="15726" xr3:uid="{231DCAF1-CB30-4151-A6DC-6851BCF1C774}" name="Column15715"/>
    <tableColumn id="15727" xr3:uid="{4A723865-3EB6-4DBD-B144-C55A0891523E}" name="Column15716"/>
    <tableColumn id="15728" xr3:uid="{4C7EA56C-955C-4F94-954D-472AEB17ED06}" name="Column15717"/>
    <tableColumn id="15729" xr3:uid="{2ADD8762-7AFB-44B8-B345-8D7E4D955D9E}" name="Column15718"/>
    <tableColumn id="15730" xr3:uid="{4F7CCF49-9592-4E31-AED3-81F0E747A734}" name="Column15719"/>
    <tableColumn id="15731" xr3:uid="{876B74ED-2646-4E04-9F6C-9F5529CB5997}" name="Column15720"/>
    <tableColumn id="15732" xr3:uid="{7EC54681-6D2B-4309-89C1-8A485B3E3C9A}" name="Column15721"/>
    <tableColumn id="15733" xr3:uid="{F4DB9FFB-A99D-40ED-9495-2FE8901A761C}" name="Column15722"/>
    <tableColumn id="15734" xr3:uid="{4FFF0FDC-177A-4B29-854D-8F24AAF2C632}" name="Column15723"/>
    <tableColumn id="15735" xr3:uid="{8531F233-D8C0-4F0C-BA60-EE57C87CC7FB}" name="Column15724"/>
    <tableColumn id="15736" xr3:uid="{1452FF1B-376B-449E-B2BD-F23C6CB6714D}" name="Column15725"/>
    <tableColumn id="15737" xr3:uid="{23B03C70-4DBA-4FD1-9695-69BAF511A6F3}" name="Column15726"/>
    <tableColumn id="15738" xr3:uid="{498C7F6D-6E29-474F-96BF-A5F11195B415}" name="Column15727"/>
    <tableColumn id="15739" xr3:uid="{90F6CD4A-9CA4-4BD2-AC68-1987ABFC07D7}" name="Column15728"/>
    <tableColumn id="15740" xr3:uid="{D7F41839-36A3-4644-8776-593A9461EACF}" name="Column15729"/>
    <tableColumn id="15741" xr3:uid="{68ABBB02-5645-4D09-B129-53472F8AA743}" name="Column15730"/>
    <tableColumn id="15742" xr3:uid="{18411B68-4E19-40BA-94FE-72C06DA10CE9}" name="Column15731"/>
    <tableColumn id="15743" xr3:uid="{63BB19A3-2F8A-45F2-BED7-B96F3F01F451}" name="Column15732"/>
    <tableColumn id="15744" xr3:uid="{40B3BB20-4691-43D8-A019-3E4E9484A514}" name="Column15733"/>
    <tableColumn id="15745" xr3:uid="{C55CC38F-5086-4876-BFE5-3CE2C800CD87}" name="Column15734"/>
    <tableColumn id="15746" xr3:uid="{019D8936-1F02-49DC-BB6F-E359BBF1DF67}" name="Column15735"/>
    <tableColumn id="15747" xr3:uid="{6D0983B3-B565-4173-956D-F9CB112B9A37}" name="Column15736"/>
    <tableColumn id="15748" xr3:uid="{03FAFB5B-03BC-4D1C-920F-91C2A1825F18}" name="Column15737"/>
    <tableColumn id="15749" xr3:uid="{34A62CC3-4F6F-4BDC-9F42-0301518D38F5}" name="Column15738"/>
    <tableColumn id="15750" xr3:uid="{EB8D478F-3605-43CF-B4F1-22596F8F0E56}" name="Column15739"/>
    <tableColumn id="15751" xr3:uid="{E0D1939C-448F-4C21-A1C9-A6FD1DE2BAE6}" name="Column15740"/>
    <tableColumn id="15752" xr3:uid="{B2FB099D-087A-493A-83E5-DF970F9E53E4}" name="Column15741"/>
    <tableColumn id="15753" xr3:uid="{A3EBEEFD-6D94-4D44-8ADB-9E3C85E477AF}" name="Column15742"/>
    <tableColumn id="15754" xr3:uid="{B0BB1EA8-92E2-4144-AE8F-86AB3630BF0C}" name="Column15743"/>
    <tableColumn id="15755" xr3:uid="{5BAE55BC-18A4-4E33-8727-0EB4AEAF980D}" name="Column15744"/>
    <tableColumn id="15756" xr3:uid="{11415C50-053F-4317-A833-7FF753ECD54D}" name="Column15745"/>
    <tableColumn id="15757" xr3:uid="{9622014B-1470-4B2C-BFA8-76A7083F5728}" name="Column15746"/>
    <tableColumn id="15758" xr3:uid="{8EBA1F82-3668-444C-8593-85A00D1A6164}" name="Column15747"/>
    <tableColumn id="15759" xr3:uid="{F9AD7BE2-594B-4A1D-9770-670B5BBF695D}" name="Column15748"/>
    <tableColumn id="15760" xr3:uid="{D88CFF73-9621-462C-A268-D2D0B094E09D}" name="Column15749"/>
    <tableColumn id="15761" xr3:uid="{8BB3DF5F-1625-4077-997F-B73EBA80CDA8}" name="Column15750"/>
    <tableColumn id="15762" xr3:uid="{7AFCBC44-BB02-42FA-8249-3E8BC7101EA2}" name="Column15751"/>
    <tableColumn id="15763" xr3:uid="{C1A5A2A9-E898-45E6-AEAF-76BE8CEE1F6C}" name="Column15752"/>
    <tableColumn id="15764" xr3:uid="{17CE1CF5-158B-4174-AFBE-C023A53410CB}" name="Column15753"/>
    <tableColumn id="15765" xr3:uid="{DE895B82-E1B9-46C3-B504-7E12C5D45ED9}" name="Column15754"/>
    <tableColumn id="15766" xr3:uid="{7604DC88-F674-4B46-84D2-74E4DD1D679F}" name="Column15755"/>
    <tableColumn id="15767" xr3:uid="{C21C11BD-123A-460A-ADBE-A6F4977A5A8A}" name="Column15756"/>
    <tableColumn id="15768" xr3:uid="{CE0FE680-F9D2-43B6-97C7-90FEA1B39625}" name="Column15757"/>
    <tableColumn id="15769" xr3:uid="{E607DEE2-5D83-4678-82D6-B747CB0D7C98}" name="Column15758"/>
    <tableColumn id="15770" xr3:uid="{A3DA4304-F88D-4551-899C-113226BFE919}" name="Column15759"/>
    <tableColumn id="15771" xr3:uid="{CEC8A53F-F9B5-4F53-A56B-41BD10E34F94}" name="Column15760"/>
    <tableColumn id="15772" xr3:uid="{8DE3B3C7-06DD-46A6-B4C5-8ABE8CE38AA2}" name="Column15761"/>
    <tableColumn id="15773" xr3:uid="{42ED6BFA-4A75-44A4-BDF3-1D1F55B8567F}" name="Column15762"/>
    <tableColumn id="15774" xr3:uid="{7E368878-CE06-4542-BB41-B7D40F924522}" name="Column15763"/>
    <tableColumn id="15775" xr3:uid="{63A54700-89E8-4DDE-9A7C-4963C2388153}" name="Column15764"/>
    <tableColumn id="15776" xr3:uid="{73CDE911-5565-4D78-9E39-7167CDCA0A83}" name="Column15765"/>
    <tableColumn id="15777" xr3:uid="{5B28D3F9-A934-4940-AE1F-2155EA7440C7}" name="Column15766"/>
    <tableColumn id="15778" xr3:uid="{F844AE90-50C4-4337-971D-3CE5EEB0D525}" name="Column15767"/>
    <tableColumn id="15779" xr3:uid="{B3CBDCDE-0B25-452D-AEF2-B61ACD309BBA}" name="Column15768"/>
    <tableColumn id="15780" xr3:uid="{AF7B784A-C245-48E6-A820-32D96CF1820A}" name="Column15769"/>
    <tableColumn id="15781" xr3:uid="{4C18D540-F7C1-4DBC-A644-BCB43DAF45C6}" name="Column15770"/>
    <tableColumn id="15782" xr3:uid="{9C311B84-20B6-4382-8B27-A20023B16903}" name="Column15771"/>
    <tableColumn id="15783" xr3:uid="{146EC79D-DD0D-4776-905E-11B5540BFF81}" name="Column15772"/>
    <tableColumn id="15784" xr3:uid="{C4C41C00-18F0-453D-819B-E9F0B027BF92}" name="Column15773"/>
    <tableColumn id="15785" xr3:uid="{8AB096DD-7438-416C-B949-8C1B94E967E6}" name="Column15774"/>
    <tableColumn id="15786" xr3:uid="{3BF473DA-0623-462B-ADE9-4B9AFF0F90C0}" name="Column15775"/>
    <tableColumn id="15787" xr3:uid="{B92D76D7-D003-4F55-ADAE-F610AB473FD8}" name="Column15776"/>
    <tableColumn id="15788" xr3:uid="{F2304CD7-5517-4A97-98FA-9DCB4FF89DF3}" name="Column15777"/>
    <tableColumn id="15789" xr3:uid="{E24145E0-2C95-4A21-813A-FCC281ACB9FC}" name="Column15778"/>
    <tableColumn id="15790" xr3:uid="{7D74BE16-E305-47A8-BB63-CD9775034CDB}" name="Column15779"/>
    <tableColumn id="15791" xr3:uid="{64287FAA-FE68-4567-BA4B-05CB676EEB06}" name="Column15780"/>
    <tableColumn id="15792" xr3:uid="{CBB911C8-6B98-4093-A9B3-16BEB1A6DD11}" name="Column15781"/>
    <tableColumn id="15793" xr3:uid="{94F63311-D5BE-4039-A44C-7F90F9408FE7}" name="Column15782"/>
    <tableColumn id="15794" xr3:uid="{60E302C2-60BA-44E7-98C6-EDD9D84710C2}" name="Column15783"/>
    <tableColumn id="15795" xr3:uid="{F4CDEF6E-F4C8-4470-BBF7-4552555397A8}" name="Column15784"/>
    <tableColumn id="15796" xr3:uid="{9D28ABA5-E0CB-4C3C-AF83-711DADA39A0F}" name="Column15785"/>
    <tableColumn id="15797" xr3:uid="{4CAF79DE-31A5-446B-8DDE-449BFF7DCFA3}" name="Column15786"/>
    <tableColumn id="15798" xr3:uid="{14DB1AE7-A837-49A6-94E1-BCCEBD5978E3}" name="Column15787"/>
    <tableColumn id="15799" xr3:uid="{AFEB3392-40E5-49AE-8191-766BE03EC1B4}" name="Column15788"/>
    <tableColumn id="15800" xr3:uid="{206F69E1-4085-4191-B776-E3689F2F7862}" name="Column15789"/>
    <tableColumn id="15801" xr3:uid="{C60F57E4-9D25-4A01-A296-EE4EFE6DE4A5}" name="Column15790"/>
    <tableColumn id="15802" xr3:uid="{910A315D-7304-46A3-A33C-E31065EBA1B4}" name="Column15791"/>
    <tableColumn id="15803" xr3:uid="{C301DDFD-5CFC-4841-B732-F32A27D3831D}" name="Column15792"/>
    <tableColumn id="15804" xr3:uid="{2148A2C0-839E-431C-B1E5-8DBA0AC181A9}" name="Column15793"/>
    <tableColumn id="15805" xr3:uid="{1EF85E8C-B571-4AC9-BDD1-98A96296942E}" name="Column15794"/>
    <tableColumn id="15806" xr3:uid="{8BA42B39-0411-47C3-8E8E-AC256C5A35BE}" name="Column15795"/>
    <tableColumn id="15807" xr3:uid="{9A062E54-F41A-4AC3-AD01-51FB3F1A7F4B}" name="Column15796"/>
    <tableColumn id="15808" xr3:uid="{E44CA65D-49E7-44D2-B06E-7D629600E221}" name="Column15797"/>
    <tableColumn id="15809" xr3:uid="{7908AF9D-0F65-4824-BCE9-53CD51344D6F}" name="Column15798"/>
    <tableColumn id="15810" xr3:uid="{7CBA21F1-D5D0-424D-BCA5-2B518B44C5CF}" name="Column15799"/>
    <tableColumn id="15811" xr3:uid="{B108AE2E-4EDD-4F73-BEA7-776111BB5111}" name="Column15800"/>
    <tableColumn id="15812" xr3:uid="{26D1B763-0255-4BB0-B8CD-833EDB80F3FD}" name="Column15801"/>
    <tableColumn id="15813" xr3:uid="{D732016B-9B3D-4771-9C67-09E479BA8701}" name="Column15802"/>
    <tableColumn id="15814" xr3:uid="{102D833F-1D76-4091-AB6F-38BBA9C7CC46}" name="Column15803"/>
    <tableColumn id="15815" xr3:uid="{6D0B686B-55E5-440F-925A-F8B85124B395}" name="Column15804"/>
    <tableColumn id="15816" xr3:uid="{003E26E1-0BFF-402C-A919-C16D2F612D10}" name="Column15805"/>
    <tableColumn id="15817" xr3:uid="{1D1E7F89-9804-4FA8-9C7C-A4E9FA25AA4A}" name="Column15806"/>
    <tableColumn id="15818" xr3:uid="{18660762-AEB5-4B3D-9BEE-234629C07539}" name="Column15807"/>
    <tableColumn id="15819" xr3:uid="{85643092-473A-4366-B651-6CE559038E5B}" name="Column15808"/>
    <tableColumn id="15820" xr3:uid="{A629DB7E-2137-4AC5-B7C4-7303D01CA7AD}" name="Column15809"/>
    <tableColumn id="15821" xr3:uid="{EB360927-156A-49E1-801F-21CE0CB06519}" name="Column15810"/>
    <tableColumn id="15822" xr3:uid="{9D279100-762E-4285-B8A8-9296801D42B3}" name="Column15811"/>
    <tableColumn id="15823" xr3:uid="{3590E93E-EADD-4240-81FA-1141172F6440}" name="Column15812"/>
    <tableColumn id="15824" xr3:uid="{B7A1A758-22EE-4B42-BAC5-704E5A6A0254}" name="Column15813"/>
    <tableColumn id="15825" xr3:uid="{927DA62E-F51E-499F-86A0-3DC09EB3A8E8}" name="Column15814"/>
    <tableColumn id="15826" xr3:uid="{156E2299-056C-4C04-BA11-6C98FBDA1E60}" name="Column15815"/>
    <tableColumn id="15827" xr3:uid="{FB2D5735-2BF6-4891-967A-1004E3B7C8E2}" name="Column15816"/>
    <tableColumn id="15828" xr3:uid="{52AB9E5A-F88F-4718-B8F7-0F6B57CD872F}" name="Column15817"/>
    <tableColumn id="15829" xr3:uid="{A132941A-50AD-420B-B86C-61711E454319}" name="Column15818"/>
    <tableColumn id="15830" xr3:uid="{DC55D4BD-1567-442C-8AF9-616FC7883330}" name="Column15819"/>
    <tableColumn id="15831" xr3:uid="{51FA6CE0-9073-42E8-BC76-30216D0AEDB8}" name="Column15820"/>
    <tableColumn id="15832" xr3:uid="{77D411ED-4DAC-4FBB-8B0B-0F0125D66D01}" name="Column15821"/>
    <tableColumn id="15833" xr3:uid="{4D7F88E7-E275-4505-8714-EE6AE1F34B16}" name="Column15822"/>
    <tableColumn id="15834" xr3:uid="{86C95C51-6C4B-48F0-810F-E7DF7FEC7497}" name="Column15823"/>
    <tableColumn id="15835" xr3:uid="{B15BF853-3731-4A85-BBD6-7F263AD0A98C}" name="Column15824"/>
    <tableColumn id="15836" xr3:uid="{FEF02AA3-2870-46C3-B8F3-4F099EAF2E69}" name="Column15825"/>
    <tableColumn id="15837" xr3:uid="{548A31E3-3A34-4FEA-A523-9C8AA20F6760}" name="Column15826"/>
    <tableColumn id="15838" xr3:uid="{9D7B54BB-F487-4B71-9C0C-68E520DBFEFF}" name="Column15827"/>
    <tableColumn id="15839" xr3:uid="{E8283390-2436-4995-8BC0-D0A52B915BB1}" name="Column15828"/>
    <tableColumn id="15840" xr3:uid="{E3634127-0B1A-41BD-B7D6-D1AE5989CFE2}" name="Column15829"/>
    <tableColumn id="15841" xr3:uid="{2B0BA987-3A8C-4C36-8215-5312AFF10177}" name="Column15830"/>
    <tableColumn id="15842" xr3:uid="{777AEC68-3506-4DFC-BA7B-5D5D09D12D28}" name="Column15831"/>
    <tableColumn id="15843" xr3:uid="{8B0A2410-4699-4867-8526-B5727CD18408}" name="Column15832"/>
    <tableColumn id="15844" xr3:uid="{DD0523C6-4885-457D-966D-6A09792E479A}" name="Column15833"/>
    <tableColumn id="15845" xr3:uid="{2834DC13-46E2-44F1-AC97-E5715DF56972}" name="Column15834"/>
    <tableColumn id="15846" xr3:uid="{057807C4-539B-4C6B-A01A-F6B420367F94}" name="Column15835"/>
    <tableColumn id="15847" xr3:uid="{664F3B41-A0D4-4BD9-ABFC-9CA6D1D2C8B9}" name="Column15836"/>
    <tableColumn id="15848" xr3:uid="{550555AB-3466-43A7-840F-183A1AE10488}" name="Column15837"/>
    <tableColumn id="15849" xr3:uid="{F84ED5C3-0862-479F-8FA4-B945B374FF72}" name="Column15838"/>
    <tableColumn id="15850" xr3:uid="{A5CEE939-AD0B-44AF-9410-9AF58172E249}" name="Column15839"/>
    <tableColumn id="15851" xr3:uid="{84466554-6EF3-4DFE-96DE-435DA20BD9BE}" name="Column15840"/>
    <tableColumn id="15852" xr3:uid="{27EAD68F-F5EA-4BCD-934C-64B886D7B185}" name="Column15841"/>
    <tableColumn id="15853" xr3:uid="{DDDB7295-8EFC-4A75-9A59-40557163609E}" name="Column15842"/>
    <tableColumn id="15854" xr3:uid="{F91EA744-FB2D-4274-8F2D-EF39BC7ACF24}" name="Column15843"/>
    <tableColumn id="15855" xr3:uid="{D0D20C4F-802C-42E0-8277-097F0304787A}" name="Column15844"/>
    <tableColumn id="15856" xr3:uid="{ECC87C47-41DF-473B-8780-2972CD92811D}" name="Column15845"/>
    <tableColumn id="15857" xr3:uid="{F7A55790-5E3D-44C3-9000-ED877DAB5E49}" name="Column15846"/>
    <tableColumn id="15858" xr3:uid="{640BB105-3E6B-43EE-9631-A75BB3953767}" name="Column15847"/>
    <tableColumn id="15859" xr3:uid="{11044C06-C775-4C68-B269-C0A6B17D53F2}" name="Column15848"/>
    <tableColumn id="15860" xr3:uid="{75172B13-C216-4CFB-B883-528C79F51050}" name="Column15849"/>
    <tableColumn id="15861" xr3:uid="{340AA88E-7C48-4ED0-BDB6-6358A371F077}" name="Column15850"/>
    <tableColumn id="15862" xr3:uid="{0E1D07BE-16BA-47E8-9394-1473FCF6D933}" name="Column15851"/>
    <tableColumn id="15863" xr3:uid="{2A8BE902-46F6-4955-B7B3-5A4E8798C498}" name="Column15852"/>
    <tableColumn id="15864" xr3:uid="{4AFF3308-9A92-4819-947D-02696B9FC31A}" name="Column15853"/>
    <tableColumn id="15865" xr3:uid="{C65A8CBC-B3BB-4555-B64C-73B4BB7E47B6}" name="Column15854"/>
    <tableColumn id="15866" xr3:uid="{1614B79E-1F52-40C7-B3A3-8FD2F342E66C}" name="Column15855"/>
    <tableColumn id="15867" xr3:uid="{17F0D15B-9E98-4754-93F6-DD6F4DDAABDD}" name="Column15856"/>
    <tableColumn id="15868" xr3:uid="{E7E2F5E4-4286-40EB-B371-08FE26DBB02C}" name="Column15857"/>
    <tableColumn id="15869" xr3:uid="{B1E852B6-51F1-4E2E-B776-03E3079819A6}" name="Column15858"/>
    <tableColumn id="15870" xr3:uid="{F0FE044F-AD09-4593-99D6-EE4750132CAF}" name="Column15859"/>
    <tableColumn id="15871" xr3:uid="{FA1F62D2-2DD0-454A-AB5E-C54A2A443BE0}" name="Column15860"/>
    <tableColumn id="15872" xr3:uid="{53F9E653-9F96-4C77-A5B0-388965774B5E}" name="Column15861"/>
    <tableColumn id="15873" xr3:uid="{3C1852BF-F2DE-409C-8377-F244E660618A}" name="Column15862"/>
    <tableColumn id="15874" xr3:uid="{AE269E8C-E874-4689-A490-DBB07F952101}" name="Column15863"/>
    <tableColumn id="15875" xr3:uid="{7DDD7ACA-CACC-4DA1-B9A7-CCEFDDAF83FE}" name="Column15864"/>
    <tableColumn id="15876" xr3:uid="{BE2621D4-A06F-404A-BAE3-21904D1C2E89}" name="Column15865"/>
    <tableColumn id="15877" xr3:uid="{2DA866FD-21AA-4449-8EDA-A490B90E5394}" name="Column15866"/>
    <tableColumn id="15878" xr3:uid="{5CBE62E4-CB97-4124-BFA2-87EAADE816CE}" name="Column15867"/>
    <tableColumn id="15879" xr3:uid="{48ABAABF-74B0-489D-A6C8-60FAEB97693C}" name="Column15868"/>
    <tableColumn id="15880" xr3:uid="{BC116745-2C4F-4E0F-8EC8-96EB7FC79338}" name="Column15869"/>
    <tableColumn id="15881" xr3:uid="{833A8287-7E13-437E-8111-89A7C19790BC}" name="Column15870"/>
    <tableColumn id="15882" xr3:uid="{89AF8DCD-416F-4898-AF37-77AC195A81F1}" name="Column15871"/>
    <tableColumn id="15883" xr3:uid="{6D7E3409-76D0-45EE-A432-D689AEF4BD0D}" name="Column15872"/>
    <tableColumn id="15884" xr3:uid="{17F0D4F7-96D4-449A-BE32-CF2F08EA8069}" name="Column15873"/>
    <tableColumn id="15885" xr3:uid="{33AF2DB0-23D7-4477-B084-9C36B4E34195}" name="Column15874"/>
    <tableColumn id="15886" xr3:uid="{6EA26CA4-C6F0-4B99-8B47-D8161D7A30A1}" name="Column15875"/>
    <tableColumn id="15887" xr3:uid="{04A965EA-1D20-49BF-A262-6D0BFB771C20}" name="Column15876"/>
    <tableColumn id="15888" xr3:uid="{E0084D92-A4FE-45C0-B2F6-ACC71975019D}" name="Column15877"/>
    <tableColumn id="15889" xr3:uid="{0959B095-BD4E-4CC3-A137-12F13A83F7B6}" name="Column15878"/>
    <tableColumn id="15890" xr3:uid="{176C8720-C3A0-4DC0-B8C1-02A294C9C63E}" name="Column15879"/>
    <tableColumn id="15891" xr3:uid="{844EBE4A-FB75-4CE1-9CB2-086A7394EAFB}" name="Column15880"/>
    <tableColumn id="15892" xr3:uid="{48D234A5-DFC0-4B71-BBEC-2299157BBEE3}" name="Column15881"/>
    <tableColumn id="15893" xr3:uid="{B3F71CE8-D11F-4367-91F7-8AD6BCBB2BD2}" name="Column15882"/>
    <tableColumn id="15894" xr3:uid="{224A6FB6-8264-4647-B72A-4CFED3F67255}" name="Column15883"/>
    <tableColumn id="15895" xr3:uid="{D71B6945-A995-48EC-884C-1798BCD2C738}" name="Column15884"/>
    <tableColumn id="15896" xr3:uid="{CE4A822A-4A63-4161-BE75-DB18E75F52D2}" name="Column15885"/>
    <tableColumn id="15897" xr3:uid="{4A169A25-0952-4F36-8299-0C97D962D23B}" name="Column15886"/>
    <tableColumn id="15898" xr3:uid="{9286B7DF-6257-4410-B9E0-2D60A1DF7DE5}" name="Column15887"/>
    <tableColumn id="15899" xr3:uid="{EC9010A7-A6C3-440B-AC81-171BF68260C3}" name="Column15888"/>
    <tableColumn id="15900" xr3:uid="{03EB9FF7-1409-4011-9036-CADF7ED23042}" name="Column15889"/>
    <tableColumn id="15901" xr3:uid="{E1B4CB53-2D29-4C05-B954-475B26607F6E}" name="Column15890"/>
    <tableColumn id="15902" xr3:uid="{7D229C64-7747-4ACF-95B6-4027B723EE51}" name="Column15891"/>
    <tableColumn id="15903" xr3:uid="{EE8198AA-7F05-4D02-8527-0694BCED72FD}" name="Column15892"/>
    <tableColumn id="15904" xr3:uid="{4D78DE84-623B-4F06-AF78-B45D49542072}" name="Column15893"/>
    <tableColumn id="15905" xr3:uid="{1D1DC065-8611-4055-AE10-E3A3E5C12F17}" name="Column15894"/>
    <tableColumn id="15906" xr3:uid="{8B954F0A-05E0-44FA-BECC-FF5C4DCA720D}" name="Column15895"/>
    <tableColumn id="15907" xr3:uid="{B73D8C75-7DC2-4363-9981-84F9B5E24F3E}" name="Column15896"/>
    <tableColumn id="15908" xr3:uid="{D63A184F-2E36-4DD5-B2D5-A46DB876D50E}" name="Column15897"/>
    <tableColumn id="15909" xr3:uid="{B899BC8F-D743-4C50-9F55-345AA28E36B5}" name="Column15898"/>
    <tableColumn id="15910" xr3:uid="{140D11FD-0964-4A42-B321-6F9349812AA1}" name="Column15899"/>
    <tableColumn id="15911" xr3:uid="{65DFD141-1545-4DE0-8255-9F36677E406E}" name="Column15900"/>
    <tableColumn id="15912" xr3:uid="{CC96767F-59FC-4986-8838-FD1A4796B8C6}" name="Column15901"/>
    <tableColumn id="15913" xr3:uid="{E95AA458-AC99-4607-94DE-20AB43B00035}" name="Column15902"/>
    <tableColumn id="15914" xr3:uid="{EB78E6EE-9956-4D7F-9378-7B7D587C095D}" name="Column15903"/>
    <tableColumn id="15915" xr3:uid="{C27B3194-AFCA-4600-AB9E-C66E9C6E76DD}" name="Column15904"/>
    <tableColumn id="15916" xr3:uid="{27893BE1-D026-45BB-A6D9-852FED31A427}" name="Column15905"/>
    <tableColumn id="15917" xr3:uid="{119C4E18-6340-4DB3-AA41-8058FAA4B7AC}" name="Column15906"/>
    <tableColumn id="15918" xr3:uid="{368F96FD-94C4-49B8-8994-2BB312E4C16D}" name="Column15907"/>
    <tableColumn id="15919" xr3:uid="{2A4CC649-F528-4CD2-9471-CABDE1EF2166}" name="Column15908"/>
    <tableColumn id="15920" xr3:uid="{7985476B-6131-4578-9BA3-DB2FAA016E2E}" name="Column15909"/>
    <tableColumn id="15921" xr3:uid="{26BF36EF-C8C5-47C7-9D54-6EEEE5E8DD6D}" name="Column15910"/>
    <tableColumn id="15922" xr3:uid="{1C08FA2F-64BA-49F4-AACF-7207B12B5BB6}" name="Column15911"/>
    <tableColumn id="15923" xr3:uid="{42A3E446-284D-4B9F-A2E1-FC8A10B1BBCD}" name="Column15912"/>
    <tableColumn id="15924" xr3:uid="{CC593A00-BF9A-4367-AF57-3DC774C6AC50}" name="Column15913"/>
    <tableColumn id="15925" xr3:uid="{FBE9C104-5E07-41A7-BA1C-999CBF20B9DB}" name="Column15914"/>
    <tableColumn id="15926" xr3:uid="{006C2DB7-213D-4D56-8955-0648E85E3133}" name="Column15915"/>
    <tableColumn id="15927" xr3:uid="{6BC1E3E6-DE19-403B-84D7-5E0B4564C04B}" name="Column15916"/>
    <tableColumn id="15928" xr3:uid="{A6F356B5-8696-4D20-B832-DB42C391C587}" name="Column15917"/>
    <tableColumn id="15929" xr3:uid="{98F5DD17-7BE9-4B72-8EBC-9E8DE462C9A4}" name="Column15918"/>
    <tableColumn id="15930" xr3:uid="{025F570C-1BAA-4709-8888-E458E263846D}" name="Column15919"/>
    <tableColumn id="15931" xr3:uid="{166EC4F4-54FB-4679-84ED-A542B4D6646A}" name="Column15920"/>
    <tableColumn id="15932" xr3:uid="{D2F90C74-2A2B-41EF-8405-8D6B95395ED9}" name="Column15921"/>
    <tableColumn id="15933" xr3:uid="{1A36BB07-1981-4367-803E-067DA16ECDCA}" name="Column15922"/>
    <tableColumn id="15934" xr3:uid="{200E6A1D-6468-42D2-9368-0B8FA432E578}" name="Column15923"/>
    <tableColumn id="15935" xr3:uid="{9C51E6F0-CD82-4494-B445-09001CB3235F}" name="Column15924"/>
    <tableColumn id="15936" xr3:uid="{4205BDAF-8F41-4DED-ACBF-6787BDB9BEE9}" name="Column15925"/>
    <tableColumn id="15937" xr3:uid="{DE676E31-15D6-45CB-BA84-6D4829CC5799}" name="Column15926"/>
    <tableColumn id="15938" xr3:uid="{23FD7AD0-9168-4C0C-9417-61157BA9678D}" name="Column15927"/>
    <tableColumn id="15939" xr3:uid="{85C391EC-8B8A-4602-9EDA-D344155F3FC2}" name="Column15928"/>
    <tableColumn id="15940" xr3:uid="{006A8874-BBF3-431F-A4D4-179EF78F3A54}" name="Column15929"/>
    <tableColumn id="15941" xr3:uid="{4B91AC3F-A894-4D80-AE1E-4EC8C33F4D2B}" name="Column15930"/>
    <tableColumn id="15942" xr3:uid="{1B9E6F00-1997-4C7A-A531-E24F01B70D9B}" name="Column15931"/>
    <tableColumn id="15943" xr3:uid="{A32BC9F1-F3DE-409E-9C84-BD538411F722}" name="Column15932"/>
    <tableColumn id="15944" xr3:uid="{50313B96-DE12-4261-8340-FAF7E6E7DC61}" name="Column15933"/>
    <tableColumn id="15945" xr3:uid="{D69FA67A-A00C-445D-A713-EE478637E446}" name="Column15934"/>
    <tableColumn id="15946" xr3:uid="{47FF6373-BEF5-4E76-88C6-FB4BE1A2B948}" name="Column15935"/>
    <tableColumn id="15947" xr3:uid="{BC8CD8A3-E83A-4DC9-93F3-FCB03F5F2C49}" name="Column15936"/>
    <tableColumn id="15948" xr3:uid="{103F0089-44E0-4DFA-926C-09C6FD5FC6C8}" name="Column15937"/>
    <tableColumn id="15949" xr3:uid="{28033C5A-0A73-43A5-A78A-CCBD9B3359EC}" name="Column15938"/>
    <tableColumn id="15950" xr3:uid="{40E087CD-E404-4345-AA01-C3B5BCB9C82A}" name="Column15939"/>
    <tableColumn id="15951" xr3:uid="{1C5582E6-FB65-49AB-8CB1-6AB8C472B98D}" name="Column15940"/>
    <tableColumn id="15952" xr3:uid="{B2605373-EB34-4C36-A5BF-10B928D25E63}" name="Column15941"/>
    <tableColumn id="15953" xr3:uid="{F2375BF4-1FC5-46E8-88C8-82BDB5F0A231}" name="Column15942"/>
    <tableColumn id="15954" xr3:uid="{8B0AF937-CA05-44B9-BE13-D7C4530F76CF}" name="Column15943"/>
    <tableColumn id="15955" xr3:uid="{7E664466-EBCC-42DC-8F45-973E14A2787F}" name="Column15944"/>
    <tableColumn id="15956" xr3:uid="{EED6890A-D095-4884-8481-1E13481E4D32}" name="Column15945"/>
    <tableColumn id="15957" xr3:uid="{DE906AF3-B0DC-4FB7-8FFE-01ABAB56C94C}" name="Column15946"/>
    <tableColumn id="15958" xr3:uid="{847C78DC-9A41-4F2E-ABBE-C0F4865A9B02}" name="Column15947"/>
    <tableColumn id="15959" xr3:uid="{74A97465-2265-42EE-80DE-9A0666CB24D9}" name="Column15948"/>
    <tableColumn id="15960" xr3:uid="{D40586E9-2491-4D29-B067-07D027751A7D}" name="Column15949"/>
    <tableColumn id="15961" xr3:uid="{3BFF91B2-C486-4360-98D8-3FA77EB3DE7B}" name="Column15950"/>
    <tableColumn id="15962" xr3:uid="{7A574AED-9C51-4F3D-8237-9E3C18A17444}" name="Column15951"/>
    <tableColumn id="15963" xr3:uid="{8B18033D-272F-475F-85AE-8D8D228C115E}" name="Column15952"/>
    <tableColumn id="15964" xr3:uid="{1887A683-6812-43B7-8CE8-06A4B6DCBEDC}" name="Column15953"/>
    <tableColumn id="15965" xr3:uid="{9372B265-F148-4F69-9349-0367F5BF687E}" name="Column15954"/>
    <tableColumn id="15966" xr3:uid="{8589CD71-F1A8-43FE-8046-F1E074EB2899}" name="Column15955"/>
    <tableColumn id="15967" xr3:uid="{79494B1F-8A54-4EB4-82B3-6D4CD98743E1}" name="Column15956"/>
    <tableColumn id="15968" xr3:uid="{9E8A2F11-B479-46BB-86DC-9BDF293A8B89}" name="Column15957"/>
    <tableColumn id="15969" xr3:uid="{ED5A4E9B-D8CA-4BC1-AE6F-6C64CC048D77}" name="Column15958"/>
    <tableColumn id="15970" xr3:uid="{5A219EF0-C716-4B73-B9A3-B100AFF296F2}" name="Column15959"/>
    <tableColumn id="15971" xr3:uid="{4E9539BE-9BEB-4BCF-9BD0-47A2A78E61AF}" name="Column15960"/>
    <tableColumn id="15972" xr3:uid="{7FEFAC4C-DB56-42D4-97D6-A8A09117D5A2}" name="Column15961"/>
    <tableColumn id="15973" xr3:uid="{D5987E29-7256-4C4D-B95B-9C9EBF05EF79}" name="Column15962"/>
    <tableColumn id="15974" xr3:uid="{BBDB14D2-D333-453E-A28A-68531BB7C739}" name="Column15963"/>
    <tableColumn id="15975" xr3:uid="{4E8783C3-245D-4D86-867D-AD8A6B34AB17}" name="Column15964"/>
    <tableColumn id="15976" xr3:uid="{FE6BE914-E31C-4FC6-8C83-0B49BD15BFF2}" name="Column15965"/>
    <tableColumn id="15977" xr3:uid="{ABA558D4-3DEB-442A-9F2C-246D0C20E32F}" name="Column15966"/>
    <tableColumn id="15978" xr3:uid="{49402252-E623-4FF1-A996-5F0F3713E831}" name="Column15967"/>
    <tableColumn id="15979" xr3:uid="{28D7CE50-A141-4248-B29B-67F642F4B1FE}" name="Column15968"/>
    <tableColumn id="15980" xr3:uid="{3A02C799-F82A-4387-BC7C-FA2A6DBEDC83}" name="Column15969"/>
    <tableColumn id="15981" xr3:uid="{4EC96A9A-A2B1-452C-A90C-04A53C2565B7}" name="Column15970"/>
    <tableColumn id="15982" xr3:uid="{AF233791-6C62-437C-B6C3-49B1EEEC506D}" name="Column15971"/>
    <tableColumn id="15983" xr3:uid="{1FBFBEDF-74D9-44CE-9742-54EFB04F3BAC}" name="Column15972"/>
    <tableColumn id="15984" xr3:uid="{04C45060-28C6-4746-B61F-BEA8EE779F67}" name="Column15973"/>
    <tableColumn id="15985" xr3:uid="{70323FE1-BEF5-4595-B6E1-6B5AB0B08C7D}" name="Column15974"/>
    <tableColumn id="15986" xr3:uid="{6A1A8BAA-3641-4126-8C02-D82D8F2C7A3E}" name="Column15975"/>
    <tableColumn id="15987" xr3:uid="{012FBD35-649C-47B0-9D35-A6D01E021429}" name="Column15976"/>
    <tableColumn id="15988" xr3:uid="{F26C84B5-8A6F-4E5F-AD78-AC0FBF206BAD}" name="Column15977"/>
    <tableColumn id="15989" xr3:uid="{4D3ACC51-6BD5-43E2-9065-547B63E5E8A8}" name="Column15978"/>
    <tableColumn id="15990" xr3:uid="{B9BDFC26-03E7-4642-9120-2648A3A3CD24}" name="Column15979"/>
    <tableColumn id="15991" xr3:uid="{2D6BAA1E-2A36-49E8-8540-07D2AE8ED970}" name="Column15980"/>
    <tableColumn id="15992" xr3:uid="{16E547E7-6A06-4588-BBBD-10107AFA5159}" name="Column15981"/>
    <tableColumn id="15993" xr3:uid="{86603F49-A733-422A-B041-AD32C8694651}" name="Column15982"/>
    <tableColumn id="15994" xr3:uid="{045F775B-720F-4D1D-8317-116FC8171474}" name="Column15983"/>
    <tableColumn id="15995" xr3:uid="{61F25E09-641C-4997-877E-F0DCC441E28E}" name="Column15984"/>
    <tableColumn id="15996" xr3:uid="{895F8674-8C88-410D-AC87-BC9529135D90}" name="Column15985"/>
    <tableColumn id="15997" xr3:uid="{2D5B3D51-5221-40DD-9E1D-182374DA0AF9}" name="Column15986"/>
    <tableColumn id="15998" xr3:uid="{BC09AB6D-FAB3-43A5-AF0E-6859E91DB7FB}" name="Column15987"/>
    <tableColumn id="15999" xr3:uid="{50FF7297-D83C-4C3F-A30B-4753107ADCD1}" name="Column15988"/>
    <tableColumn id="16000" xr3:uid="{6F3A1785-2120-43A2-8154-F7E19AA2ED7A}" name="Column15989"/>
    <tableColumn id="16001" xr3:uid="{E8E0D8EA-981B-43B8-9559-36FC5C6B9BAE}" name="Column15990"/>
    <tableColumn id="16002" xr3:uid="{4B5E471A-5C6C-4653-B63C-397D27D1BE04}" name="Column15991"/>
    <tableColumn id="16003" xr3:uid="{74C8FF82-14A7-43AD-8C88-C6FA583A12B4}" name="Column15992"/>
    <tableColumn id="16004" xr3:uid="{E6DFF991-1433-45E5-9C86-FB6A6A178EAC}" name="Column15993"/>
    <tableColumn id="16005" xr3:uid="{23C8440C-4C9F-47CD-B0AC-057836B31163}" name="Column15994"/>
    <tableColumn id="16006" xr3:uid="{B711A4A8-1058-4A35-96F2-12CA5BC3A947}" name="Column15995"/>
    <tableColumn id="16007" xr3:uid="{155C3220-0CE1-4404-B4B4-5ED363374F5C}" name="Column15996"/>
    <tableColumn id="16008" xr3:uid="{BA8C8B94-8033-4F9D-8CDF-CC3B8F00FF74}" name="Column15997"/>
    <tableColumn id="16009" xr3:uid="{672E1F3A-0BB1-4AB5-ABEA-7398D74D987D}" name="Column15998"/>
    <tableColumn id="16010" xr3:uid="{EA8C48D1-4B07-4C12-94E6-55D9ABA3A551}" name="Column15999"/>
    <tableColumn id="16011" xr3:uid="{57109321-B6AF-4609-96A7-BF7045A63202}" name="Column16000"/>
    <tableColumn id="16012" xr3:uid="{D240D6EE-7437-47DC-9FCC-B65800942A0F}" name="Column16001"/>
    <tableColumn id="16013" xr3:uid="{EA4D1D3B-F9D5-471C-B2D0-7E69B4D096B1}" name="Column16002"/>
    <tableColumn id="16014" xr3:uid="{449C5700-4217-4431-A52C-F45347A42878}" name="Column16003"/>
    <tableColumn id="16015" xr3:uid="{31C5903E-F55A-41C2-A537-19D7EB1AB599}" name="Column16004"/>
    <tableColumn id="16016" xr3:uid="{06CBFA2B-45C0-4032-BC19-9950DF8FE80F}" name="Column16005"/>
    <tableColumn id="16017" xr3:uid="{BC097B23-17F5-4F91-8110-D29FA3754248}" name="Column16006"/>
    <tableColumn id="16018" xr3:uid="{3B324592-C82D-4FC7-86A5-8258685CA4DA}" name="Column16007"/>
    <tableColumn id="16019" xr3:uid="{B6A07ED3-49BC-4AA8-9562-EF1033FA1C42}" name="Column16008"/>
    <tableColumn id="16020" xr3:uid="{ADED45FD-3396-4B83-BBB7-D14C0C906FE2}" name="Column16009"/>
    <tableColumn id="16021" xr3:uid="{0111A38A-65FA-42D3-B94B-F84A068D32DD}" name="Column16010"/>
    <tableColumn id="16022" xr3:uid="{C4DE1B6E-2179-446C-A440-E35044B22789}" name="Column16011"/>
    <tableColumn id="16023" xr3:uid="{EF2FA46D-9F8E-4150-B496-E373B2854340}" name="Column16012"/>
    <tableColumn id="16024" xr3:uid="{0F1B5844-706F-4636-B92A-FFE702F01146}" name="Column16013"/>
    <tableColumn id="16025" xr3:uid="{E115377F-C9A3-4190-9786-34EEC8191ED9}" name="Column16014"/>
    <tableColumn id="16026" xr3:uid="{91761D31-EA92-4FE0-85CB-3EC0EA6C89CE}" name="Column16015"/>
    <tableColumn id="16027" xr3:uid="{187D1730-BAE1-4C07-838F-860CB0B5F4FF}" name="Column16016"/>
    <tableColumn id="16028" xr3:uid="{7E4BF95A-BBB4-4FEE-B2F0-CD1A471E02C3}" name="Column16017"/>
    <tableColumn id="16029" xr3:uid="{781861E9-3472-4BCC-9332-24A98DB5B476}" name="Column16018"/>
    <tableColumn id="16030" xr3:uid="{D25B90DD-DE30-48B2-A4AB-0BC3CA833586}" name="Column16019"/>
    <tableColumn id="16031" xr3:uid="{E7D80A74-8181-4B52-8C86-C6B0E10EC3BD}" name="Column16020"/>
    <tableColumn id="16032" xr3:uid="{E87D5428-CCBA-4649-A317-9318179CC3A4}" name="Column16021"/>
    <tableColumn id="16033" xr3:uid="{5C3A89D8-352E-4652-9ABB-57FFA7B1FF7D}" name="Column16022"/>
    <tableColumn id="16034" xr3:uid="{20D5BBF0-1831-43C0-8FDA-2954EC59300D}" name="Column16023"/>
    <tableColumn id="16035" xr3:uid="{CC8FC2D3-D4AE-4BD7-9269-CAEFB4D0DDF6}" name="Column16024"/>
    <tableColumn id="16036" xr3:uid="{C95B10C4-4CF8-4A41-B97F-0E3E75641B48}" name="Column16025"/>
    <tableColumn id="16037" xr3:uid="{C933AC66-71A5-4546-8D0E-C06BB8EBF51F}" name="Column16026"/>
    <tableColumn id="16038" xr3:uid="{CA5B2774-0C6D-4FB7-9005-15224A9DF27C}" name="Column16027"/>
    <tableColumn id="16039" xr3:uid="{89D56BCC-B050-4ADE-9944-E397602A614A}" name="Column16028"/>
    <tableColumn id="16040" xr3:uid="{E6B892E0-C1E6-4AD5-8F19-EA0D0FB4B181}" name="Column16029"/>
    <tableColumn id="16041" xr3:uid="{7847048E-E58A-417A-969A-AF78C18A5815}" name="Column16030"/>
    <tableColumn id="16042" xr3:uid="{61CE094D-D360-4E6E-910A-12D12A7BFDEA}" name="Column16031"/>
    <tableColumn id="16043" xr3:uid="{255C7545-B6D4-4B2A-91B7-A08E9C53A547}" name="Column16032"/>
    <tableColumn id="16044" xr3:uid="{F4D7A114-D07E-42E3-9879-88A582DD5A6F}" name="Column16033"/>
    <tableColumn id="16045" xr3:uid="{1EE5CEC2-D4DB-4BA1-8503-6964C77E3442}" name="Column16034"/>
    <tableColumn id="16046" xr3:uid="{AA0A0587-E33A-4B55-8D1D-3F2D7D15C69D}" name="Column16035"/>
    <tableColumn id="16047" xr3:uid="{27ADB83B-5707-4FD5-BF68-83074A457554}" name="Column16036"/>
    <tableColumn id="16048" xr3:uid="{0591397D-085D-4214-9C2E-618787E7B1EF}" name="Column16037"/>
    <tableColumn id="16049" xr3:uid="{610A9108-E470-40B0-AE96-7449B3A23887}" name="Column16038"/>
    <tableColumn id="16050" xr3:uid="{D9ECC50B-D5FC-4C74-9C9A-E96935136284}" name="Column16039"/>
    <tableColumn id="16051" xr3:uid="{22F846B4-86A0-4ED0-86EE-ACDAD0485F1F}" name="Column16040"/>
    <tableColumn id="16052" xr3:uid="{BE315217-64D8-4CAC-92BC-90287C95461C}" name="Column16041"/>
    <tableColumn id="16053" xr3:uid="{DE180F03-C25E-41DA-A87C-C14F3E52AFDC}" name="Column16042"/>
    <tableColumn id="16054" xr3:uid="{F1E71185-85C8-4394-9372-5EDEF0DB7464}" name="Column16043"/>
    <tableColumn id="16055" xr3:uid="{04824A90-0346-464B-B891-3FDEA5D289D5}" name="Column16044"/>
    <tableColumn id="16056" xr3:uid="{29ADFBF5-3BF7-407D-8B51-E29BDE3B5100}" name="Column16045"/>
    <tableColumn id="16057" xr3:uid="{2244B707-809C-42EE-8E61-226E7611028D}" name="Column16046"/>
    <tableColumn id="16058" xr3:uid="{6F39A7C6-1876-421C-9283-9FD7235A1EDE}" name="Column16047"/>
    <tableColumn id="16059" xr3:uid="{40371436-AC99-4D6C-BEA5-15483D819D68}" name="Column16048"/>
    <tableColumn id="16060" xr3:uid="{EA450E7F-E4BB-4EA4-854C-8E0219B085D6}" name="Column16049"/>
    <tableColumn id="16061" xr3:uid="{B2A33487-6DB6-45A4-B21F-21140368E641}" name="Column16050"/>
    <tableColumn id="16062" xr3:uid="{C1819189-651B-4963-8AD9-4B22668D0CD7}" name="Column16051"/>
    <tableColumn id="16063" xr3:uid="{F031511E-1ACE-4FA8-9A93-3FB400990956}" name="Column16052"/>
    <tableColumn id="16064" xr3:uid="{AAE27B60-662D-46F1-B10E-AAE0873D44FE}" name="Column16053"/>
    <tableColumn id="16065" xr3:uid="{89FE2AE4-E334-42E1-BCD7-BCEECF0932A9}" name="Column16054"/>
    <tableColumn id="16066" xr3:uid="{1E5AA3A0-7B51-4D9D-882F-7B0E87685773}" name="Column16055"/>
    <tableColumn id="16067" xr3:uid="{81488DF4-58B5-40D7-8993-DEF665D5FC00}" name="Column16056"/>
    <tableColumn id="16068" xr3:uid="{7570CE31-4B7C-4E36-8E75-39F8EBAA70E4}" name="Column16057"/>
    <tableColumn id="16069" xr3:uid="{9A71CC6A-D787-40A5-A8F3-EF8BFAEA9019}" name="Column16058"/>
    <tableColumn id="16070" xr3:uid="{99571149-BBE8-4DDA-85CD-931C995E2BE9}" name="Column16059"/>
    <tableColumn id="16071" xr3:uid="{E77CA57C-7A98-4112-A058-4E8099BBE065}" name="Column16060"/>
    <tableColumn id="16072" xr3:uid="{1608F0FD-562A-41BC-8571-879020D642A1}" name="Column16061"/>
    <tableColumn id="16073" xr3:uid="{A0811975-2158-41A3-9588-B8D0B464D700}" name="Column16062"/>
    <tableColumn id="16074" xr3:uid="{130B2251-8738-4472-8A9F-13A2BD24C4FD}" name="Column16063"/>
    <tableColumn id="16075" xr3:uid="{580B9B07-59A1-48BD-92C2-2ED3D165291E}" name="Column16064"/>
    <tableColumn id="16076" xr3:uid="{D62C3358-41C7-4ABA-AAE1-9142503A811D}" name="Column16065"/>
    <tableColumn id="16077" xr3:uid="{EDEB61A8-E27A-4B36-BBF7-A6841588E3E7}" name="Column16066"/>
    <tableColumn id="16078" xr3:uid="{61141A40-6785-4FC2-AA96-268A65748A41}" name="Column16067"/>
    <tableColumn id="16079" xr3:uid="{DA28E5F8-8E61-4FA9-83A6-2F7E0356DBBD}" name="Column16068"/>
    <tableColumn id="16080" xr3:uid="{57F8DF58-C2C0-4FDB-A980-DF9AE648C72A}" name="Column16069"/>
    <tableColumn id="16081" xr3:uid="{B9865423-B185-4CEE-A7D0-32904BC78000}" name="Column16070"/>
    <tableColumn id="16082" xr3:uid="{06693071-4E02-4B9E-848C-C93C77A09AB9}" name="Column16071"/>
    <tableColumn id="16083" xr3:uid="{FFA18727-93D8-4152-ABB5-70C01095F71A}" name="Column16072"/>
    <tableColumn id="16084" xr3:uid="{0568ABF3-8309-44D5-9442-885C8E49C674}" name="Column16073"/>
    <tableColumn id="16085" xr3:uid="{FA6C85FE-FD3D-4205-9B24-C03789879F2E}" name="Column16074"/>
    <tableColumn id="16086" xr3:uid="{6D460C20-2C19-4DAA-8D84-2A5309104417}" name="Column16075"/>
    <tableColumn id="16087" xr3:uid="{19131BF9-A288-42B1-83C9-421A3DEAD715}" name="Column16076"/>
    <tableColumn id="16088" xr3:uid="{24B248E7-1ED4-4DB2-85E2-BA3F905ADCD5}" name="Column16077"/>
    <tableColumn id="16089" xr3:uid="{B4EAC9DB-9085-4C77-80DC-ED6FF1CF7FC4}" name="Column16078"/>
    <tableColumn id="16090" xr3:uid="{2E99705B-6C8E-467B-9863-757CB4720461}" name="Column16079"/>
    <tableColumn id="16091" xr3:uid="{E05A7EC6-EACF-4225-8B39-A154F141B062}" name="Column16080"/>
    <tableColumn id="16092" xr3:uid="{AB381903-52F4-4992-AD78-B5626C969149}" name="Column16081"/>
    <tableColumn id="16093" xr3:uid="{511901D7-07FE-4284-B19D-DEF2E9B67B89}" name="Column16082"/>
    <tableColumn id="16094" xr3:uid="{A84BAC5B-EAA1-48A6-A3B4-14C4B2A6CC2B}" name="Column16083"/>
    <tableColumn id="16095" xr3:uid="{99BD1ABD-D2A6-4DF3-8521-96A60333CA2F}" name="Column16084"/>
    <tableColumn id="16096" xr3:uid="{280933AD-F92E-4DB7-AB4D-295542D44205}" name="Column16085"/>
    <tableColumn id="16097" xr3:uid="{2F12535C-3DE4-4C9A-85A1-B62157081880}" name="Column16086"/>
    <tableColumn id="16098" xr3:uid="{1F418A17-A7CD-4031-99F8-C3B42ECE19E5}" name="Column16087"/>
    <tableColumn id="16099" xr3:uid="{FE57E67E-6391-4BE9-B958-525A3835F79C}" name="Column16088"/>
    <tableColumn id="16100" xr3:uid="{61EC38F2-2FCE-46A9-973E-1E876E0384FA}" name="Column16089"/>
    <tableColumn id="16101" xr3:uid="{24C3B63E-D7DD-4E1A-B7FE-2DEE6A40E0C0}" name="Column16090"/>
    <tableColumn id="16102" xr3:uid="{0A8B1E9D-5012-4EBE-948B-9E665FE30E31}" name="Column16091"/>
    <tableColumn id="16103" xr3:uid="{B330EFD4-8FDA-4BA3-8606-23C041A6B8A3}" name="Column16092"/>
    <tableColumn id="16104" xr3:uid="{4BEEFC3E-ABAD-4857-B184-79DD7FA56B40}" name="Column16093"/>
    <tableColumn id="16105" xr3:uid="{2A7AEFEF-0665-4672-ADA1-FFF7ED61C7A7}" name="Column16094"/>
    <tableColumn id="16106" xr3:uid="{74B97FEA-4C42-4450-823A-DACD17F92745}" name="Column16095"/>
    <tableColumn id="16107" xr3:uid="{D8ABFE3D-4471-45D6-A81C-FFCC862EB64C}" name="Column16096"/>
    <tableColumn id="16108" xr3:uid="{1E9708E8-5446-44F6-BBD7-1F67C0FF8F7A}" name="Column16097"/>
    <tableColumn id="16109" xr3:uid="{EF1A7DAC-1DAA-416A-A651-39EAEB18B830}" name="Column16098"/>
    <tableColumn id="16110" xr3:uid="{1654FE9D-2D73-4212-8176-450FA5936FA4}" name="Column16099"/>
    <tableColumn id="16111" xr3:uid="{A767EB48-D88E-4E5F-A760-A28CAA8F72F1}" name="Column16100"/>
    <tableColumn id="16112" xr3:uid="{00B45C1B-174C-4DA4-B605-892B0762FCB0}" name="Column16101"/>
    <tableColumn id="16113" xr3:uid="{F3BE9612-E8E1-42FB-B62B-B51E73F7DD4E}" name="Column16102"/>
    <tableColumn id="16114" xr3:uid="{943CA098-3EA5-4D14-B748-5D54DC8DCDB6}" name="Column16103"/>
    <tableColumn id="16115" xr3:uid="{F5AF3996-79E9-4700-99AE-4E1EA12D0A6B}" name="Column16104"/>
    <tableColumn id="16116" xr3:uid="{19C1635B-D440-4DAA-81EE-121D7B5716DB}" name="Column16105"/>
    <tableColumn id="16117" xr3:uid="{D567D3B5-7370-41A7-82A5-B945E630DE1E}" name="Column16106"/>
    <tableColumn id="16118" xr3:uid="{21ED008E-F6CB-4F40-8023-262F206B6CF8}" name="Column16107"/>
    <tableColumn id="16119" xr3:uid="{54617F8A-4F43-492D-A45E-50E2838E83F5}" name="Column16108"/>
    <tableColumn id="16120" xr3:uid="{5B144C76-6F17-4B07-B005-6639C65E356A}" name="Column16109"/>
    <tableColumn id="16121" xr3:uid="{E4826069-B503-4199-BCEC-FE5C641E8E35}" name="Column16110"/>
    <tableColumn id="16122" xr3:uid="{872AD4DE-A12F-4E33-862E-AB08F64C2F3D}" name="Column16111"/>
    <tableColumn id="16123" xr3:uid="{4F952F3D-8FDC-453A-8CB2-D66D502CD4DA}" name="Column16112"/>
    <tableColumn id="16124" xr3:uid="{3BE1B8E6-DA01-472A-93DD-4EF8470C4982}" name="Column16113"/>
    <tableColumn id="16125" xr3:uid="{F2AFD0E1-6FA0-46D4-8CBC-A649589EBDF4}" name="Column16114"/>
    <tableColumn id="16126" xr3:uid="{2C6EAC7B-AF5B-43C2-95E4-FB242B17927F}" name="Column16115"/>
    <tableColumn id="16127" xr3:uid="{6DE44C07-1EA4-430D-A2D6-1BED0FB997EB}" name="Column16116"/>
    <tableColumn id="16128" xr3:uid="{78A43BD0-3073-44E9-ADB6-2796899A8BCE}" name="Column16117"/>
    <tableColumn id="16129" xr3:uid="{FFD635F6-FAAA-408C-B27E-4816CEBCED39}" name="Column16118"/>
    <tableColumn id="16130" xr3:uid="{D0F0A8A1-2CA7-428B-820F-8C0EE61A1413}" name="Column16119"/>
    <tableColumn id="16131" xr3:uid="{CB898F9E-BC10-4CF5-89E0-D1698197E789}" name="Column16120"/>
    <tableColumn id="16132" xr3:uid="{50854B25-09E5-45C4-AC21-0B038EC1026B}" name="Column16121"/>
    <tableColumn id="16133" xr3:uid="{353DB579-B368-4082-8982-28318B745FE1}" name="Column16122"/>
    <tableColumn id="16134" xr3:uid="{E8C3BAEE-1EF6-4186-A352-D22E7BB47165}" name="Column16123"/>
    <tableColumn id="16135" xr3:uid="{CA0E2412-D730-4718-BA42-15A385ADE4F7}" name="Column16124"/>
    <tableColumn id="16136" xr3:uid="{1B45B1D5-7863-4714-A6EC-777641ED58F8}" name="Column16125"/>
    <tableColumn id="16137" xr3:uid="{0EDB2FFF-188E-4B95-9C3A-EDBF478A7AA1}" name="Column16126"/>
    <tableColumn id="16138" xr3:uid="{54BEBAE5-3EC7-4BB6-9DA7-FF901FA7742D}" name="Column16127"/>
    <tableColumn id="16139" xr3:uid="{D7521C4F-28BC-4F35-95C4-5C5204E39DD9}" name="Column16128"/>
    <tableColumn id="16140" xr3:uid="{3B6385D5-667D-4E8D-B5AE-E17D9510AF93}" name="Column16129"/>
    <tableColumn id="16141" xr3:uid="{44C486CC-1A3F-4E6E-A064-A7001CC32E9B}" name="Column16130"/>
    <tableColumn id="16142" xr3:uid="{77A7500E-033E-4CA2-BFD4-27859CAADAF2}" name="Column16131"/>
    <tableColumn id="16143" xr3:uid="{5A8437DE-FC52-44BF-9570-64AB7A8C50CC}" name="Column16132"/>
    <tableColumn id="16144" xr3:uid="{4D4A6BB7-4846-499C-AC1B-DD845C252209}" name="Column16133"/>
    <tableColumn id="16145" xr3:uid="{989852CB-FE2A-4664-B7FF-D4D65C544BC5}" name="Column16134"/>
    <tableColumn id="16146" xr3:uid="{D18DDC3F-1FE5-443B-B8B3-49BA2B7BD347}" name="Column16135"/>
    <tableColumn id="16147" xr3:uid="{16CBE441-404A-4E6F-B33C-A5A32DEC6112}" name="Column16136"/>
    <tableColumn id="16148" xr3:uid="{79E84875-DEDA-4E24-BD63-CBAE7F4FD1ED}" name="Column16137"/>
    <tableColumn id="16149" xr3:uid="{8E3379D6-AE9E-4219-97AD-D5B4985E6975}" name="Column16138"/>
    <tableColumn id="16150" xr3:uid="{3E295894-6CF5-4A99-B7A1-6BEE367C148F}" name="Column16139"/>
    <tableColumn id="16151" xr3:uid="{160E2325-BE6F-4B0D-A7A8-C99DFD1CA8EE}" name="Column16140"/>
    <tableColumn id="16152" xr3:uid="{58913BAA-A46D-4F5F-9B3F-095BC8393F74}" name="Column16141"/>
    <tableColumn id="16153" xr3:uid="{2DED9398-5FEC-43C6-BB69-78B63AC12E91}" name="Column16142"/>
    <tableColumn id="16154" xr3:uid="{6DD185CC-5496-44E7-8883-B3060C1A0969}" name="Column16143"/>
    <tableColumn id="16155" xr3:uid="{C4C948E4-E721-4B5C-A36E-1C74BDDE095F}" name="Column16144"/>
    <tableColumn id="16156" xr3:uid="{F496ACC4-61AC-459E-859E-63B333BFC432}" name="Column16145"/>
    <tableColumn id="16157" xr3:uid="{BA68D6D0-D97E-4FE5-94A1-52402D3090FD}" name="Column16146"/>
    <tableColumn id="16158" xr3:uid="{C46C8C22-0470-4F4C-9F10-F79BB561EF7B}" name="Column16147"/>
    <tableColumn id="16159" xr3:uid="{FC67AA5B-6B4A-4871-B432-56D2B442597E}" name="Column16148"/>
    <tableColumn id="16160" xr3:uid="{9CA848E4-D9A4-40C0-BB56-0673CF304DCC}" name="Column16149"/>
    <tableColumn id="16161" xr3:uid="{81B78007-835A-4EFE-ADB4-AF14FE8CB96B}" name="Column16150"/>
    <tableColumn id="16162" xr3:uid="{2A250EC6-2EE7-4BC2-A394-AA1E21FDF5C2}" name="Column16151"/>
    <tableColumn id="16163" xr3:uid="{7F2C5E79-060B-41B3-B3B5-72407AD5E7CC}" name="Column16152"/>
    <tableColumn id="16164" xr3:uid="{DE482BE6-73F6-49D2-A512-7A66C6FD17A8}" name="Column16153"/>
    <tableColumn id="16165" xr3:uid="{57D844E9-B55F-4441-BE2A-B640F84191CB}" name="Column16154"/>
    <tableColumn id="16166" xr3:uid="{86FCBA7C-091D-4969-BA85-ABB7DC1EE11F}" name="Column16155"/>
    <tableColumn id="16167" xr3:uid="{0AE29E11-30D0-4663-9156-D0AE2FB37C8B}" name="Column16156"/>
    <tableColumn id="16168" xr3:uid="{932BE535-54FB-42BE-8936-0DF96C55C058}" name="Column16157"/>
    <tableColumn id="16169" xr3:uid="{C4DD4553-B91D-4B85-9412-68DE942D2F78}" name="Column16158"/>
    <tableColumn id="16170" xr3:uid="{EC0CDF09-B976-43EE-ADDD-84B7A713148B}" name="Column16159"/>
    <tableColumn id="16171" xr3:uid="{4EDE334F-8BFF-4CFB-A6F6-9A196199B60B}" name="Column16160"/>
    <tableColumn id="16172" xr3:uid="{03C9FE88-A115-4637-9652-C62BE0C690D1}" name="Column16161"/>
    <tableColumn id="16173" xr3:uid="{6D45F096-6E82-4CE4-832C-813D000A2ADB}" name="Column16162"/>
    <tableColumn id="16174" xr3:uid="{0DA44A83-0019-44E0-9841-F2CD77FFD0AB}" name="Column16163"/>
    <tableColumn id="16175" xr3:uid="{A56EB8F1-7618-4D26-B72C-3F128ED6B585}" name="Column16164"/>
    <tableColumn id="16176" xr3:uid="{D86894F5-BB83-4696-A8F9-8C91327DD933}" name="Column16165"/>
    <tableColumn id="16177" xr3:uid="{E17245E5-74D9-466E-BD19-3A5CF2FDF897}" name="Column16166"/>
    <tableColumn id="16178" xr3:uid="{19ABD88C-3396-4441-9C1A-77832740CCB3}" name="Column16167"/>
    <tableColumn id="16179" xr3:uid="{5E73D62E-C29D-43AA-9B33-BA27E28AAED0}" name="Column16168"/>
    <tableColumn id="16180" xr3:uid="{3BEC502A-2555-4B95-BD3C-6DB404D3A98F}" name="Column16169"/>
    <tableColumn id="16181" xr3:uid="{8C7B6023-25FB-418B-8B4F-486017C611A8}" name="Column16170"/>
    <tableColumn id="16182" xr3:uid="{B322DAA0-C1FB-453A-9E45-1A0080C0311D}" name="Column16171"/>
    <tableColumn id="16183" xr3:uid="{9FD1F137-D541-4419-B931-5F2EFC038F65}" name="Column16172"/>
    <tableColumn id="16184" xr3:uid="{44BE2410-CEBB-4701-8B97-7825019D0F5C}" name="Column16173"/>
    <tableColumn id="16185" xr3:uid="{380626C4-3BA9-4CEA-9343-9D169B0D470C}" name="Column16174"/>
    <tableColumn id="16186" xr3:uid="{1FC73F72-E64F-4322-B092-0BE84504004E}" name="Column16175"/>
    <tableColumn id="16187" xr3:uid="{8B508CFC-F39C-478A-97CF-077D76FF82D2}" name="Column16176"/>
    <tableColumn id="16188" xr3:uid="{5E19B915-0998-4614-AC70-20C41998FB60}" name="Column16177"/>
    <tableColumn id="16189" xr3:uid="{35634E78-52BC-4635-9427-ACA502D50B46}" name="Column16178"/>
    <tableColumn id="16190" xr3:uid="{3C4805EE-7D38-4287-B09B-DF7B161733BF}" name="Column16179"/>
    <tableColumn id="16191" xr3:uid="{B34C29BE-5D8E-44B6-8011-EBE7EB888F2D}" name="Column16180"/>
    <tableColumn id="16192" xr3:uid="{10430E7F-D355-4252-812B-01BA18E4A158}" name="Column16181"/>
    <tableColumn id="16193" xr3:uid="{22DE0D45-962C-4111-B249-75333E4AC9F8}" name="Column16182"/>
    <tableColumn id="16194" xr3:uid="{D40C2198-1CA1-420A-B60F-77ECC6A0A196}" name="Column16183"/>
    <tableColumn id="16195" xr3:uid="{E887B28F-D553-4612-9C49-700D60DCFE8C}" name="Column16184"/>
    <tableColumn id="16196" xr3:uid="{AF6B8B03-4868-4DBC-A44D-B42AAEB9BEF5}" name="Column16185"/>
    <tableColumn id="16197" xr3:uid="{BE14B5E2-642E-4790-A393-A388F0B18EB2}" name="Column16186"/>
    <tableColumn id="16198" xr3:uid="{1B40F194-8750-4E8F-B7E9-51A1896907AC}" name="Column16187"/>
    <tableColumn id="16199" xr3:uid="{95FE5E67-55A0-423F-8BB1-AC1DCFEA4278}" name="Column16188"/>
    <tableColumn id="16200" xr3:uid="{199D55F2-E85A-473C-A8E2-0EF61294E63A}" name="Column16189"/>
    <tableColumn id="16201" xr3:uid="{8E4462DB-1F04-46AC-BA93-7EFAEC9F01ED}" name="Column16190"/>
    <tableColumn id="16202" xr3:uid="{48D8C87D-517B-4D4F-9479-D3DB50028173}" name="Column16191"/>
    <tableColumn id="16203" xr3:uid="{00EF0DDB-3F4E-4D4D-9CCE-4623DE6806C6}" name="Column16192"/>
    <tableColumn id="16204" xr3:uid="{816BFF52-2FE7-4FE3-ADA3-4004428C623F}" name="Column16193"/>
    <tableColumn id="16205" xr3:uid="{FDE25067-4067-4BCE-9F60-030DBCB03F0F}" name="Column16194"/>
    <tableColumn id="16206" xr3:uid="{9B273299-F236-44C5-88E7-89ACA6ADBEF4}" name="Column16195"/>
    <tableColumn id="16207" xr3:uid="{A45896BD-2E23-4057-BF05-7776E054E356}" name="Column16196"/>
    <tableColumn id="16208" xr3:uid="{9EA66087-8D35-4693-8209-D48ADF0D23D0}" name="Column16197"/>
    <tableColumn id="16209" xr3:uid="{ABA225D3-C230-45D2-BB39-91EBCB0FA684}" name="Column16198"/>
    <tableColumn id="16210" xr3:uid="{AC57FEDB-AB46-45B2-AA7C-CD42E7A5D52C}" name="Column16199"/>
    <tableColumn id="16211" xr3:uid="{970BCDE4-CA99-48F9-A416-1A3435BBF93E}" name="Column16200"/>
    <tableColumn id="16212" xr3:uid="{EDE06462-0619-41EB-A540-6DEADE933488}" name="Column16201"/>
    <tableColumn id="16213" xr3:uid="{962EB87D-EF98-452D-AA41-198772BB74A3}" name="Column16202"/>
    <tableColumn id="16214" xr3:uid="{A7D4D6B8-B386-4A89-AB17-C6FF88910DDD}" name="Column16203"/>
    <tableColumn id="16215" xr3:uid="{563221A7-4541-46D4-AA99-DAB345DEDB91}" name="Column16204"/>
    <tableColumn id="16216" xr3:uid="{AC937D0D-77D2-4DEA-B52F-D429D8078375}" name="Column16205"/>
    <tableColumn id="16217" xr3:uid="{13FDD273-2CC3-43A3-B190-FFE5C8859DB0}" name="Column16206"/>
    <tableColumn id="16218" xr3:uid="{8790027A-2352-4F15-BF2B-4E7392D1BB68}" name="Column16207"/>
    <tableColumn id="16219" xr3:uid="{467F1275-DF91-4E44-83B3-4F79F01D704E}" name="Column16208"/>
    <tableColumn id="16220" xr3:uid="{F67E2C02-27D6-4A98-9A6B-89D3ACBF74DC}" name="Column16209"/>
    <tableColumn id="16221" xr3:uid="{77DFA294-1302-4D2F-8761-C4257F479E7F}" name="Column16210"/>
    <tableColumn id="16222" xr3:uid="{EE13793F-BF8E-458C-A994-CECEB7828E2A}" name="Column16211"/>
    <tableColumn id="16223" xr3:uid="{DB0FFA52-42E6-41AA-8B1C-F23D99D0E452}" name="Column16212"/>
    <tableColumn id="16224" xr3:uid="{3936A518-2E97-46EB-8BA7-E37643837031}" name="Column16213"/>
    <tableColumn id="16225" xr3:uid="{5978EC67-0506-4865-B0CF-86596F0EDB01}" name="Column16214"/>
    <tableColumn id="16226" xr3:uid="{1159EC6B-88BF-48E7-8133-2507D9C66851}" name="Column16215"/>
    <tableColumn id="16227" xr3:uid="{9B6961D0-F0C1-4ACC-8089-83EC2F70D3AA}" name="Column16216"/>
    <tableColumn id="16228" xr3:uid="{6585C6AE-D51C-4E61-A4E3-2ADD2D1083F1}" name="Column16217"/>
    <tableColumn id="16229" xr3:uid="{949C7A48-D2FC-4414-BAFE-94FC90808FE8}" name="Column16218"/>
    <tableColumn id="16230" xr3:uid="{F9682D5A-7E5E-4D65-AE23-E116282493FD}" name="Column16219"/>
    <tableColumn id="16231" xr3:uid="{64EDB12F-9C4B-4DB9-8110-20D3FFDDB4A1}" name="Column16220"/>
    <tableColumn id="16232" xr3:uid="{DE6C5ECF-64C0-4444-A0A0-DA5B04DF7E0D}" name="Column16221"/>
    <tableColumn id="16233" xr3:uid="{B9DCE17F-274A-41CA-9A9C-7E2E58C96B51}" name="Column16222"/>
    <tableColumn id="16234" xr3:uid="{3D96A119-1928-493D-A642-64081DD06F4B}" name="Column16223"/>
    <tableColumn id="16235" xr3:uid="{C2F13087-3FFB-4043-AA44-0A3443EA0FB6}" name="Column16224"/>
    <tableColumn id="16236" xr3:uid="{25A7E4D5-0052-4B0C-9531-879CC476179C}" name="Column16225"/>
    <tableColumn id="16237" xr3:uid="{DEE07688-17F7-4D20-918E-B6792E0F124E}" name="Column16226"/>
    <tableColumn id="16238" xr3:uid="{C2218DC2-099D-4A95-9081-7E74161EF076}" name="Column16227"/>
    <tableColumn id="16239" xr3:uid="{0C7920EC-9339-4CC5-9F8A-4E2DA508EED4}" name="Column16228"/>
    <tableColumn id="16240" xr3:uid="{C3FFA5A2-ADE7-4C1B-9238-49C3D2944A94}" name="Column16229"/>
    <tableColumn id="16241" xr3:uid="{F1E1C165-BD87-4593-879E-9D25EFACDEA4}" name="Column16230"/>
    <tableColumn id="16242" xr3:uid="{6D71F610-D6CB-4ACE-917A-741DD16C60C7}" name="Column16231"/>
    <tableColumn id="16243" xr3:uid="{64F2A3D0-0E96-403F-AE4C-FEDA69474B3E}" name="Column16232"/>
    <tableColumn id="16244" xr3:uid="{EB406630-BF67-4A96-8BD4-5D3B160CB4B6}" name="Column16233"/>
    <tableColumn id="16245" xr3:uid="{62EB98D0-7143-40F0-B72A-35142C3848E0}" name="Column16234"/>
    <tableColumn id="16246" xr3:uid="{8C2853A0-4413-4284-8A5A-2124085957C8}" name="Column16235"/>
    <tableColumn id="16247" xr3:uid="{E92103F6-28B2-4FAD-A55F-8AFC5B4D40B9}" name="Column16236"/>
    <tableColumn id="16248" xr3:uid="{0A15375E-EB8A-45F3-AB1C-5573FB3F30E1}" name="Column16237"/>
    <tableColumn id="16249" xr3:uid="{D0C15A33-7192-4664-A2AE-726A7C85DF77}" name="Column16238"/>
    <tableColumn id="16250" xr3:uid="{1162AC81-F745-459C-AF1F-F237D98EE76E}" name="Column16239"/>
    <tableColumn id="16251" xr3:uid="{D967AC2E-C4D6-4FCA-9152-EE06FB697DF0}" name="Column16240"/>
    <tableColumn id="16252" xr3:uid="{DB3770DA-018B-482F-931E-0BD712A1F8C1}" name="Column16241"/>
    <tableColumn id="16253" xr3:uid="{6136072C-A116-4F50-9D0B-3F6535A6F7C2}" name="Column16242"/>
    <tableColumn id="16254" xr3:uid="{348FBD95-2877-4131-B22F-A49E8009DBC1}" name="Column16243"/>
    <tableColumn id="16255" xr3:uid="{A8233E38-30E6-45E6-B472-F792B3029A03}" name="Column16244"/>
    <tableColumn id="16256" xr3:uid="{7EE44E1D-C0DD-41FD-8087-B20D76DB1925}" name="Column16245"/>
    <tableColumn id="16257" xr3:uid="{AE8D7D50-1DFF-4D2D-884A-7ADF1E35240E}" name="Column16246"/>
    <tableColumn id="16258" xr3:uid="{EBFA7411-A84D-4BDB-8708-72EFEFF35195}" name="Column16247"/>
    <tableColumn id="16259" xr3:uid="{75285AF1-571F-486D-99E2-B151D70AF5F8}" name="Column16248"/>
    <tableColumn id="16260" xr3:uid="{587A64E1-7439-49F5-AAC2-7DDB73F8E4ED}" name="Column16249"/>
    <tableColumn id="16261" xr3:uid="{F158C538-F68A-42F0-A6D2-B0634D99DFD2}" name="Column16250"/>
    <tableColumn id="16262" xr3:uid="{6EAFCDE0-CC0B-4A30-A174-DBB29490BB5A}" name="Column16251"/>
    <tableColumn id="16263" xr3:uid="{CE548D1D-769B-455F-B0A3-1343B3B37471}" name="Column16252"/>
    <tableColumn id="16264" xr3:uid="{D27772C6-1FB3-4E41-B248-E54799BB41C2}" name="Column16253"/>
    <tableColumn id="16265" xr3:uid="{8E3F0CF4-629E-47FA-A38E-B13A601A22C2}" name="Column16254"/>
    <tableColumn id="16266" xr3:uid="{952D70FF-A0A9-4A40-97AF-85ADE61449EF}" name="Column16255"/>
    <tableColumn id="16267" xr3:uid="{39274DCD-199D-4843-9B31-657AE6C08339}" name="Column16256"/>
    <tableColumn id="16268" xr3:uid="{4ED0A300-DA8E-4F51-8C2F-F383EA3141E9}" name="Column16257"/>
    <tableColumn id="16269" xr3:uid="{8E9EDC7C-1D49-4C5A-B2DB-4D57BE19BBC7}" name="Column16258"/>
    <tableColumn id="16270" xr3:uid="{AD39A09C-A973-4BFF-8CF0-D155D83DF008}" name="Column16259"/>
    <tableColumn id="16271" xr3:uid="{AEE2E780-111F-49C3-9DF1-306C398A9141}" name="Column16260"/>
    <tableColumn id="16272" xr3:uid="{B58A3205-CD34-4D3A-B354-32FBB0DF694D}" name="Column16261"/>
    <tableColumn id="16273" xr3:uid="{FDE3F24C-7715-47E2-A985-3DFE17FF6305}" name="Column16262"/>
    <tableColumn id="16274" xr3:uid="{91B2D6EF-5232-468D-B8B4-C3982ABD6C5F}" name="Column16263"/>
    <tableColumn id="16275" xr3:uid="{801D52FB-1027-4B6C-88F5-5715F1CB12C6}" name="Column16264"/>
    <tableColumn id="16276" xr3:uid="{64A556AF-48D6-476C-A548-B0E4C0280151}" name="Column16265"/>
    <tableColumn id="16277" xr3:uid="{D4C42AD7-FFDB-4E10-A802-E7DA3AE47969}" name="Column16266"/>
    <tableColumn id="16278" xr3:uid="{F59BF982-5CDA-44C1-93B4-077CC5730753}" name="Column16267"/>
    <tableColumn id="16279" xr3:uid="{3CE61997-C815-4910-B5D8-A5D0BDE0AE89}" name="Column16268"/>
    <tableColumn id="16280" xr3:uid="{CD4C2205-1E30-478B-9068-BA3D443C1686}" name="Column16269"/>
    <tableColumn id="16281" xr3:uid="{15550948-45AF-49AC-9741-790E17C79AB5}" name="Column16270"/>
    <tableColumn id="16282" xr3:uid="{C425AFE7-90F6-4B37-80AE-86C82AE835B5}" name="Column16271"/>
    <tableColumn id="16283" xr3:uid="{E2533FA0-9963-4C2B-A59D-AC62F60F014D}" name="Column16272"/>
    <tableColumn id="16284" xr3:uid="{021DA602-35AF-47FC-8131-D9726B3AAD12}" name="Column16273"/>
    <tableColumn id="16285" xr3:uid="{DDF5F163-DB45-4576-8F48-76708D3DC290}" name="Column16274"/>
    <tableColumn id="16286" xr3:uid="{E445E6BF-497F-4637-A637-9626546E53B5}" name="Column16275"/>
    <tableColumn id="16287" xr3:uid="{5793C234-9A2B-4E6D-AA5F-2A693F0B4EF3}" name="Column16276"/>
    <tableColumn id="16288" xr3:uid="{97F5B7B5-750B-4EEC-926C-1D96D934070F}" name="Column16277"/>
    <tableColumn id="16289" xr3:uid="{11FEF31A-1AEF-4400-B4D4-104C969BF4C2}" name="Column16278"/>
    <tableColumn id="16290" xr3:uid="{6E9F9072-9B47-4F4F-BACE-1629793EC95D}" name="Column16279"/>
    <tableColumn id="16291" xr3:uid="{F6DA7956-4EE3-4B3B-ABE1-5226BC1C3828}" name="Column16280"/>
    <tableColumn id="16292" xr3:uid="{EE05A25A-E2C4-4CA8-A917-6CDDD7F6B002}" name="Column16281"/>
    <tableColumn id="16293" xr3:uid="{CC088DC5-B499-4C29-A6A4-6131BC0F0807}" name="Column16282"/>
    <tableColumn id="16294" xr3:uid="{29270D65-263A-4054-8DA6-C593149184BA}" name="Column16283"/>
    <tableColumn id="16295" xr3:uid="{192DDE02-9600-479E-BE7B-97483DC8902D}" name="Column16284"/>
    <tableColumn id="16296" xr3:uid="{440B5BA0-E948-4BD1-B3B8-096E84E6EFCF}" name="Column16285"/>
    <tableColumn id="16297" xr3:uid="{13B6141C-F5FA-41FE-828F-6D142B77A523}" name="Column16286"/>
    <tableColumn id="16298" xr3:uid="{2A464C5F-BAFE-4477-A277-095FAFC075E2}" name="Column16287"/>
    <tableColumn id="16299" xr3:uid="{853A6E74-7EB9-41F0-BDBB-D88C5ABFF2A5}" name="Column16288"/>
    <tableColumn id="16300" xr3:uid="{30875B05-5C9B-460B-927D-A942D973C6A4}" name="Column16289"/>
    <tableColumn id="16301" xr3:uid="{A2D87745-E654-4FEA-B87A-0E9F9CD59B62}" name="Column16290"/>
    <tableColumn id="16302" xr3:uid="{3F85BD38-6882-43AB-9720-88AE667622FF}" name="Column16291"/>
    <tableColumn id="16303" xr3:uid="{93D12D83-71F8-4A16-9B32-90BAEB727A60}" name="Column16292"/>
    <tableColumn id="16304" xr3:uid="{0BA5356C-7FCD-4982-810D-25128435043A}" name="Column16293"/>
    <tableColumn id="16305" xr3:uid="{85801F2B-A6AB-40E1-ACA3-52EC592BA39F}" name="Column16294"/>
    <tableColumn id="16306" xr3:uid="{727AC469-03AD-4EB1-8CBF-C4BA22823B22}" name="Column16295"/>
    <tableColumn id="16307" xr3:uid="{321CE9A0-F98C-449F-9B16-D964C6E825F7}" name="Column16296"/>
    <tableColumn id="16308" xr3:uid="{0F2E79B9-3191-421B-ACD5-5C0CD1088C22}" name="Column16297"/>
    <tableColumn id="16309" xr3:uid="{2A876EA3-B551-4DDF-A061-3421E5C65E89}" name="Column16298"/>
    <tableColumn id="16310" xr3:uid="{3C9D869C-E842-4DC4-85A5-A695CB0B94FD}" name="Column16299"/>
    <tableColumn id="16311" xr3:uid="{8A8F52D0-ABD8-4F54-92C2-79F32DB54B45}" name="Column16300"/>
    <tableColumn id="16312" xr3:uid="{DA2A00ED-64D3-4539-A2E7-2A1F05C571FD}" name="Column16301"/>
    <tableColumn id="16313" xr3:uid="{C0F5C535-C7A6-43D2-BC21-2E177298155F}" name="Column16302"/>
    <tableColumn id="16314" xr3:uid="{F5062100-BF06-4737-BE51-A45E56100539}" name="Column16303"/>
    <tableColumn id="16315" xr3:uid="{C1B0428D-CD22-45E2-B2FD-1F8A426C3E8D}" name="Column16304"/>
    <tableColumn id="16316" xr3:uid="{07344487-7F95-43CD-A5D8-D7A7A77EB291}" name="Column16305"/>
    <tableColumn id="16317" xr3:uid="{DD145EC5-0656-4936-B0CE-4F954B449EFA}" name="Column16306"/>
    <tableColumn id="16318" xr3:uid="{F1475FAD-6285-46AD-84F9-21F320F7E105}" name="Column16307"/>
    <tableColumn id="16319" xr3:uid="{55D03C3E-6A0C-4D39-A71E-1548325D5C37}" name="Column16308"/>
    <tableColumn id="16320" xr3:uid="{AD90A6E3-27D9-490D-B390-B187D7AD46F2}" name="Column16309"/>
    <tableColumn id="16321" xr3:uid="{9C8894AF-F450-4FE6-9373-99C4527378F4}" name="Column16310"/>
    <tableColumn id="16322" xr3:uid="{9D9C64DE-E5CA-40FF-A823-803CA0361301}" name="Column16311"/>
    <tableColumn id="16323" xr3:uid="{9B7B2DB7-4B92-47A9-A054-EC1C6FCD0534}" name="Column16312"/>
    <tableColumn id="16324" xr3:uid="{37170166-F838-492A-BDC6-1662DBDFA541}" name="Column16313"/>
    <tableColumn id="16325" xr3:uid="{0622EE2A-74E3-4D24-8E7C-85D0356C18AD}" name="Column16314"/>
    <tableColumn id="16326" xr3:uid="{1C587280-4278-4D68-8FEE-8DFE41C73E8A}" name="Column16315"/>
    <tableColumn id="16327" xr3:uid="{8297997D-B004-40D4-9BC5-58F3312B2343}" name="Column16316"/>
    <tableColumn id="16328" xr3:uid="{1C875CC3-6616-455A-8C34-014A8D37F15F}" name="Column16317"/>
    <tableColumn id="16329" xr3:uid="{CBD392F4-E965-4E84-BCFB-4485CB21C1E3}" name="Column16318"/>
    <tableColumn id="16330" xr3:uid="{505BA127-B44E-4E4A-8660-7D49612C0A10}" name="Column16319"/>
    <tableColumn id="16331" xr3:uid="{2C915C7B-B746-4410-BEBC-5FC5E2169745}" name="Column16320"/>
    <tableColumn id="16332" xr3:uid="{4D7D2622-452D-44F4-BAFB-479F1CFCA725}" name="Column16321"/>
    <tableColumn id="16333" xr3:uid="{D07DB15C-14B5-4C7B-B3B9-0D08B3FA4750}" name="Column16322"/>
    <tableColumn id="16334" xr3:uid="{02EC95B2-B2FF-4575-9383-629296E990EC}" name="Column16323"/>
    <tableColumn id="16335" xr3:uid="{41C6A3DA-22A4-4554-B9F9-D30DDF2E575E}" name="Column16324"/>
    <tableColumn id="16336" xr3:uid="{8F325BF7-2A9E-4FFE-8343-1B24EA6905D0}" name="Column16325"/>
    <tableColumn id="16337" xr3:uid="{BD95711E-C6A9-4ABE-AED2-5CD168E1A705}" name="Column16326"/>
    <tableColumn id="16338" xr3:uid="{FACF7489-5B4B-4980-991B-0E8B7D36D183}" name="Column16327"/>
    <tableColumn id="16339" xr3:uid="{6E64CCF6-2731-4991-8A9F-11E28FE7C2DD}" name="Column16328"/>
    <tableColumn id="16340" xr3:uid="{2B9F4E8D-EA95-4DF7-9E1A-0C6AA2872F2D}" name="Column16329"/>
    <tableColumn id="16341" xr3:uid="{9D1594E8-8158-4E54-985B-FE0F0F976B06}" name="Column16330"/>
    <tableColumn id="16342" xr3:uid="{89891FEB-653B-4D2D-9AEF-BD41A07D0187}" name="Column16331"/>
    <tableColumn id="16343" xr3:uid="{B1D7D727-E78E-4D51-8598-CD02837D75BB}" name="Column16332"/>
    <tableColumn id="16344" xr3:uid="{2D29F3AB-93D4-433A-8296-CE4AC7289A95}" name="Column16333"/>
    <tableColumn id="16345" xr3:uid="{7002FB3E-4E55-4527-8991-357EA7E61F84}" name="Column16334"/>
    <tableColumn id="16346" xr3:uid="{1686B020-6452-40A5-97B6-55629EB05860}" name="Column16335"/>
    <tableColumn id="16347" xr3:uid="{42244F3B-A936-45BC-A38C-7DF9D9351677}" name="Column16336"/>
    <tableColumn id="16348" xr3:uid="{CE84400B-5A6B-45AF-8953-B4262DC6613B}" name="Column16337"/>
    <tableColumn id="16349" xr3:uid="{1C8B388D-7116-4D6C-AE81-725C66ABA84C}" name="Column16338"/>
    <tableColumn id="16350" xr3:uid="{5C5CA461-7701-43CD-A17C-E3E2AB243A9A}" name="Column16339"/>
    <tableColumn id="16351" xr3:uid="{445DC9D5-278D-4420-895F-4C357005B101}" name="Column16340"/>
    <tableColumn id="16352" xr3:uid="{37A11EE1-4484-4757-8E29-7F1C5816BDB3}" name="Column16341"/>
    <tableColumn id="16353" xr3:uid="{D5912C9E-ACE1-4E7B-9406-F0563EEC02D1}" name="Column16342"/>
    <tableColumn id="16354" xr3:uid="{61023B70-B52F-4BA0-A85F-D7B87239347F}" name="Column16343"/>
    <tableColumn id="16355" xr3:uid="{BFBC056E-9390-4263-9725-75798CF1ADEB}" name="Column16344"/>
    <tableColumn id="16356" xr3:uid="{9934CD68-BB0F-4FFF-8959-73241FDBFC98}" name="Column16345"/>
    <tableColumn id="16357" xr3:uid="{B7316990-F164-45B3-9C40-26465D0E0819}" name="Column16346"/>
    <tableColumn id="16358" xr3:uid="{757E3DE1-D4A0-48E6-8B05-BDEF214FFA60}" name="Column16347"/>
    <tableColumn id="16359" xr3:uid="{25E493D2-37D2-4BCF-B9AC-81E9F0D949D6}" name="Column16348"/>
    <tableColumn id="16360" xr3:uid="{BA4DFDF2-BEC4-40B1-959B-BC34602A59B0}" name="Column16349"/>
    <tableColumn id="16361" xr3:uid="{271F7107-B53B-4321-B631-F183BCEDE857}" name="Column16350"/>
    <tableColumn id="16362" xr3:uid="{26590FB3-1C91-4C0B-BDF1-A21232525EE7}" name="Column16351"/>
    <tableColumn id="16363" xr3:uid="{C2BCF0E0-BE1E-4D6A-ADD1-776F030E6AF8}" name="Column16352"/>
    <tableColumn id="16364" xr3:uid="{37B69D3B-F834-4AE0-B6EE-8C5B4923D0C4}" name="Column16353"/>
    <tableColumn id="16365" xr3:uid="{94FBDD27-35BE-45BB-A878-A6AD6A719A8E}" name="Column16354"/>
    <tableColumn id="16366" xr3:uid="{F304F717-1BDC-4DD2-97C7-AE5CC57492CB}" name="Column16355"/>
    <tableColumn id="16367" xr3:uid="{0E9749CF-D05F-430F-A308-13BD577FACE5}" name="Column16356"/>
    <tableColumn id="16368" xr3:uid="{EAA422EB-07E2-4E95-BCB6-05C87297269D}" name="Column16357"/>
    <tableColumn id="16369" xr3:uid="{D91F0DAB-4826-463D-9969-216A8D7FCAEF}" name="Column16358"/>
    <tableColumn id="16370" xr3:uid="{361DD383-4AB7-45CB-A41D-5CDF3D26B24A}" name="Column16359"/>
    <tableColumn id="16371" xr3:uid="{D4971D02-AF91-4F5B-A83B-CC5EB6DC8938}" name="Column16360"/>
    <tableColumn id="16372" xr3:uid="{5DC19259-080B-4598-93AA-9BC472C1E3C9}" name="Column16361"/>
    <tableColumn id="16373" xr3:uid="{0E2A1EBE-1C4E-4F88-AB9B-E014F57CA4FA}" name="Column16362"/>
    <tableColumn id="16374" xr3:uid="{C2CE6D3B-2652-4B4B-9FB5-5FD7A38A0BA0}" name="Column16363"/>
    <tableColumn id="16375" xr3:uid="{02A06401-E98F-448E-BB3D-E1892C610423}" name="Column16364"/>
    <tableColumn id="16376" xr3:uid="{D4DFAFCD-9454-4D08-A24D-0D90B05B55F9}" name="Column16365"/>
    <tableColumn id="16377" xr3:uid="{6D6A6239-6FCE-4204-80D5-FD1658DF1001}" name="Column16366"/>
    <tableColumn id="16378" xr3:uid="{7B756597-B754-42CC-B85D-47AC6ABED8AE}" name="Column16367"/>
    <tableColumn id="16379" xr3:uid="{43B0924A-4E64-4946-847B-E8ADD64E007A}" name="Column16368"/>
    <tableColumn id="16380" xr3:uid="{44D9DD7F-441B-4F2A-860C-07BDCA6D9C2C}" name="Column16369"/>
    <tableColumn id="16381" xr3:uid="{5C84723D-9DEC-4319-8ECF-8A25352878C0}" name="Column16370"/>
    <tableColumn id="16382" xr3:uid="{11FA4B85-CB06-4DD4-80AC-8F4B2790E935}" name="Column16371"/>
    <tableColumn id="16383" xr3:uid="{361899D9-FE4F-4AB3-A7D6-416AD8F06D4F}" name="Column16372"/>
    <tableColumn id="16384" xr3:uid="{0BE1D2F1-AA42-463A-ABBA-6230C73941DF}" name="Column163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5203-2797-4144-8264-6E63FEB3A45C}">
  <dimension ref="A1:XFD1001"/>
  <sheetViews>
    <sheetView topLeftCell="A718" workbookViewId="0">
      <selection sqref="A1:XFD1048576"/>
    </sheetView>
  </sheetViews>
  <sheetFormatPr defaultRowHeight="14.4" x14ac:dyDescent="0.3"/>
  <cols>
    <col min="1" max="1" width="10.44140625" customWidth="1"/>
    <col min="2" max="2" width="12.5546875" customWidth="1"/>
    <col min="3" max="3" width="13.77734375" customWidth="1"/>
    <col min="4" max="4" width="17" customWidth="1"/>
    <col min="5" max="5" width="9.5546875" customWidth="1"/>
    <col min="6" max="6" width="10.44140625" customWidth="1"/>
    <col min="8" max="8" width="10.21875" customWidth="1"/>
    <col min="10" max="10" width="10.21875" customWidth="1"/>
    <col min="12" max="20" width="10.44140625" customWidth="1"/>
    <col min="21" max="110" width="11.44140625" customWidth="1"/>
    <col min="111" max="1010" width="12.44140625" customWidth="1"/>
    <col min="1011" max="10010" width="13.44140625" customWidth="1"/>
    <col min="10011" max="16384" width="14.44140625" customWidth="1"/>
  </cols>
  <sheetData>
    <row r="1" spans="1:163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1538</v>
      </c>
      <c r="M1" t="s">
        <v>1539</v>
      </c>
      <c r="N1" t="s">
        <v>1540</v>
      </c>
      <c r="O1" t="s">
        <v>1541</v>
      </c>
      <c r="P1" t="s">
        <v>1542</v>
      </c>
      <c r="Q1" t="s">
        <v>1543</v>
      </c>
      <c r="R1" t="s">
        <v>1544</v>
      </c>
      <c r="S1" t="s">
        <v>1545</v>
      </c>
      <c r="T1" t="s">
        <v>1546</v>
      </c>
      <c r="U1" t="s">
        <v>1547</v>
      </c>
      <c r="V1" t="s">
        <v>1548</v>
      </c>
      <c r="W1" t="s">
        <v>1549</v>
      </c>
      <c r="X1" t="s">
        <v>1550</v>
      </c>
      <c r="Y1" t="s">
        <v>1551</v>
      </c>
      <c r="Z1" t="s">
        <v>1552</v>
      </c>
      <c r="AA1" t="s">
        <v>1553</v>
      </c>
      <c r="AB1" t="s">
        <v>1554</v>
      </c>
      <c r="AC1" t="s">
        <v>1555</v>
      </c>
      <c r="AD1" t="s">
        <v>1556</v>
      </c>
      <c r="AE1" t="s">
        <v>1557</v>
      </c>
      <c r="AF1" t="s">
        <v>1558</v>
      </c>
      <c r="AG1" t="s">
        <v>1559</v>
      </c>
      <c r="AH1" t="s">
        <v>1560</v>
      </c>
      <c r="AI1" t="s">
        <v>1561</v>
      </c>
      <c r="AJ1" t="s">
        <v>1562</v>
      </c>
      <c r="AK1" t="s">
        <v>1563</v>
      </c>
      <c r="AL1" t="s">
        <v>1564</v>
      </c>
      <c r="AM1" t="s">
        <v>1565</v>
      </c>
      <c r="AN1" t="s">
        <v>1566</v>
      </c>
      <c r="AO1" t="s">
        <v>1567</v>
      </c>
      <c r="AP1" t="s">
        <v>1568</v>
      </c>
      <c r="AQ1" t="s">
        <v>1569</v>
      </c>
      <c r="AR1" t="s">
        <v>1570</v>
      </c>
      <c r="AS1" t="s">
        <v>1571</v>
      </c>
      <c r="AT1" t="s">
        <v>1572</v>
      </c>
      <c r="AU1" t="s">
        <v>1573</v>
      </c>
      <c r="AV1" t="s">
        <v>1574</v>
      </c>
      <c r="AW1" t="s">
        <v>1575</v>
      </c>
      <c r="AX1" t="s">
        <v>1576</v>
      </c>
      <c r="AY1" t="s">
        <v>1577</v>
      </c>
      <c r="AZ1" t="s">
        <v>1578</v>
      </c>
      <c r="BA1" t="s">
        <v>1579</v>
      </c>
      <c r="BB1" t="s">
        <v>1580</v>
      </c>
      <c r="BC1" t="s">
        <v>1581</v>
      </c>
      <c r="BD1" t="s">
        <v>1582</v>
      </c>
      <c r="BE1" t="s">
        <v>1583</v>
      </c>
      <c r="BF1" t="s">
        <v>1584</v>
      </c>
      <c r="BG1" t="s">
        <v>1585</v>
      </c>
      <c r="BH1" t="s">
        <v>1586</v>
      </c>
      <c r="BI1" t="s">
        <v>1587</v>
      </c>
      <c r="BJ1" t="s">
        <v>1588</v>
      </c>
      <c r="BK1" t="s">
        <v>1589</v>
      </c>
      <c r="BL1" t="s">
        <v>1590</v>
      </c>
      <c r="BM1" t="s">
        <v>1591</v>
      </c>
      <c r="BN1" t="s">
        <v>1592</v>
      </c>
      <c r="BO1" t="s">
        <v>1593</v>
      </c>
      <c r="BP1" t="s">
        <v>1594</v>
      </c>
      <c r="BQ1" t="s">
        <v>1595</v>
      </c>
      <c r="BR1" t="s">
        <v>1596</v>
      </c>
      <c r="BS1" t="s">
        <v>1597</v>
      </c>
      <c r="BT1" t="s">
        <v>1598</v>
      </c>
      <c r="BU1" t="s">
        <v>1599</v>
      </c>
      <c r="BV1" t="s">
        <v>1600</v>
      </c>
      <c r="BW1" t="s">
        <v>1601</v>
      </c>
      <c r="BX1" t="s">
        <v>1602</v>
      </c>
      <c r="BY1" t="s">
        <v>1603</v>
      </c>
      <c r="BZ1" t="s">
        <v>1604</v>
      </c>
      <c r="CA1" t="s">
        <v>1605</v>
      </c>
      <c r="CB1" t="s">
        <v>1606</v>
      </c>
      <c r="CC1" t="s">
        <v>1607</v>
      </c>
      <c r="CD1" t="s">
        <v>1608</v>
      </c>
      <c r="CE1" t="s">
        <v>1609</v>
      </c>
      <c r="CF1" t="s">
        <v>1610</v>
      </c>
      <c r="CG1" t="s">
        <v>1611</v>
      </c>
      <c r="CH1" t="s">
        <v>1612</v>
      </c>
      <c r="CI1" t="s">
        <v>1613</v>
      </c>
      <c r="CJ1" t="s">
        <v>1614</v>
      </c>
      <c r="CK1" t="s">
        <v>1615</v>
      </c>
      <c r="CL1" t="s">
        <v>1616</v>
      </c>
      <c r="CM1" t="s">
        <v>1617</v>
      </c>
      <c r="CN1" t="s">
        <v>1618</v>
      </c>
      <c r="CO1" t="s">
        <v>1619</v>
      </c>
      <c r="CP1" t="s">
        <v>1620</v>
      </c>
      <c r="CQ1" t="s">
        <v>1621</v>
      </c>
      <c r="CR1" t="s">
        <v>1622</v>
      </c>
      <c r="CS1" t="s">
        <v>1623</v>
      </c>
      <c r="CT1" t="s">
        <v>1624</v>
      </c>
      <c r="CU1" t="s">
        <v>1625</v>
      </c>
      <c r="CV1" t="s">
        <v>1626</v>
      </c>
      <c r="CW1" t="s">
        <v>1627</v>
      </c>
      <c r="CX1" t="s">
        <v>1628</v>
      </c>
      <c r="CY1" t="s">
        <v>1629</v>
      </c>
      <c r="CZ1" t="s">
        <v>1630</v>
      </c>
      <c r="DA1" t="s">
        <v>1631</v>
      </c>
      <c r="DB1" t="s">
        <v>1632</v>
      </c>
      <c r="DC1" t="s">
        <v>1633</v>
      </c>
      <c r="DD1" t="s">
        <v>1634</v>
      </c>
      <c r="DE1" t="s">
        <v>1635</v>
      </c>
      <c r="DF1" t="s">
        <v>1636</v>
      </c>
      <c r="DG1" t="s">
        <v>1637</v>
      </c>
      <c r="DH1" t="s">
        <v>1638</v>
      </c>
      <c r="DI1" t="s">
        <v>1639</v>
      </c>
      <c r="DJ1" t="s">
        <v>1640</v>
      </c>
      <c r="DK1" t="s">
        <v>1641</v>
      </c>
      <c r="DL1" t="s">
        <v>1642</v>
      </c>
      <c r="DM1" t="s">
        <v>1643</v>
      </c>
      <c r="DN1" t="s">
        <v>1644</v>
      </c>
      <c r="DO1" t="s">
        <v>1645</v>
      </c>
      <c r="DP1" t="s">
        <v>1646</v>
      </c>
      <c r="DQ1" t="s">
        <v>1647</v>
      </c>
      <c r="DR1" t="s">
        <v>1648</v>
      </c>
      <c r="DS1" t="s">
        <v>1649</v>
      </c>
      <c r="DT1" t="s">
        <v>1650</v>
      </c>
      <c r="DU1" t="s">
        <v>1651</v>
      </c>
      <c r="DV1" t="s">
        <v>1652</v>
      </c>
      <c r="DW1" t="s">
        <v>1653</v>
      </c>
      <c r="DX1" t="s">
        <v>1654</v>
      </c>
      <c r="DY1" t="s">
        <v>1655</v>
      </c>
      <c r="DZ1" t="s">
        <v>1656</v>
      </c>
      <c r="EA1" t="s">
        <v>1657</v>
      </c>
      <c r="EB1" t="s">
        <v>1658</v>
      </c>
      <c r="EC1" t="s">
        <v>1659</v>
      </c>
      <c r="ED1" t="s">
        <v>1660</v>
      </c>
      <c r="EE1" t="s">
        <v>1661</v>
      </c>
      <c r="EF1" t="s">
        <v>1662</v>
      </c>
      <c r="EG1" t="s">
        <v>1663</v>
      </c>
      <c r="EH1" t="s">
        <v>1664</v>
      </c>
      <c r="EI1" t="s">
        <v>1665</v>
      </c>
      <c r="EJ1" t="s">
        <v>1666</v>
      </c>
      <c r="EK1" t="s">
        <v>1667</v>
      </c>
      <c r="EL1" t="s">
        <v>1668</v>
      </c>
      <c r="EM1" t="s">
        <v>1669</v>
      </c>
      <c r="EN1" t="s">
        <v>1670</v>
      </c>
      <c r="EO1" t="s">
        <v>1671</v>
      </c>
      <c r="EP1" t="s">
        <v>1672</v>
      </c>
      <c r="EQ1" t="s">
        <v>1673</v>
      </c>
      <c r="ER1" t="s">
        <v>1674</v>
      </c>
      <c r="ES1" t="s">
        <v>1675</v>
      </c>
      <c r="ET1" t="s">
        <v>1676</v>
      </c>
      <c r="EU1" t="s">
        <v>1677</v>
      </c>
      <c r="EV1" t="s">
        <v>1678</v>
      </c>
      <c r="EW1" t="s">
        <v>1679</v>
      </c>
      <c r="EX1" t="s">
        <v>1680</v>
      </c>
      <c r="EY1" t="s">
        <v>1681</v>
      </c>
      <c r="EZ1" t="s">
        <v>1682</v>
      </c>
      <c r="FA1" t="s">
        <v>1683</v>
      </c>
      <c r="FB1" t="s">
        <v>1684</v>
      </c>
      <c r="FC1" t="s">
        <v>1685</v>
      </c>
      <c r="FD1" t="s">
        <v>1686</v>
      </c>
      <c r="FE1" t="s">
        <v>1687</v>
      </c>
      <c r="FF1" t="s">
        <v>1688</v>
      </c>
      <c r="FG1" t="s">
        <v>1689</v>
      </c>
      <c r="FH1" t="s">
        <v>1690</v>
      </c>
      <c r="FI1" t="s">
        <v>1691</v>
      </c>
      <c r="FJ1" t="s">
        <v>1692</v>
      </c>
      <c r="FK1" t="s">
        <v>1693</v>
      </c>
      <c r="FL1" t="s">
        <v>1694</v>
      </c>
      <c r="FM1" t="s">
        <v>1695</v>
      </c>
      <c r="FN1" t="s">
        <v>1696</v>
      </c>
      <c r="FO1" t="s">
        <v>1697</v>
      </c>
      <c r="FP1" t="s">
        <v>1698</v>
      </c>
      <c r="FQ1" t="s">
        <v>1699</v>
      </c>
      <c r="FR1" t="s">
        <v>1700</v>
      </c>
      <c r="FS1" t="s">
        <v>1701</v>
      </c>
      <c r="FT1" t="s">
        <v>1702</v>
      </c>
      <c r="FU1" t="s">
        <v>1703</v>
      </c>
      <c r="FV1" t="s">
        <v>1704</v>
      </c>
      <c r="FW1" t="s">
        <v>1705</v>
      </c>
      <c r="FX1" t="s">
        <v>1706</v>
      </c>
      <c r="FY1" t="s">
        <v>1707</v>
      </c>
      <c r="FZ1" t="s">
        <v>1708</v>
      </c>
      <c r="GA1" t="s">
        <v>1709</v>
      </c>
      <c r="GB1" t="s">
        <v>1710</v>
      </c>
      <c r="GC1" t="s">
        <v>1711</v>
      </c>
      <c r="GD1" t="s">
        <v>1712</v>
      </c>
      <c r="GE1" t="s">
        <v>1713</v>
      </c>
      <c r="GF1" t="s">
        <v>1714</v>
      </c>
      <c r="GG1" t="s">
        <v>1715</v>
      </c>
      <c r="GH1" t="s">
        <v>1716</v>
      </c>
      <c r="GI1" t="s">
        <v>1717</v>
      </c>
      <c r="GJ1" t="s">
        <v>1718</v>
      </c>
      <c r="GK1" t="s">
        <v>1719</v>
      </c>
      <c r="GL1" t="s">
        <v>1720</v>
      </c>
      <c r="GM1" t="s">
        <v>1721</v>
      </c>
      <c r="GN1" t="s">
        <v>1722</v>
      </c>
      <c r="GO1" t="s">
        <v>1723</v>
      </c>
      <c r="GP1" t="s">
        <v>1724</v>
      </c>
      <c r="GQ1" t="s">
        <v>1725</v>
      </c>
      <c r="GR1" t="s">
        <v>1726</v>
      </c>
      <c r="GS1" t="s">
        <v>1727</v>
      </c>
      <c r="GT1" t="s">
        <v>1728</v>
      </c>
      <c r="GU1" t="s">
        <v>1729</v>
      </c>
      <c r="GV1" t="s">
        <v>1730</v>
      </c>
      <c r="GW1" t="s">
        <v>1731</v>
      </c>
      <c r="GX1" t="s">
        <v>1732</v>
      </c>
      <c r="GY1" t="s">
        <v>1733</v>
      </c>
      <c r="GZ1" t="s">
        <v>1734</v>
      </c>
      <c r="HA1" t="s">
        <v>1735</v>
      </c>
      <c r="HB1" t="s">
        <v>1736</v>
      </c>
      <c r="HC1" t="s">
        <v>1737</v>
      </c>
      <c r="HD1" t="s">
        <v>1738</v>
      </c>
      <c r="HE1" t="s">
        <v>1739</v>
      </c>
      <c r="HF1" t="s">
        <v>1740</v>
      </c>
      <c r="HG1" t="s">
        <v>1741</v>
      </c>
      <c r="HH1" t="s">
        <v>1742</v>
      </c>
      <c r="HI1" t="s">
        <v>1743</v>
      </c>
      <c r="HJ1" t="s">
        <v>1744</v>
      </c>
      <c r="HK1" t="s">
        <v>1745</v>
      </c>
      <c r="HL1" t="s">
        <v>1746</v>
      </c>
      <c r="HM1" t="s">
        <v>1747</v>
      </c>
      <c r="HN1" t="s">
        <v>1748</v>
      </c>
      <c r="HO1" t="s">
        <v>1749</v>
      </c>
      <c r="HP1" t="s">
        <v>1750</v>
      </c>
      <c r="HQ1" t="s">
        <v>1751</v>
      </c>
      <c r="HR1" t="s">
        <v>1752</v>
      </c>
      <c r="HS1" t="s">
        <v>1753</v>
      </c>
      <c r="HT1" t="s">
        <v>1754</v>
      </c>
      <c r="HU1" t="s">
        <v>1755</v>
      </c>
      <c r="HV1" t="s">
        <v>1756</v>
      </c>
      <c r="HW1" t="s">
        <v>1757</v>
      </c>
      <c r="HX1" t="s">
        <v>1758</v>
      </c>
      <c r="HY1" t="s">
        <v>1759</v>
      </c>
      <c r="HZ1" t="s">
        <v>1760</v>
      </c>
      <c r="IA1" t="s">
        <v>1761</v>
      </c>
      <c r="IB1" t="s">
        <v>1762</v>
      </c>
      <c r="IC1" t="s">
        <v>1763</v>
      </c>
      <c r="ID1" t="s">
        <v>1764</v>
      </c>
      <c r="IE1" t="s">
        <v>1765</v>
      </c>
      <c r="IF1" t="s">
        <v>1766</v>
      </c>
      <c r="IG1" t="s">
        <v>1767</v>
      </c>
      <c r="IH1" t="s">
        <v>1768</v>
      </c>
      <c r="II1" t="s">
        <v>1769</v>
      </c>
      <c r="IJ1" t="s">
        <v>1770</v>
      </c>
      <c r="IK1" t="s">
        <v>1771</v>
      </c>
      <c r="IL1" t="s">
        <v>1772</v>
      </c>
      <c r="IM1" t="s">
        <v>1773</v>
      </c>
      <c r="IN1" t="s">
        <v>1774</v>
      </c>
      <c r="IO1" t="s">
        <v>1775</v>
      </c>
      <c r="IP1" t="s">
        <v>1776</v>
      </c>
      <c r="IQ1" t="s">
        <v>1777</v>
      </c>
      <c r="IR1" t="s">
        <v>1778</v>
      </c>
      <c r="IS1" t="s">
        <v>1779</v>
      </c>
      <c r="IT1" t="s">
        <v>1780</v>
      </c>
      <c r="IU1" t="s">
        <v>1781</v>
      </c>
      <c r="IV1" t="s">
        <v>1782</v>
      </c>
      <c r="IW1" t="s">
        <v>1783</v>
      </c>
      <c r="IX1" t="s">
        <v>1784</v>
      </c>
      <c r="IY1" t="s">
        <v>1785</v>
      </c>
      <c r="IZ1" t="s">
        <v>1786</v>
      </c>
      <c r="JA1" t="s">
        <v>1787</v>
      </c>
      <c r="JB1" t="s">
        <v>1788</v>
      </c>
      <c r="JC1" t="s">
        <v>1789</v>
      </c>
      <c r="JD1" t="s">
        <v>1790</v>
      </c>
      <c r="JE1" t="s">
        <v>1791</v>
      </c>
      <c r="JF1" t="s">
        <v>1792</v>
      </c>
      <c r="JG1" t="s">
        <v>1793</v>
      </c>
      <c r="JH1" t="s">
        <v>1794</v>
      </c>
      <c r="JI1" t="s">
        <v>1795</v>
      </c>
      <c r="JJ1" t="s">
        <v>1796</v>
      </c>
      <c r="JK1" t="s">
        <v>1797</v>
      </c>
      <c r="JL1" t="s">
        <v>1798</v>
      </c>
      <c r="JM1" t="s">
        <v>1799</v>
      </c>
      <c r="JN1" t="s">
        <v>1800</v>
      </c>
      <c r="JO1" t="s">
        <v>1801</v>
      </c>
      <c r="JP1" t="s">
        <v>1802</v>
      </c>
      <c r="JQ1" t="s">
        <v>1803</v>
      </c>
      <c r="JR1" t="s">
        <v>1804</v>
      </c>
      <c r="JS1" t="s">
        <v>1805</v>
      </c>
      <c r="JT1" t="s">
        <v>1806</v>
      </c>
      <c r="JU1" t="s">
        <v>1807</v>
      </c>
      <c r="JV1" t="s">
        <v>1808</v>
      </c>
      <c r="JW1" t="s">
        <v>1809</v>
      </c>
      <c r="JX1" t="s">
        <v>1810</v>
      </c>
      <c r="JY1" t="s">
        <v>1811</v>
      </c>
      <c r="JZ1" t="s">
        <v>1812</v>
      </c>
      <c r="KA1" t="s">
        <v>1813</v>
      </c>
      <c r="KB1" t="s">
        <v>1814</v>
      </c>
      <c r="KC1" t="s">
        <v>1815</v>
      </c>
      <c r="KD1" t="s">
        <v>1816</v>
      </c>
      <c r="KE1" t="s">
        <v>1817</v>
      </c>
      <c r="KF1" t="s">
        <v>1818</v>
      </c>
      <c r="KG1" t="s">
        <v>1819</v>
      </c>
      <c r="KH1" t="s">
        <v>1820</v>
      </c>
      <c r="KI1" t="s">
        <v>1821</v>
      </c>
      <c r="KJ1" t="s">
        <v>1822</v>
      </c>
      <c r="KK1" t="s">
        <v>1823</v>
      </c>
      <c r="KL1" t="s">
        <v>1824</v>
      </c>
      <c r="KM1" t="s">
        <v>1825</v>
      </c>
      <c r="KN1" t="s">
        <v>1826</v>
      </c>
      <c r="KO1" t="s">
        <v>1827</v>
      </c>
      <c r="KP1" t="s">
        <v>1828</v>
      </c>
      <c r="KQ1" t="s">
        <v>1829</v>
      </c>
      <c r="KR1" t="s">
        <v>1830</v>
      </c>
      <c r="KS1" t="s">
        <v>1831</v>
      </c>
      <c r="KT1" t="s">
        <v>1832</v>
      </c>
      <c r="KU1" t="s">
        <v>1833</v>
      </c>
      <c r="KV1" t="s">
        <v>1834</v>
      </c>
      <c r="KW1" t="s">
        <v>1835</v>
      </c>
      <c r="KX1" t="s">
        <v>1836</v>
      </c>
      <c r="KY1" t="s">
        <v>1837</v>
      </c>
      <c r="KZ1" t="s">
        <v>1838</v>
      </c>
      <c r="LA1" t="s">
        <v>1839</v>
      </c>
      <c r="LB1" t="s">
        <v>1840</v>
      </c>
      <c r="LC1" t="s">
        <v>1841</v>
      </c>
      <c r="LD1" t="s">
        <v>1842</v>
      </c>
      <c r="LE1" t="s">
        <v>1843</v>
      </c>
      <c r="LF1" t="s">
        <v>1844</v>
      </c>
      <c r="LG1" t="s">
        <v>1845</v>
      </c>
      <c r="LH1" t="s">
        <v>1846</v>
      </c>
      <c r="LI1" t="s">
        <v>1847</v>
      </c>
      <c r="LJ1" t="s">
        <v>1848</v>
      </c>
      <c r="LK1" t="s">
        <v>1849</v>
      </c>
      <c r="LL1" t="s">
        <v>1850</v>
      </c>
      <c r="LM1" t="s">
        <v>1851</v>
      </c>
      <c r="LN1" t="s">
        <v>1852</v>
      </c>
      <c r="LO1" t="s">
        <v>1853</v>
      </c>
      <c r="LP1" t="s">
        <v>1854</v>
      </c>
      <c r="LQ1" t="s">
        <v>1855</v>
      </c>
      <c r="LR1" t="s">
        <v>1856</v>
      </c>
      <c r="LS1" t="s">
        <v>1857</v>
      </c>
      <c r="LT1" t="s">
        <v>1858</v>
      </c>
      <c r="LU1" t="s">
        <v>1859</v>
      </c>
      <c r="LV1" t="s">
        <v>1860</v>
      </c>
      <c r="LW1" t="s">
        <v>1861</v>
      </c>
      <c r="LX1" t="s">
        <v>1862</v>
      </c>
      <c r="LY1" t="s">
        <v>1863</v>
      </c>
      <c r="LZ1" t="s">
        <v>1864</v>
      </c>
      <c r="MA1" t="s">
        <v>1865</v>
      </c>
      <c r="MB1" t="s">
        <v>1866</v>
      </c>
      <c r="MC1" t="s">
        <v>1867</v>
      </c>
      <c r="MD1" t="s">
        <v>1868</v>
      </c>
      <c r="ME1" t="s">
        <v>1869</v>
      </c>
      <c r="MF1" t="s">
        <v>1870</v>
      </c>
      <c r="MG1" t="s">
        <v>1871</v>
      </c>
      <c r="MH1" t="s">
        <v>1872</v>
      </c>
      <c r="MI1" t="s">
        <v>1873</v>
      </c>
      <c r="MJ1" t="s">
        <v>1874</v>
      </c>
      <c r="MK1" t="s">
        <v>1875</v>
      </c>
      <c r="ML1" t="s">
        <v>1876</v>
      </c>
      <c r="MM1" t="s">
        <v>1877</v>
      </c>
      <c r="MN1" t="s">
        <v>1878</v>
      </c>
      <c r="MO1" t="s">
        <v>1879</v>
      </c>
      <c r="MP1" t="s">
        <v>1880</v>
      </c>
      <c r="MQ1" t="s">
        <v>1881</v>
      </c>
      <c r="MR1" t="s">
        <v>1882</v>
      </c>
      <c r="MS1" t="s">
        <v>1883</v>
      </c>
      <c r="MT1" t="s">
        <v>1884</v>
      </c>
      <c r="MU1" t="s">
        <v>1885</v>
      </c>
      <c r="MV1" t="s">
        <v>1886</v>
      </c>
      <c r="MW1" t="s">
        <v>1887</v>
      </c>
      <c r="MX1" t="s">
        <v>1888</v>
      </c>
      <c r="MY1" t="s">
        <v>1889</v>
      </c>
      <c r="MZ1" t="s">
        <v>1890</v>
      </c>
      <c r="NA1" t="s">
        <v>1891</v>
      </c>
      <c r="NB1" t="s">
        <v>1892</v>
      </c>
      <c r="NC1" t="s">
        <v>1893</v>
      </c>
      <c r="ND1" t="s">
        <v>1894</v>
      </c>
      <c r="NE1" t="s">
        <v>1895</v>
      </c>
      <c r="NF1" t="s">
        <v>1896</v>
      </c>
      <c r="NG1" t="s">
        <v>1897</v>
      </c>
      <c r="NH1" t="s">
        <v>1898</v>
      </c>
      <c r="NI1" t="s">
        <v>1899</v>
      </c>
      <c r="NJ1" t="s">
        <v>1900</v>
      </c>
      <c r="NK1" t="s">
        <v>1901</v>
      </c>
      <c r="NL1" t="s">
        <v>1902</v>
      </c>
      <c r="NM1" t="s">
        <v>1903</v>
      </c>
      <c r="NN1" t="s">
        <v>1904</v>
      </c>
      <c r="NO1" t="s">
        <v>1905</v>
      </c>
      <c r="NP1" t="s">
        <v>1906</v>
      </c>
      <c r="NQ1" t="s">
        <v>1907</v>
      </c>
      <c r="NR1" t="s">
        <v>1908</v>
      </c>
      <c r="NS1" t="s">
        <v>1909</v>
      </c>
      <c r="NT1" t="s">
        <v>1910</v>
      </c>
      <c r="NU1" t="s">
        <v>1911</v>
      </c>
      <c r="NV1" t="s">
        <v>1912</v>
      </c>
      <c r="NW1" t="s">
        <v>1913</v>
      </c>
      <c r="NX1" t="s">
        <v>1914</v>
      </c>
      <c r="NY1" t="s">
        <v>1915</v>
      </c>
      <c r="NZ1" t="s">
        <v>1916</v>
      </c>
      <c r="OA1" t="s">
        <v>1917</v>
      </c>
      <c r="OB1" t="s">
        <v>1918</v>
      </c>
      <c r="OC1" t="s">
        <v>1919</v>
      </c>
      <c r="OD1" t="s">
        <v>1920</v>
      </c>
      <c r="OE1" t="s">
        <v>1921</v>
      </c>
      <c r="OF1" t="s">
        <v>1922</v>
      </c>
      <c r="OG1" t="s">
        <v>1923</v>
      </c>
      <c r="OH1" t="s">
        <v>1924</v>
      </c>
      <c r="OI1" t="s">
        <v>1925</v>
      </c>
      <c r="OJ1" t="s">
        <v>1926</v>
      </c>
      <c r="OK1" t="s">
        <v>1927</v>
      </c>
      <c r="OL1" t="s">
        <v>1928</v>
      </c>
      <c r="OM1" t="s">
        <v>1929</v>
      </c>
      <c r="ON1" t="s">
        <v>1930</v>
      </c>
      <c r="OO1" t="s">
        <v>1931</v>
      </c>
      <c r="OP1" t="s">
        <v>1932</v>
      </c>
      <c r="OQ1" t="s">
        <v>1933</v>
      </c>
      <c r="OR1" t="s">
        <v>1934</v>
      </c>
      <c r="OS1" t="s">
        <v>1935</v>
      </c>
      <c r="OT1" t="s">
        <v>1936</v>
      </c>
      <c r="OU1" t="s">
        <v>1937</v>
      </c>
      <c r="OV1" t="s">
        <v>1938</v>
      </c>
      <c r="OW1" t="s">
        <v>1939</v>
      </c>
      <c r="OX1" t="s">
        <v>1940</v>
      </c>
      <c r="OY1" t="s">
        <v>1941</v>
      </c>
      <c r="OZ1" t="s">
        <v>1942</v>
      </c>
      <c r="PA1" t="s">
        <v>1943</v>
      </c>
      <c r="PB1" t="s">
        <v>1944</v>
      </c>
      <c r="PC1" t="s">
        <v>1945</v>
      </c>
      <c r="PD1" t="s">
        <v>1946</v>
      </c>
      <c r="PE1" t="s">
        <v>1947</v>
      </c>
      <c r="PF1" t="s">
        <v>1948</v>
      </c>
      <c r="PG1" t="s">
        <v>1949</v>
      </c>
      <c r="PH1" t="s">
        <v>1950</v>
      </c>
      <c r="PI1" t="s">
        <v>1951</v>
      </c>
      <c r="PJ1" t="s">
        <v>1952</v>
      </c>
      <c r="PK1" t="s">
        <v>1953</v>
      </c>
      <c r="PL1" t="s">
        <v>1954</v>
      </c>
      <c r="PM1" t="s">
        <v>1955</v>
      </c>
      <c r="PN1" t="s">
        <v>1956</v>
      </c>
      <c r="PO1" t="s">
        <v>1957</v>
      </c>
      <c r="PP1" t="s">
        <v>1958</v>
      </c>
      <c r="PQ1" t="s">
        <v>1959</v>
      </c>
      <c r="PR1" t="s">
        <v>1960</v>
      </c>
      <c r="PS1" t="s">
        <v>1961</v>
      </c>
      <c r="PT1" t="s">
        <v>1962</v>
      </c>
      <c r="PU1" t="s">
        <v>1963</v>
      </c>
      <c r="PV1" t="s">
        <v>1964</v>
      </c>
      <c r="PW1" t="s">
        <v>1965</v>
      </c>
      <c r="PX1" t="s">
        <v>1966</v>
      </c>
      <c r="PY1" t="s">
        <v>1967</v>
      </c>
      <c r="PZ1" t="s">
        <v>1968</v>
      </c>
      <c r="QA1" t="s">
        <v>1969</v>
      </c>
      <c r="QB1" t="s">
        <v>1970</v>
      </c>
      <c r="QC1" t="s">
        <v>1971</v>
      </c>
      <c r="QD1" t="s">
        <v>1972</v>
      </c>
      <c r="QE1" t="s">
        <v>1973</v>
      </c>
      <c r="QF1" t="s">
        <v>1974</v>
      </c>
      <c r="QG1" t="s">
        <v>1975</v>
      </c>
      <c r="QH1" t="s">
        <v>1976</v>
      </c>
      <c r="QI1" t="s">
        <v>1977</v>
      </c>
      <c r="QJ1" t="s">
        <v>1978</v>
      </c>
      <c r="QK1" t="s">
        <v>1979</v>
      </c>
      <c r="QL1" t="s">
        <v>1980</v>
      </c>
      <c r="QM1" t="s">
        <v>1981</v>
      </c>
      <c r="QN1" t="s">
        <v>1982</v>
      </c>
      <c r="QO1" t="s">
        <v>1983</v>
      </c>
      <c r="QP1" t="s">
        <v>1984</v>
      </c>
      <c r="QQ1" t="s">
        <v>1985</v>
      </c>
      <c r="QR1" t="s">
        <v>1986</v>
      </c>
      <c r="QS1" t="s">
        <v>1987</v>
      </c>
      <c r="QT1" t="s">
        <v>1988</v>
      </c>
      <c r="QU1" t="s">
        <v>1989</v>
      </c>
      <c r="QV1" t="s">
        <v>1990</v>
      </c>
      <c r="QW1" t="s">
        <v>1991</v>
      </c>
      <c r="QX1" t="s">
        <v>1992</v>
      </c>
      <c r="QY1" t="s">
        <v>1993</v>
      </c>
      <c r="QZ1" t="s">
        <v>1994</v>
      </c>
      <c r="RA1" t="s">
        <v>1995</v>
      </c>
      <c r="RB1" t="s">
        <v>1996</v>
      </c>
      <c r="RC1" t="s">
        <v>1997</v>
      </c>
      <c r="RD1" t="s">
        <v>1998</v>
      </c>
      <c r="RE1" t="s">
        <v>1999</v>
      </c>
      <c r="RF1" t="s">
        <v>2000</v>
      </c>
      <c r="RG1" t="s">
        <v>2001</v>
      </c>
      <c r="RH1" t="s">
        <v>2002</v>
      </c>
      <c r="RI1" t="s">
        <v>2003</v>
      </c>
      <c r="RJ1" t="s">
        <v>2004</v>
      </c>
      <c r="RK1" t="s">
        <v>2005</v>
      </c>
      <c r="RL1" t="s">
        <v>2006</v>
      </c>
      <c r="RM1" t="s">
        <v>2007</v>
      </c>
      <c r="RN1" t="s">
        <v>2008</v>
      </c>
      <c r="RO1" t="s">
        <v>2009</v>
      </c>
      <c r="RP1" t="s">
        <v>2010</v>
      </c>
      <c r="RQ1" t="s">
        <v>2011</v>
      </c>
      <c r="RR1" t="s">
        <v>2012</v>
      </c>
      <c r="RS1" t="s">
        <v>2013</v>
      </c>
      <c r="RT1" t="s">
        <v>2014</v>
      </c>
      <c r="RU1" t="s">
        <v>2015</v>
      </c>
      <c r="RV1" t="s">
        <v>2016</v>
      </c>
      <c r="RW1" t="s">
        <v>2017</v>
      </c>
      <c r="RX1" t="s">
        <v>2018</v>
      </c>
      <c r="RY1" t="s">
        <v>2019</v>
      </c>
      <c r="RZ1" t="s">
        <v>2020</v>
      </c>
      <c r="SA1" t="s">
        <v>2021</v>
      </c>
      <c r="SB1" t="s">
        <v>2022</v>
      </c>
      <c r="SC1" t="s">
        <v>2023</v>
      </c>
      <c r="SD1" t="s">
        <v>2024</v>
      </c>
      <c r="SE1" t="s">
        <v>2025</v>
      </c>
      <c r="SF1" t="s">
        <v>2026</v>
      </c>
      <c r="SG1" t="s">
        <v>2027</v>
      </c>
      <c r="SH1" t="s">
        <v>2028</v>
      </c>
      <c r="SI1" t="s">
        <v>2029</v>
      </c>
      <c r="SJ1" t="s">
        <v>2030</v>
      </c>
      <c r="SK1" t="s">
        <v>2031</v>
      </c>
      <c r="SL1" t="s">
        <v>2032</v>
      </c>
      <c r="SM1" t="s">
        <v>2033</v>
      </c>
      <c r="SN1" t="s">
        <v>2034</v>
      </c>
      <c r="SO1" t="s">
        <v>2035</v>
      </c>
      <c r="SP1" t="s">
        <v>2036</v>
      </c>
      <c r="SQ1" t="s">
        <v>2037</v>
      </c>
      <c r="SR1" t="s">
        <v>2038</v>
      </c>
      <c r="SS1" t="s">
        <v>2039</v>
      </c>
      <c r="ST1" t="s">
        <v>2040</v>
      </c>
      <c r="SU1" t="s">
        <v>2041</v>
      </c>
      <c r="SV1" t="s">
        <v>2042</v>
      </c>
      <c r="SW1" t="s">
        <v>2043</v>
      </c>
      <c r="SX1" t="s">
        <v>2044</v>
      </c>
      <c r="SY1" t="s">
        <v>2045</v>
      </c>
      <c r="SZ1" t="s">
        <v>2046</v>
      </c>
      <c r="TA1" t="s">
        <v>2047</v>
      </c>
      <c r="TB1" t="s">
        <v>2048</v>
      </c>
      <c r="TC1" t="s">
        <v>2049</v>
      </c>
      <c r="TD1" t="s">
        <v>2050</v>
      </c>
      <c r="TE1" t="s">
        <v>2051</v>
      </c>
      <c r="TF1" t="s">
        <v>2052</v>
      </c>
      <c r="TG1" t="s">
        <v>2053</v>
      </c>
      <c r="TH1" t="s">
        <v>2054</v>
      </c>
      <c r="TI1" t="s">
        <v>2055</v>
      </c>
      <c r="TJ1" t="s">
        <v>2056</v>
      </c>
      <c r="TK1" t="s">
        <v>2057</v>
      </c>
      <c r="TL1" t="s">
        <v>2058</v>
      </c>
      <c r="TM1" t="s">
        <v>2059</v>
      </c>
      <c r="TN1" t="s">
        <v>2060</v>
      </c>
      <c r="TO1" t="s">
        <v>2061</v>
      </c>
      <c r="TP1" t="s">
        <v>2062</v>
      </c>
      <c r="TQ1" t="s">
        <v>2063</v>
      </c>
      <c r="TR1" t="s">
        <v>2064</v>
      </c>
      <c r="TS1" t="s">
        <v>2065</v>
      </c>
      <c r="TT1" t="s">
        <v>2066</v>
      </c>
      <c r="TU1" t="s">
        <v>2067</v>
      </c>
      <c r="TV1" t="s">
        <v>2068</v>
      </c>
      <c r="TW1" t="s">
        <v>2069</v>
      </c>
      <c r="TX1" t="s">
        <v>2070</v>
      </c>
      <c r="TY1" t="s">
        <v>2071</v>
      </c>
      <c r="TZ1" t="s">
        <v>2072</v>
      </c>
      <c r="UA1" t="s">
        <v>2073</v>
      </c>
      <c r="UB1" t="s">
        <v>2074</v>
      </c>
      <c r="UC1" t="s">
        <v>2075</v>
      </c>
      <c r="UD1" t="s">
        <v>2076</v>
      </c>
      <c r="UE1" t="s">
        <v>2077</v>
      </c>
      <c r="UF1" t="s">
        <v>2078</v>
      </c>
      <c r="UG1" t="s">
        <v>2079</v>
      </c>
      <c r="UH1" t="s">
        <v>2080</v>
      </c>
      <c r="UI1" t="s">
        <v>2081</v>
      </c>
      <c r="UJ1" t="s">
        <v>2082</v>
      </c>
      <c r="UK1" t="s">
        <v>2083</v>
      </c>
      <c r="UL1" t="s">
        <v>2084</v>
      </c>
      <c r="UM1" t="s">
        <v>2085</v>
      </c>
      <c r="UN1" t="s">
        <v>2086</v>
      </c>
      <c r="UO1" t="s">
        <v>2087</v>
      </c>
      <c r="UP1" t="s">
        <v>2088</v>
      </c>
      <c r="UQ1" t="s">
        <v>2089</v>
      </c>
      <c r="UR1" t="s">
        <v>2090</v>
      </c>
      <c r="US1" t="s">
        <v>2091</v>
      </c>
      <c r="UT1" t="s">
        <v>2092</v>
      </c>
      <c r="UU1" t="s">
        <v>2093</v>
      </c>
      <c r="UV1" t="s">
        <v>2094</v>
      </c>
      <c r="UW1" t="s">
        <v>2095</v>
      </c>
      <c r="UX1" t="s">
        <v>2096</v>
      </c>
      <c r="UY1" t="s">
        <v>2097</v>
      </c>
      <c r="UZ1" t="s">
        <v>2098</v>
      </c>
      <c r="VA1" t="s">
        <v>2099</v>
      </c>
      <c r="VB1" t="s">
        <v>2100</v>
      </c>
      <c r="VC1" t="s">
        <v>2101</v>
      </c>
      <c r="VD1" t="s">
        <v>2102</v>
      </c>
      <c r="VE1" t="s">
        <v>2103</v>
      </c>
      <c r="VF1" t="s">
        <v>2104</v>
      </c>
      <c r="VG1" t="s">
        <v>2105</v>
      </c>
      <c r="VH1" t="s">
        <v>2106</v>
      </c>
      <c r="VI1" t="s">
        <v>2107</v>
      </c>
      <c r="VJ1" t="s">
        <v>2108</v>
      </c>
      <c r="VK1" t="s">
        <v>2109</v>
      </c>
      <c r="VL1" t="s">
        <v>2110</v>
      </c>
      <c r="VM1" t="s">
        <v>2111</v>
      </c>
      <c r="VN1" t="s">
        <v>2112</v>
      </c>
      <c r="VO1" t="s">
        <v>2113</v>
      </c>
      <c r="VP1" t="s">
        <v>2114</v>
      </c>
      <c r="VQ1" t="s">
        <v>2115</v>
      </c>
      <c r="VR1" t="s">
        <v>2116</v>
      </c>
      <c r="VS1" t="s">
        <v>2117</v>
      </c>
      <c r="VT1" t="s">
        <v>2118</v>
      </c>
      <c r="VU1" t="s">
        <v>2119</v>
      </c>
      <c r="VV1" t="s">
        <v>2120</v>
      </c>
      <c r="VW1" t="s">
        <v>2121</v>
      </c>
      <c r="VX1" t="s">
        <v>2122</v>
      </c>
      <c r="VY1" t="s">
        <v>2123</v>
      </c>
      <c r="VZ1" t="s">
        <v>2124</v>
      </c>
      <c r="WA1" t="s">
        <v>2125</v>
      </c>
      <c r="WB1" t="s">
        <v>2126</v>
      </c>
      <c r="WC1" t="s">
        <v>2127</v>
      </c>
      <c r="WD1" t="s">
        <v>2128</v>
      </c>
      <c r="WE1" t="s">
        <v>2129</v>
      </c>
      <c r="WF1" t="s">
        <v>2130</v>
      </c>
      <c r="WG1" t="s">
        <v>2131</v>
      </c>
      <c r="WH1" t="s">
        <v>2132</v>
      </c>
      <c r="WI1" t="s">
        <v>2133</v>
      </c>
      <c r="WJ1" t="s">
        <v>2134</v>
      </c>
      <c r="WK1" t="s">
        <v>2135</v>
      </c>
      <c r="WL1" t="s">
        <v>2136</v>
      </c>
      <c r="WM1" t="s">
        <v>2137</v>
      </c>
      <c r="WN1" t="s">
        <v>2138</v>
      </c>
      <c r="WO1" t="s">
        <v>2139</v>
      </c>
      <c r="WP1" t="s">
        <v>2140</v>
      </c>
      <c r="WQ1" t="s">
        <v>2141</v>
      </c>
      <c r="WR1" t="s">
        <v>2142</v>
      </c>
      <c r="WS1" t="s">
        <v>2143</v>
      </c>
      <c r="WT1" t="s">
        <v>2144</v>
      </c>
      <c r="WU1" t="s">
        <v>2145</v>
      </c>
      <c r="WV1" t="s">
        <v>2146</v>
      </c>
      <c r="WW1" t="s">
        <v>2147</v>
      </c>
      <c r="WX1" t="s">
        <v>2148</v>
      </c>
      <c r="WY1" t="s">
        <v>2149</v>
      </c>
      <c r="WZ1" t="s">
        <v>2150</v>
      </c>
      <c r="XA1" t="s">
        <v>2151</v>
      </c>
      <c r="XB1" t="s">
        <v>2152</v>
      </c>
      <c r="XC1" t="s">
        <v>2153</v>
      </c>
      <c r="XD1" t="s">
        <v>2154</v>
      </c>
      <c r="XE1" t="s">
        <v>2155</v>
      </c>
      <c r="XF1" t="s">
        <v>2156</v>
      </c>
      <c r="XG1" t="s">
        <v>2157</v>
      </c>
      <c r="XH1" t="s">
        <v>2158</v>
      </c>
      <c r="XI1" t="s">
        <v>2159</v>
      </c>
      <c r="XJ1" t="s">
        <v>2160</v>
      </c>
      <c r="XK1" t="s">
        <v>2161</v>
      </c>
      <c r="XL1" t="s">
        <v>2162</v>
      </c>
      <c r="XM1" t="s">
        <v>2163</v>
      </c>
      <c r="XN1" t="s">
        <v>2164</v>
      </c>
      <c r="XO1" t="s">
        <v>2165</v>
      </c>
      <c r="XP1" t="s">
        <v>2166</v>
      </c>
      <c r="XQ1" t="s">
        <v>2167</v>
      </c>
      <c r="XR1" t="s">
        <v>2168</v>
      </c>
      <c r="XS1" t="s">
        <v>2169</v>
      </c>
      <c r="XT1" t="s">
        <v>2170</v>
      </c>
      <c r="XU1" t="s">
        <v>2171</v>
      </c>
      <c r="XV1" t="s">
        <v>2172</v>
      </c>
      <c r="XW1" t="s">
        <v>2173</v>
      </c>
      <c r="XX1" t="s">
        <v>2174</v>
      </c>
      <c r="XY1" t="s">
        <v>2175</v>
      </c>
      <c r="XZ1" t="s">
        <v>2176</v>
      </c>
      <c r="YA1" t="s">
        <v>2177</v>
      </c>
      <c r="YB1" t="s">
        <v>2178</v>
      </c>
      <c r="YC1" t="s">
        <v>2179</v>
      </c>
      <c r="YD1" t="s">
        <v>2180</v>
      </c>
      <c r="YE1" t="s">
        <v>2181</v>
      </c>
      <c r="YF1" t="s">
        <v>2182</v>
      </c>
      <c r="YG1" t="s">
        <v>2183</v>
      </c>
      <c r="YH1" t="s">
        <v>2184</v>
      </c>
      <c r="YI1" t="s">
        <v>2185</v>
      </c>
      <c r="YJ1" t="s">
        <v>2186</v>
      </c>
      <c r="YK1" t="s">
        <v>2187</v>
      </c>
      <c r="YL1" t="s">
        <v>2188</v>
      </c>
      <c r="YM1" t="s">
        <v>2189</v>
      </c>
      <c r="YN1" t="s">
        <v>2190</v>
      </c>
      <c r="YO1" t="s">
        <v>2191</v>
      </c>
      <c r="YP1" t="s">
        <v>2192</v>
      </c>
      <c r="YQ1" t="s">
        <v>2193</v>
      </c>
      <c r="YR1" t="s">
        <v>2194</v>
      </c>
      <c r="YS1" t="s">
        <v>2195</v>
      </c>
      <c r="YT1" t="s">
        <v>2196</v>
      </c>
      <c r="YU1" t="s">
        <v>2197</v>
      </c>
      <c r="YV1" t="s">
        <v>2198</v>
      </c>
      <c r="YW1" t="s">
        <v>2199</v>
      </c>
      <c r="YX1" t="s">
        <v>2200</v>
      </c>
      <c r="YY1" t="s">
        <v>2201</v>
      </c>
      <c r="YZ1" t="s">
        <v>2202</v>
      </c>
      <c r="ZA1" t="s">
        <v>2203</v>
      </c>
      <c r="ZB1" t="s">
        <v>2204</v>
      </c>
      <c r="ZC1" t="s">
        <v>2205</v>
      </c>
      <c r="ZD1" t="s">
        <v>2206</v>
      </c>
      <c r="ZE1" t="s">
        <v>2207</v>
      </c>
      <c r="ZF1" t="s">
        <v>2208</v>
      </c>
      <c r="ZG1" t="s">
        <v>2209</v>
      </c>
      <c r="ZH1" t="s">
        <v>2210</v>
      </c>
      <c r="ZI1" t="s">
        <v>2211</v>
      </c>
      <c r="ZJ1" t="s">
        <v>2212</v>
      </c>
      <c r="ZK1" t="s">
        <v>2213</v>
      </c>
      <c r="ZL1" t="s">
        <v>2214</v>
      </c>
      <c r="ZM1" t="s">
        <v>2215</v>
      </c>
      <c r="ZN1" t="s">
        <v>2216</v>
      </c>
      <c r="ZO1" t="s">
        <v>2217</v>
      </c>
      <c r="ZP1" t="s">
        <v>2218</v>
      </c>
      <c r="ZQ1" t="s">
        <v>2219</v>
      </c>
      <c r="ZR1" t="s">
        <v>2220</v>
      </c>
      <c r="ZS1" t="s">
        <v>2221</v>
      </c>
      <c r="ZT1" t="s">
        <v>2222</v>
      </c>
      <c r="ZU1" t="s">
        <v>2223</v>
      </c>
      <c r="ZV1" t="s">
        <v>2224</v>
      </c>
      <c r="ZW1" t="s">
        <v>2225</v>
      </c>
      <c r="ZX1" t="s">
        <v>2226</v>
      </c>
      <c r="ZY1" t="s">
        <v>2227</v>
      </c>
      <c r="ZZ1" t="s">
        <v>2228</v>
      </c>
      <c r="AAA1" t="s">
        <v>2229</v>
      </c>
      <c r="AAB1" t="s">
        <v>2230</v>
      </c>
      <c r="AAC1" t="s">
        <v>2231</v>
      </c>
      <c r="AAD1" t="s">
        <v>2232</v>
      </c>
      <c r="AAE1" t="s">
        <v>2233</v>
      </c>
      <c r="AAF1" t="s">
        <v>2234</v>
      </c>
      <c r="AAG1" t="s">
        <v>2235</v>
      </c>
      <c r="AAH1" t="s">
        <v>2236</v>
      </c>
      <c r="AAI1" t="s">
        <v>2237</v>
      </c>
      <c r="AAJ1" t="s">
        <v>2238</v>
      </c>
      <c r="AAK1" t="s">
        <v>2239</v>
      </c>
      <c r="AAL1" t="s">
        <v>2240</v>
      </c>
      <c r="AAM1" t="s">
        <v>2241</v>
      </c>
      <c r="AAN1" t="s">
        <v>2242</v>
      </c>
      <c r="AAO1" t="s">
        <v>2243</v>
      </c>
      <c r="AAP1" t="s">
        <v>2244</v>
      </c>
      <c r="AAQ1" t="s">
        <v>2245</v>
      </c>
      <c r="AAR1" t="s">
        <v>2246</v>
      </c>
      <c r="AAS1" t="s">
        <v>2247</v>
      </c>
      <c r="AAT1" t="s">
        <v>2248</v>
      </c>
      <c r="AAU1" t="s">
        <v>2249</v>
      </c>
      <c r="AAV1" t="s">
        <v>2250</v>
      </c>
      <c r="AAW1" t="s">
        <v>2251</v>
      </c>
      <c r="AAX1" t="s">
        <v>2252</v>
      </c>
      <c r="AAY1" t="s">
        <v>2253</v>
      </c>
      <c r="AAZ1" t="s">
        <v>2254</v>
      </c>
      <c r="ABA1" t="s">
        <v>2255</v>
      </c>
      <c r="ABB1" t="s">
        <v>2256</v>
      </c>
      <c r="ABC1" t="s">
        <v>2257</v>
      </c>
      <c r="ABD1" t="s">
        <v>2258</v>
      </c>
      <c r="ABE1" t="s">
        <v>2259</v>
      </c>
      <c r="ABF1" t="s">
        <v>2260</v>
      </c>
      <c r="ABG1" t="s">
        <v>2261</v>
      </c>
      <c r="ABH1" t="s">
        <v>2262</v>
      </c>
      <c r="ABI1" t="s">
        <v>2263</v>
      </c>
      <c r="ABJ1" t="s">
        <v>2264</v>
      </c>
      <c r="ABK1" t="s">
        <v>2265</v>
      </c>
      <c r="ABL1" t="s">
        <v>2266</v>
      </c>
      <c r="ABM1" t="s">
        <v>2267</v>
      </c>
      <c r="ABN1" t="s">
        <v>2268</v>
      </c>
      <c r="ABO1" t="s">
        <v>2269</v>
      </c>
      <c r="ABP1" t="s">
        <v>2270</v>
      </c>
      <c r="ABQ1" t="s">
        <v>2271</v>
      </c>
      <c r="ABR1" t="s">
        <v>2272</v>
      </c>
      <c r="ABS1" t="s">
        <v>2273</v>
      </c>
      <c r="ABT1" t="s">
        <v>2274</v>
      </c>
      <c r="ABU1" t="s">
        <v>2275</v>
      </c>
      <c r="ABV1" t="s">
        <v>2276</v>
      </c>
      <c r="ABW1" t="s">
        <v>2277</v>
      </c>
      <c r="ABX1" t="s">
        <v>2278</v>
      </c>
      <c r="ABY1" t="s">
        <v>2279</v>
      </c>
      <c r="ABZ1" t="s">
        <v>2280</v>
      </c>
      <c r="ACA1" t="s">
        <v>2281</v>
      </c>
      <c r="ACB1" t="s">
        <v>2282</v>
      </c>
      <c r="ACC1" t="s">
        <v>2283</v>
      </c>
      <c r="ACD1" t="s">
        <v>2284</v>
      </c>
      <c r="ACE1" t="s">
        <v>2285</v>
      </c>
      <c r="ACF1" t="s">
        <v>2286</v>
      </c>
      <c r="ACG1" t="s">
        <v>2287</v>
      </c>
      <c r="ACH1" t="s">
        <v>2288</v>
      </c>
      <c r="ACI1" t="s">
        <v>2289</v>
      </c>
      <c r="ACJ1" t="s">
        <v>2290</v>
      </c>
      <c r="ACK1" t="s">
        <v>2291</v>
      </c>
      <c r="ACL1" t="s">
        <v>2292</v>
      </c>
      <c r="ACM1" t="s">
        <v>2293</v>
      </c>
      <c r="ACN1" t="s">
        <v>2294</v>
      </c>
      <c r="ACO1" t="s">
        <v>2295</v>
      </c>
      <c r="ACP1" t="s">
        <v>2296</v>
      </c>
      <c r="ACQ1" t="s">
        <v>2297</v>
      </c>
      <c r="ACR1" t="s">
        <v>2298</v>
      </c>
      <c r="ACS1" t="s">
        <v>2299</v>
      </c>
      <c r="ACT1" t="s">
        <v>2300</v>
      </c>
      <c r="ACU1" t="s">
        <v>2301</v>
      </c>
      <c r="ACV1" t="s">
        <v>2302</v>
      </c>
      <c r="ACW1" t="s">
        <v>2303</v>
      </c>
      <c r="ACX1" t="s">
        <v>2304</v>
      </c>
      <c r="ACY1" t="s">
        <v>2305</v>
      </c>
      <c r="ACZ1" t="s">
        <v>2306</v>
      </c>
      <c r="ADA1" t="s">
        <v>2307</v>
      </c>
      <c r="ADB1" t="s">
        <v>2308</v>
      </c>
      <c r="ADC1" t="s">
        <v>2309</v>
      </c>
      <c r="ADD1" t="s">
        <v>2310</v>
      </c>
      <c r="ADE1" t="s">
        <v>2311</v>
      </c>
      <c r="ADF1" t="s">
        <v>2312</v>
      </c>
      <c r="ADG1" t="s">
        <v>2313</v>
      </c>
      <c r="ADH1" t="s">
        <v>2314</v>
      </c>
      <c r="ADI1" t="s">
        <v>2315</v>
      </c>
      <c r="ADJ1" t="s">
        <v>2316</v>
      </c>
      <c r="ADK1" t="s">
        <v>2317</v>
      </c>
      <c r="ADL1" t="s">
        <v>2318</v>
      </c>
      <c r="ADM1" t="s">
        <v>2319</v>
      </c>
      <c r="ADN1" t="s">
        <v>2320</v>
      </c>
      <c r="ADO1" t="s">
        <v>2321</v>
      </c>
      <c r="ADP1" t="s">
        <v>2322</v>
      </c>
      <c r="ADQ1" t="s">
        <v>2323</v>
      </c>
      <c r="ADR1" t="s">
        <v>2324</v>
      </c>
      <c r="ADS1" t="s">
        <v>2325</v>
      </c>
      <c r="ADT1" t="s">
        <v>2326</v>
      </c>
      <c r="ADU1" t="s">
        <v>2327</v>
      </c>
      <c r="ADV1" t="s">
        <v>2328</v>
      </c>
      <c r="ADW1" t="s">
        <v>2329</v>
      </c>
      <c r="ADX1" t="s">
        <v>2330</v>
      </c>
      <c r="ADY1" t="s">
        <v>2331</v>
      </c>
      <c r="ADZ1" t="s">
        <v>2332</v>
      </c>
      <c r="AEA1" t="s">
        <v>2333</v>
      </c>
      <c r="AEB1" t="s">
        <v>2334</v>
      </c>
      <c r="AEC1" t="s">
        <v>2335</v>
      </c>
      <c r="AED1" t="s">
        <v>2336</v>
      </c>
      <c r="AEE1" t="s">
        <v>2337</v>
      </c>
      <c r="AEF1" t="s">
        <v>2338</v>
      </c>
      <c r="AEG1" t="s">
        <v>2339</v>
      </c>
      <c r="AEH1" t="s">
        <v>2340</v>
      </c>
      <c r="AEI1" t="s">
        <v>2341</v>
      </c>
      <c r="AEJ1" t="s">
        <v>2342</v>
      </c>
      <c r="AEK1" t="s">
        <v>2343</v>
      </c>
      <c r="AEL1" t="s">
        <v>2344</v>
      </c>
      <c r="AEM1" t="s">
        <v>2345</v>
      </c>
      <c r="AEN1" t="s">
        <v>2346</v>
      </c>
      <c r="AEO1" t="s">
        <v>2347</v>
      </c>
      <c r="AEP1" t="s">
        <v>2348</v>
      </c>
      <c r="AEQ1" t="s">
        <v>2349</v>
      </c>
      <c r="AER1" t="s">
        <v>2350</v>
      </c>
      <c r="AES1" t="s">
        <v>2351</v>
      </c>
      <c r="AET1" t="s">
        <v>2352</v>
      </c>
      <c r="AEU1" t="s">
        <v>2353</v>
      </c>
      <c r="AEV1" t="s">
        <v>2354</v>
      </c>
      <c r="AEW1" t="s">
        <v>2355</v>
      </c>
      <c r="AEX1" t="s">
        <v>2356</v>
      </c>
      <c r="AEY1" t="s">
        <v>2357</v>
      </c>
      <c r="AEZ1" t="s">
        <v>2358</v>
      </c>
      <c r="AFA1" t="s">
        <v>2359</v>
      </c>
      <c r="AFB1" t="s">
        <v>2360</v>
      </c>
      <c r="AFC1" t="s">
        <v>2361</v>
      </c>
      <c r="AFD1" t="s">
        <v>2362</v>
      </c>
      <c r="AFE1" t="s">
        <v>2363</v>
      </c>
      <c r="AFF1" t="s">
        <v>2364</v>
      </c>
      <c r="AFG1" t="s">
        <v>2365</v>
      </c>
      <c r="AFH1" t="s">
        <v>2366</v>
      </c>
      <c r="AFI1" t="s">
        <v>2367</v>
      </c>
      <c r="AFJ1" t="s">
        <v>2368</v>
      </c>
      <c r="AFK1" t="s">
        <v>2369</v>
      </c>
      <c r="AFL1" t="s">
        <v>2370</v>
      </c>
      <c r="AFM1" t="s">
        <v>2371</v>
      </c>
      <c r="AFN1" t="s">
        <v>2372</v>
      </c>
      <c r="AFO1" t="s">
        <v>2373</v>
      </c>
      <c r="AFP1" t="s">
        <v>2374</v>
      </c>
      <c r="AFQ1" t="s">
        <v>2375</v>
      </c>
      <c r="AFR1" t="s">
        <v>2376</v>
      </c>
      <c r="AFS1" t="s">
        <v>2377</v>
      </c>
      <c r="AFT1" t="s">
        <v>2378</v>
      </c>
      <c r="AFU1" t="s">
        <v>2379</v>
      </c>
      <c r="AFV1" t="s">
        <v>2380</v>
      </c>
      <c r="AFW1" t="s">
        <v>2381</v>
      </c>
      <c r="AFX1" t="s">
        <v>2382</v>
      </c>
      <c r="AFY1" t="s">
        <v>2383</v>
      </c>
      <c r="AFZ1" t="s">
        <v>2384</v>
      </c>
      <c r="AGA1" t="s">
        <v>2385</v>
      </c>
      <c r="AGB1" t="s">
        <v>2386</v>
      </c>
      <c r="AGC1" t="s">
        <v>2387</v>
      </c>
      <c r="AGD1" t="s">
        <v>2388</v>
      </c>
      <c r="AGE1" t="s">
        <v>2389</v>
      </c>
      <c r="AGF1" t="s">
        <v>2390</v>
      </c>
      <c r="AGG1" t="s">
        <v>2391</v>
      </c>
      <c r="AGH1" t="s">
        <v>2392</v>
      </c>
      <c r="AGI1" t="s">
        <v>2393</v>
      </c>
      <c r="AGJ1" t="s">
        <v>2394</v>
      </c>
      <c r="AGK1" t="s">
        <v>2395</v>
      </c>
      <c r="AGL1" t="s">
        <v>2396</v>
      </c>
      <c r="AGM1" t="s">
        <v>2397</v>
      </c>
      <c r="AGN1" t="s">
        <v>2398</v>
      </c>
      <c r="AGO1" t="s">
        <v>2399</v>
      </c>
      <c r="AGP1" t="s">
        <v>2400</v>
      </c>
      <c r="AGQ1" t="s">
        <v>2401</v>
      </c>
      <c r="AGR1" t="s">
        <v>2402</v>
      </c>
      <c r="AGS1" t="s">
        <v>2403</v>
      </c>
      <c r="AGT1" t="s">
        <v>2404</v>
      </c>
      <c r="AGU1" t="s">
        <v>2405</v>
      </c>
      <c r="AGV1" t="s">
        <v>2406</v>
      </c>
      <c r="AGW1" t="s">
        <v>2407</v>
      </c>
      <c r="AGX1" t="s">
        <v>2408</v>
      </c>
      <c r="AGY1" t="s">
        <v>2409</v>
      </c>
      <c r="AGZ1" t="s">
        <v>2410</v>
      </c>
      <c r="AHA1" t="s">
        <v>2411</v>
      </c>
      <c r="AHB1" t="s">
        <v>2412</v>
      </c>
      <c r="AHC1" t="s">
        <v>2413</v>
      </c>
      <c r="AHD1" t="s">
        <v>2414</v>
      </c>
      <c r="AHE1" t="s">
        <v>2415</v>
      </c>
      <c r="AHF1" t="s">
        <v>2416</v>
      </c>
      <c r="AHG1" t="s">
        <v>2417</v>
      </c>
      <c r="AHH1" t="s">
        <v>2418</v>
      </c>
      <c r="AHI1" t="s">
        <v>2419</v>
      </c>
      <c r="AHJ1" t="s">
        <v>2420</v>
      </c>
      <c r="AHK1" t="s">
        <v>2421</v>
      </c>
      <c r="AHL1" t="s">
        <v>2422</v>
      </c>
      <c r="AHM1" t="s">
        <v>2423</v>
      </c>
      <c r="AHN1" t="s">
        <v>2424</v>
      </c>
      <c r="AHO1" t="s">
        <v>2425</v>
      </c>
      <c r="AHP1" t="s">
        <v>2426</v>
      </c>
      <c r="AHQ1" t="s">
        <v>2427</v>
      </c>
      <c r="AHR1" t="s">
        <v>2428</v>
      </c>
      <c r="AHS1" t="s">
        <v>2429</v>
      </c>
      <c r="AHT1" t="s">
        <v>2430</v>
      </c>
      <c r="AHU1" t="s">
        <v>2431</v>
      </c>
      <c r="AHV1" t="s">
        <v>2432</v>
      </c>
      <c r="AHW1" t="s">
        <v>2433</v>
      </c>
      <c r="AHX1" t="s">
        <v>2434</v>
      </c>
      <c r="AHY1" t="s">
        <v>2435</v>
      </c>
      <c r="AHZ1" t="s">
        <v>2436</v>
      </c>
      <c r="AIA1" t="s">
        <v>2437</v>
      </c>
      <c r="AIB1" t="s">
        <v>2438</v>
      </c>
      <c r="AIC1" t="s">
        <v>2439</v>
      </c>
      <c r="AID1" t="s">
        <v>2440</v>
      </c>
      <c r="AIE1" t="s">
        <v>2441</v>
      </c>
      <c r="AIF1" t="s">
        <v>2442</v>
      </c>
      <c r="AIG1" t="s">
        <v>2443</v>
      </c>
      <c r="AIH1" t="s">
        <v>2444</v>
      </c>
      <c r="AII1" t="s">
        <v>2445</v>
      </c>
      <c r="AIJ1" t="s">
        <v>2446</v>
      </c>
      <c r="AIK1" t="s">
        <v>2447</v>
      </c>
      <c r="AIL1" t="s">
        <v>2448</v>
      </c>
      <c r="AIM1" t="s">
        <v>2449</v>
      </c>
      <c r="AIN1" t="s">
        <v>2450</v>
      </c>
      <c r="AIO1" t="s">
        <v>2451</v>
      </c>
      <c r="AIP1" t="s">
        <v>2452</v>
      </c>
      <c r="AIQ1" t="s">
        <v>2453</v>
      </c>
      <c r="AIR1" t="s">
        <v>2454</v>
      </c>
      <c r="AIS1" t="s">
        <v>2455</v>
      </c>
      <c r="AIT1" t="s">
        <v>2456</v>
      </c>
      <c r="AIU1" t="s">
        <v>2457</v>
      </c>
      <c r="AIV1" t="s">
        <v>2458</v>
      </c>
      <c r="AIW1" t="s">
        <v>2459</v>
      </c>
      <c r="AIX1" t="s">
        <v>2460</v>
      </c>
      <c r="AIY1" t="s">
        <v>2461</v>
      </c>
      <c r="AIZ1" t="s">
        <v>2462</v>
      </c>
      <c r="AJA1" t="s">
        <v>2463</v>
      </c>
      <c r="AJB1" t="s">
        <v>2464</v>
      </c>
      <c r="AJC1" t="s">
        <v>2465</v>
      </c>
      <c r="AJD1" t="s">
        <v>2466</v>
      </c>
      <c r="AJE1" t="s">
        <v>2467</v>
      </c>
      <c r="AJF1" t="s">
        <v>2468</v>
      </c>
      <c r="AJG1" t="s">
        <v>2469</v>
      </c>
      <c r="AJH1" t="s">
        <v>2470</v>
      </c>
      <c r="AJI1" t="s">
        <v>2471</v>
      </c>
      <c r="AJJ1" t="s">
        <v>2472</v>
      </c>
      <c r="AJK1" t="s">
        <v>2473</v>
      </c>
      <c r="AJL1" t="s">
        <v>2474</v>
      </c>
      <c r="AJM1" t="s">
        <v>2475</v>
      </c>
      <c r="AJN1" t="s">
        <v>2476</v>
      </c>
      <c r="AJO1" t="s">
        <v>2477</v>
      </c>
      <c r="AJP1" t="s">
        <v>2478</v>
      </c>
      <c r="AJQ1" t="s">
        <v>2479</v>
      </c>
      <c r="AJR1" t="s">
        <v>2480</v>
      </c>
      <c r="AJS1" t="s">
        <v>2481</v>
      </c>
      <c r="AJT1" t="s">
        <v>2482</v>
      </c>
      <c r="AJU1" t="s">
        <v>2483</v>
      </c>
      <c r="AJV1" t="s">
        <v>2484</v>
      </c>
      <c r="AJW1" t="s">
        <v>2485</v>
      </c>
      <c r="AJX1" t="s">
        <v>2486</v>
      </c>
      <c r="AJY1" t="s">
        <v>2487</v>
      </c>
      <c r="AJZ1" t="s">
        <v>2488</v>
      </c>
      <c r="AKA1" t="s">
        <v>2489</v>
      </c>
      <c r="AKB1" t="s">
        <v>2490</v>
      </c>
      <c r="AKC1" t="s">
        <v>2491</v>
      </c>
      <c r="AKD1" t="s">
        <v>2492</v>
      </c>
      <c r="AKE1" t="s">
        <v>2493</v>
      </c>
      <c r="AKF1" t="s">
        <v>2494</v>
      </c>
      <c r="AKG1" t="s">
        <v>2495</v>
      </c>
      <c r="AKH1" t="s">
        <v>2496</v>
      </c>
      <c r="AKI1" t="s">
        <v>2497</v>
      </c>
      <c r="AKJ1" t="s">
        <v>2498</v>
      </c>
      <c r="AKK1" t="s">
        <v>2499</v>
      </c>
      <c r="AKL1" t="s">
        <v>2500</v>
      </c>
      <c r="AKM1" t="s">
        <v>2501</v>
      </c>
      <c r="AKN1" t="s">
        <v>2502</v>
      </c>
      <c r="AKO1" t="s">
        <v>2503</v>
      </c>
      <c r="AKP1" t="s">
        <v>2504</v>
      </c>
      <c r="AKQ1" t="s">
        <v>2505</v>
      </c>
      <c r="AKR1" t="s">
        <v>2506</v>
      </c>
      <c r="AKS1" t="s">
        <v>2507</v>
      </c>
      <c r="AKT1" t="s">
        <v>2508</v>
      </c>
      <c r="AKU1" t="s">
        <v>2509</v>
      </c>
      <c r="AKV1" t="s">
        <v>2510</v>
      </c>
      <c r="AKW1" t="s">
        <v>2511</v>
      </c>
      <c r="AKX1" t="s">
        <v>2512</v>
      </c>
      <c r="AKY1" t="s">
        <v>2513</v>
      </c>
      <c r="AKZ1" t="s">
        <v>2514</v>
      </c>
      <c r="ALA1" t="s">
        <v>2515</v>
      </c>
      <c r="ALB1" t="s">
        <v>2516</v>
      </c>
      <c r="ALC1" t="s">
        <v>2517</v>
      </c>
      <c r="ALD1" t="s">
        <v>2518</v>
      </c>
      <c r="ALE1" t="s">
        <v>2519</v>
      </c>
      <c r="ALF1" t="s">
        <v>2520</v>
      </c>
      <c r="ALG1" t="s">
        <v>2521</v>
      </c>
      <c r="ALH1" t="s">
        <v>2522</v>
      </c>
      <c r="ALI1" t="s">
        <v>2523</v>
      </c>
      <c r="ALJ1" t="s">
        <v>2524</v>
      </c>
      <c r="ALK1" t="s">
        <v>2525</v>
      </c>
      <c r="ALL1" t="s">
        <v>2526</v>
      </c>
      <c r="ALM1" t="s">
        <v>2527</v>
      </c>
      <c r="ALN1" t="s">
        <v>2528</v>
      </c>
      <c r="ALO1" t="s">
        <v>2529</v>
      </c>
      <c r="ALP1" t="s">
        <v>2530</v>
      </c>
      <c r="ALQ1" t="s">
        <v>2531</v>
      </c>
      <c r="ALR1" t="s">
        <v>2532</v>
      </c>
      <c r="ALS1" t="s">
        <v>2533</v>
      </c>
      <c r="ALT1" t="s">
        <v>2534</v>
      </c>
      <c r="ALU1" t="s">
        <v>2535</v>
      </c>
      <c r="ALV1" t="s">
        <v>2536</v>
      </c>
      <c r="ALW1" t="s">
        <v>2537</v>
      </c>
      <c r="ALX1" t="s">
        <v>2538</v>
      </c>
      <c r="ALY1" t="s">
        <v>2539</v>
      </c>
      <c r="ALZ1" t="s">
        <v>2540</v>
      </c>
      <c r="AMA1" t="s">
        <v>2541</v>
      </c>
      <c r="AMB1" t="s">
        <v>2542</v>
      </c>
      <c r="AMC1" t="s">
        <v>2543</v>
      </c>
      <c r="AMD1" t="s">
        <v>2544</v>
      </c>
      <c r="AME1" t="s">
        <v>2545</v>
      </c>
      <c r="AMF1" t="s">
        <v>2546</v>
      </c>
      <c r="AMG1" t="s">
        <v>2547</v>
      </c>
      <c r="AMH1" t="s">
        <v>2548</v>
      </c>
      <c r="AMI1" t="s">
        <v>2549</v>
      </c>
      <c r="AMJ1" t="s">
        <v>2550</v>
      </c>
      <c r="AMK1" t="s">
        <v>2551</v>
      </c>
      <c r="AML1" t="s">
        <v>2552</v>
      </c>
      <c r="AMM1" t="s">
        <v>2553</v>
      </c>
      <c r="AMN1" t="s">
        <v>2554</v>
      </c>
      <c r="AMO1" t="s">
        <v>2555</v>
      </c>
      <c r="AMP1" t="s">
        <v>2556</v>
      </c>
      <c r="AMQ1" t="s">
        <v>2557</v>
      </c>
      <c r="AMR1" t="s">
        <v>2558</v>
      </c>
      <c r="AMS1" t="s">
        <v>2559</v>
      </c>
      <c r="AMT1" t="s">
        <v>2560</v>
      </c>
      <c r="AMU1" t="s">
        <v>2561</v>
      </c>
      <c r="AMV1" t="s">
        <v>2562</v>
      </c>
      <c r="AMW1" t="s">
        <v>2563</v>
      </c>
      <c r="AMX1" t="s">
        <v>2564</v>
      </c>
      <c r="AMY1" t="s">
        <v>2565</v>
      </c>
      <c r="AMZ1" t="s">
        <v>2566</v>
      </c>
      <c r="ANA1" t="s">
        <v>2567</v>
      </c>
      <c r="ANB1" t="s">
        <v>2568</v>
      </c>
      <c r="ANC1" t="s">
        <v>2569</v>
      </c>
      <c r="AND1" t="s">
        <v>2570</v>
      </c>
      <c r="ANE1" t="s">
        <v>2571</v>
      </c>
      <c r="ANF1" t="s">
        <v>2572</v>
      </c>
      <c r="ANG1" t="s">
        <v>2573</v>
      </c>
      <c r="ANH1" t="s">
        <v>2574</v>
      </c>
      <c r="ANI1" t="s">
        <v>2575</v>
      </c>
      <c r="ANJ1" t="s">
        <v>2576</v>
      </c>
      <c r="ANK1" t="s">
        <v>2577</v>
      </c>
      <c r="ANL1" t="s">
        <v>2578</v>
      </c>
      <c r="ANM1" t="s">
        <v>2579</v>
      </c>
      <c r="ANN1" t="s">
        <v>2580</v>
      </c>
      <c r="ANO1" t="s">
        <v>2581</v>
      </c>
      <c r="ANP1" t="s">
        <v>2582</v>
      </c>
      <c r="ANQ1" t="s">
        <v>2583</v>
      </c>
      <c r="ANR1" t="s">
        <v>2584</v>
      </c>
      <c r="ANS1" t="s">
        <v>2585</v>
      </c>
      <c r="ANT1" t="s">
        <v>2586</v>
      </c>
      <c r="ANU1" t="s">
        <v>2587</v>
      </c>
      <c r="ANV1" t="s">
        <v>2588</v>
      </c>
      <c r="ANW1" t="s">
        <v>2589</v>
      </c>
      <c r="ANX1" t="s">
        <v>2590</v>
      </c>
      <c r="ANY1" t="s">
        <v>2591</v>
      </c>
      <c r="ANZ1" t="s">
        <v>2592</v>
      </c>
      <c r="AOA1" t="s">
        <v>2593</v>
      </c>
      <c r="AOB1" t="s">
        <v>2594</v>
      </c>
      <c r="AOC1" t="s">
        <v>2595</v>
      </c>
      <c r="AOD1" t="s">
        <v>2596</v>
      </c>
      <c r="AOE1" t="s">
        <v>2597</v>
      </c>
      <c r="AOF1" t="s">
        <v>2598</v>
      </c>
      <c r="AOG1" t="s">
        <v>2599</v>
      </c>
      <c r="AOH1" t="s">
        <v>2600</v>
      </c>
      <c r="AOI1" t="s">
        <v>2601</v>
      </c>
      <c r="AOJ1" t="s">
        <v>2602</v>
      </c>
      <c r="AOK1" t="s">
        <v>2603</v>
      </c>
      <c r="AOL1" t="s">
        <v>2604</v>
      </c>
      <c r="AOM1" t="s">
        <v>2605</v>
      </c>
      <c r="AON1" t="s">
        <v>2606</v>
      </c>
      <c r="AOO1" t="s">
        <v>2607</v>
      </c>
      <c r="AOP1" t="s">
        <v>2608</v>
      </c>
      <c r="AOQ1" t="s">
        <v>2609</v>
      </c>
      <c r="AOR1" t="s">
        <v>2610</v>
      </c>
      <c r="AOS1" t="s">
        <v>2611</v>
      </c>
      <c r="AOT1" t="s">
        <v>2612</v>
      </c>
      <c r="AOU1" t="s">
        <v>2613</v>
      </c>
      <c r="AOV1" t="s">
        <v>2614</v>
      </c>
      <c r="AOW1" t="s">
        <v>2615</v>
      </c>
      <c r="AOX1" t="s">
        <v>2616</v>
      </c>
      <c r="AOY1" t="s">
        <v>2617</v>
      </c>
      <c r="AOZ1" t="s">
        <v>2618</v>
      </c>
      <c r="APA1" t="s">
        <v>2619</v>
      </c>
      <c r="APB1" t="s">
        <v>2620</v>
      </c>
      <c r="APC1" t="s">
        <v>2621</v>
      </c>
      <c r="APD1" t="s">
        <v>2622</v>
      </c>
      <c r="APE1" t="s">
        <v>2623</v>
      </c>
      <c r="APF1" t="s">
        <v>2624</v>
      </c>
      <c r="APG1" t="s">
        <v>2625</v>
      </c>
      <c r="APH1" t="s">
        <v>2626</v>
      </c>
      <c r="API1" t="s">
        <v>2627</v>
      </c>
      <c r="APJ1" t="s">
        <v>2628</v>
      </c>
      <c r="APK1" t="s">
        <v>2629</v>
      </c>
      <c r="APL1" t="s">
        <v>2630</v>
      </c>
      <c r="APM1" t="s">
        <v>2631</v>
      </c>
      <c r="APN1" t="s">
        <v>2632</v>
      </c>
      <c r="APO1" t="s">
        <v>2633</v>
      </c>
      <c r="APP1" t="s">
        <v>2634</v>
      </c>
      <c r="APQ1" t="s">
        <v>2635</v>
      </c>
      <c r="APR1" t="s">
        <v>2636</v>
      </c>
      <c r="APS1" t="s">
        <v>2637</v>
      </c>
      <c r="APT1" t="s">
        <v>2638</v>
      </c>
      <c r="APU1" t="s">
        <v>2639</v>
      </c>
      <c r="APV1" t="s">
        <v>2640</v>
      </c>
      <c r="APW1" t="s">
        <v>2641</v>
      </c>
      <c r="APX1" t="s">
        <v>2642</v>
      </c>
      <c r="APY1" t="s">
        <v>2643</v>
      </c>
      <c r="APZ1" t="s">
        <v>2644</v>
      </c>
      <c r="AQA1" t="s">
        <v>2645</v>
      </c>
      <c r="AQB1" t="s">
        <v>2646</v>
      </c>
      <c r="AQC1" t="s">
        <v>2647</v>
      </c>
      <c r="AQD1" t="s">
        <v>2648</v>
      </c>
      <c r="AQE1" t="s">
        <v>2649</v>
      </c>
      <c r="AQF1" t="s">
        <v>2650</v>
      </c>
      <c r="AQG1" t="s">
        <v>2651</v>
      </c>
      <c r="AQH1" t="s">
        <v>2652</v>
      </c>
      <c r="AQI1" t="s">
        <v>2653</v>
      </c>
      <c r="AQJ1" t="s">
        <v>2654</v>
      </c>
      <c r="AQK1" t="s">
        <v>2655</v>
      </c>
      <c r="AQL1" t="s">
        <v>2656</v>
      </c>
      <c r="AQM1" t="s">
        <v>2657</v>
      </c>
      <c r="AQN1" t="s">
        <v>2658</v>
      </c>
      <c r="AQO1" t="s">
        <v>2659</v>
      </c>
      <c r="AQP1" t="s">
        <v>2660</v>
      </c>
      <c r="AQQ1" t="s">
        <v>2661</v>
      </c>
      <c r="AQR1" t="s">
        <v>2662</v>
      </c>
      <c r="AQS1" t="s">
        <v>2663</v>
      </c>
      <c r="AQT1" t="s">
        <v>2664</v>
      </c>
      <c r="AQU1" t="s">
        <v>2665</v>
      </c>
      <c r="AQV1" t="s">
        <v>2666</v>
      </c>
      <c r="AQW1" t="s">
        <v>2667</v>
      </c>
      <c r="AQX1" t="s">
        <v>2668</v>
      </c>
      <c r="AQY1" t="s">
        <v>2669</v>
      </c>
      <c r="AQZ1" t="s">
        <v>2670</v>
      </c>
      <c r="ARA1" t="s">
        <v>2671</v>
      </c>
      <c r="ARB1" t="s">
        <v>2672</v>
      </c>
      <c r="ARC1" t="s">
        <v>2673</v>
      </c>
      <c r="ARD1" t="s">
        <v>2674</v>
      </c>
      <c r="ARE1" t="s">
        <v>2675</v>
      </c>
      <c r="ARF1" t="s">
        <v>2676</v>
      </c>
      <c r="ARG1" t="s">
        <v>2677</v>
      </c>
      <c r="ARH1" t="s">
        <v>2678</v>
      </c>
      <c r="ARI1" t="s">
        <v>2679</v>
      </c>
      <c r="ARJ1" t="s">
        <v>2680</v>
      </c>
      <c r="ARK1" t="s">
        <v>2681</v>
      </c>
      <c r="ARL1" t="s">
        <v>2682</v>
      </c>
      <c r="ARM1" t="s">
        <v>2683</v>
      </c>
      <c r="ARN1" t="s">
        <v>2684</v>
      </c>
      <c r="ARO1" t="s">
        <v>2685</v>
      </c>
      <c r="ARP1" t="s">
        <v>2686</v>
      </c>
      <c r="ARQ1" t="s">
        <v>2687</v>
      </c>
      <c r="ARR1" t="s">
        <v>2688</v>
      </c>
      <c r="ARS1" t="s">
        <v>2689</v>
      </c>
      <c r="ART1" t="s">
        <v>2690</v>
      </c>
      <c r="ARU1" t="s">
        <v>2691</v>
      </c>
      <c r="ARV1" t="s">
        <v>2692</v>
      </c>
      <c r="ARW1" t="s">
        <v>2693</v>
      </c>
      <c r="ARX1" t="s">
        <v>2694</v>
      </c>
      <c r="ARY1" t="s">
        <v>2695</v>
      </c>
      <c r="ARZ1" t="s">
        <v>2696</v>
      </c>
      <c r="ASA1" t="s">
        <v>2697</v>
      </c>
      <c r="ASB1" t="s">
        <v>2698</v>
      </c>
      <c r="ASC1" t="s">
        <v>2699</v>
      </c>
      <c r="ASD1" t="s">
        <v>2700</v>
      </c>
      <c r="ASE1" t="s">
        <v>2701</v>
      </c>
      <c r="ASF1" t="s">
        <v>2702</v>
      </c>
      <c r="ASG1" t="s">
        <v>2703</v>
      </c>
      <c r="ASH1" t="s">
        <v>2704</v>
      </c>
      <c r="ASI1" t="s">
        <v>2705</v>
      </c>
      <c r="ASJ1" t="s">
        <v>2706</v>
      </c>
      <c r="ASK1" t="s">
        <v>2707</v>
      </c>
      <c r="ASL1" t="s">
        <v>2708</v>
      </c>
      <c r="ASM1" t="s">
        <v>2709</v>
      </c>
      <c r="ASN1" t="s">
        <v>2710</v>
      </c>
      <c r="ASO1" t="s">
        <v>2711</v>
      </c>
      <c r="ASP1" t="s">
        <v>2712</v>
      </c>
      <c r="ASQ1" t="s">
        <v>2713</v>
      </c>
      <c r="ASR1" t="s">
        <v>2714</v>
      </c>
      <c r="ASS1" t="s">
        <v>2715</v>
      </c>
      <c r="AST1" t="s">
        <v>2716</v>
      </c>
      <c r="ASU1" t="s">
        <v>2717</v>
      </c>
      <c r="ASV1" t="s">
        <v>2718</v>
      </c>
      <c r="ASW1" t="s">
        <v>2719</v>
      </c>
      <c r="ASX1" t="s">
        <v>2720</v>
      </c>
      <c r="ASY1" t="s">
        <v>2721</v>
      </c>
      <c r="ASZ1" t="s">
        <v>2722</v>
      </c>
      <c r="ATA1" t="s">
        <v>2723</v>
      </c>
      <c r="ATB1" t="s">
        <v>2724</v>
      </c>
      <c r="ATC1" t="s">
        <v>2725</v>
      </c>
      <c r="ATD1" t="s">
        <v>2726</v>
      </c>
      <c r="ATE1" t="s">
        <v>2727</v>
      </c>
      <c r="ATF1" t="s">
        <v>2728</v>
      </c>
      <c r="ATG1" t="s">
        <v>2729</v>
      </c>
      <c r="ATH1" t="s">
        <v>2730</v>
      </c>
      <c r="ATI1" t="s">
        <v>2731</v>
      </c>
      <c r="ATJ1" t="s">
        <v>2732</v>
      </c>
      <c r="ATK1" t="s">
        <v>2733</v>
      </c>
      <c r="ATL1" t="s">
        <v>2734</v>
      </c>
      <c r="ATM1" t="s">
        <v>2735</v>
      </c>
      <c r="ATN1" t="s">
        <v>2736</v>
      </c>
      <c r="ATO1" t="s">
        <v>2737</v>
      </c>
      <c r="ATP1" t="s">
        <v>2738</v>
      </c>
      <c r="ATQ1" t="s">
        <v>2739</v>
      </c>
      <c r="ATR1" t="s">
        <v>2740</v>
      </c>
      <c r="ATS1" t="s">
        <v>2741</v>
      </c>
      <c r="ATT1" t="s">
        <v>2742</v>
      </c>
      <c r="ATU1" t="s">
        <v>2743</v>
      </c>
      <c r="ATV1" t="s">
        <v>2744</v>
      </c>
      <c r="ATW1" t="s">
        <v>2745</v>
      </c>
      <c r="ATX1" t="s">
        <v>2746</v>
      </c>
      <c r="ATY1" t="s">
        <v>2747</v>
      </c>
      <c r="ATZ1" t="s">
        <v>2748</v>
      </c>
      <c r="AUA1" t="s">
        <v>2749</v>
      </c>
      <c r="AUB1" t="s">
        <v>2750</v>
      </c>
      <c r="AUC1" t="s">
        <v>2751</v>
      </c>
      <c r="AUD1" t="s">
        <v>2752</v>
      </c>
      <c r="AUE1" t="s">
        <v>2753</v>
      </c>
      <c r="AUF1" t="s">
        <v>2754</v>
      </c>
      <c r="AUG1" t="s">
        <v>2755</v>
      </c>
      <c r="AUH1" t="s">
        <v>2756</v>
      </c>
      <c r="AUI1" t="s">
        <v>2757</v>
      </c>
      <c r="AUJ1" t="s">
        <v>2758</v>
      </c>
      <c r="AUK1" t="s">
        <v>2759</v>
      </c>
      <c r="AUL1" t="s">
        <v>2760</v>
      </c>
      <c r="AUM1" t="s">
        <v>2761</v>
      </c>
      <c r="AUN1" t="s">
        <v>2762</v>
      </c>
      <c r="AUO1" t="s">
        <v>2763</v>
      </c>
      <c r="AUP1" t="s">
        <v>2764</v>
      </c>
      <c r="AUQ1" t="s">
        <v>2765</v>
      </c>
      <c r="AUR1" t="s">
        <v>2766</v>
      </c>
      <c r="AUS1" t="s">
        <v>2767</v>
      </c>
      <c r="AUT1" t="s">
        <v>2768</v>
      </c>
      <c r="AUU1" t="s">
        <v>2769</v>
      </c>
      <c r="AUV1" t="s">
        <v>2770</v>
      </c>
      <c r="AUW1" t="s">
        <v>2771</v>
      </c>
      <c r="AUX1" t="s">
        <v>2772</v>
      </c>
      <c r="AUY1" t="s">
        <v>2773</v>
      </c>
      <c r="AUZ1" t="s">
        <v>2774</v>
      </c>
      <c r="AVA1" t="s">
        <v>2775</v>
      </c>
      <c r="AVB1" t="s">
        <v>2776</v>
      </c>
      <c r="AVC1" t="s">
        <v>2777</v>
      </c>
      <c r="AVD1" t="s">
        <v>2778</v>
      </c>
      <c r="AVE1" t="s">
        <v>2779</v>
      </c>
      <c r="AVF1" t="s">
        <v>2780</v>
      </c>
      <c r="AVG1" t="s">
        <v>2781</v>
      </c>
      <c r="AVH1" t="s">
        <v>2782</v>
      </c>
      <c r="AVI1" t="s">
        <v>2783</v>
      </c>
      <c r="AVJ1" t="s">
        <v>2784</v>
      </c>
      <c r="AVK1" t="s">
        <v>2785</v>
      </c>
      <c r="AVL1" t="s">
        <v>2786</v>
      </c>
      <c r="AVM1" t="s">
        <v>2787</v>
      </c>
      <c r="AVN1" t="s">
        <v>2788</v>
      </c>
      <c r="AVO1" t="s">
        <v>2789</v>
      </c>
      <c r="AVP1" t="s">
        <v>2790</v>
      </c>
      <c r="AVQ1" t="s">
        <v>2791</v>
      </c>
      <c r="AVR1" t="s">
        <v>2792</v>
      </c>
      <c r="AVS1" t="s">
        <v>2793</v>
      </c>
      <c r="AVT1" t="s">
        <v>2794</v>
      </c>
      <c r="AVU1" t="s">
        <v>2795</v>
      </c>
      <c r="AVV1" t="s">
        <v>2796</v>
      </c>
      <c r="AVW1" t="s">
        <v>2797</v>
      </c>
      <c r="AVX1" t="s">
        <v>2798</v>
      </c>
      <c r="AVY1" t="s">
        <v>2799</v>
      </c>
      <c r="AVZ1" t="s">
        <v>2800</v>
      </c>
      <c r="AWA1" t="s">
        <v>2801</v>
      </c>
      <c r="AWB1" t="s">
        <v>2802</v>
      </c>
      <c r="AWC1" t="s">
        <v>2803</v>
      </c>
      <c r="AWD1" t="s">
        <v>2804</v>
      </c>
      <c r="AWE1" t="s">
        <v>2805</v>
      </c>
      <c r="AWF1" t="s">
        <v>2806</v>
      </c>
      <c r="AWG1" t="s">
        <v>2807</v>
      </c>
      <c r="AWH1" t="s">
        <v>2808</v>
      </c>
      <c r="AWI1" t="s">
        <v>2809</v>
      </c>
      <c r="AWJ1" t="s">
        <v>2810</v>
      </c>
      <c r="AWK1" t="s">
        <v>2811</v>
      </c>
      <c r="AWL1" t="s">
        <v>2812</v>
      </c>
      <c r="AWM1" t="s">
        <v>2813</v>
      </c>
      <c r="AWN1" t="s">
        <v>2814</v>
      </c>
      <c r="AWO1" t="s">
        <v>2815</v>
      </c>
      <c r="AWP1" t="s">
        <v>2816</v>
      </c>
      <c r="AWQ1" t="s">
        <v>2817</v>
      </c>
      <c r="AWR1" t="s">
        <v>2818</v>
      </c>
      <c r="AWS1" t="s">
        <v>2819</v>
      </c>
      <c r="AWT1" t="s">
        <v>2820</v>
      </c>
      <c r="AWU1" t="s">
        <v>2821</v>
      </c>
      <c r="AWV1" t="s">
        <v>2822</v>
      </c>
      <c r="AWW1" t="s">
        <v>2823</v>
      </c>
      <c r="AWX1" t="s">
        <v>2824</v>
      </c>
      <c r="AWY1" t="s">
        <v>2825</v>
      </c>
      <c r="AWZ1" t="s">
        <v>2826</v>
      </c>
      <c r="AXA1" t="s">
        <v>2827</v>
      </c>
      <c r="AXB1" t="s">
        <v>2828</v>
      </c>
      <c r="AXC1" t="s">
        <v>2829</v>
      </c>
      <c r="AXD1" t="s">
        <v>2830</v>
      </c>
      <c r="AXE1" t="s">
        <v>2831</v>
      </c>
      <c r="AXF1" t="s">
        <v>2832</v>
      </c>
      <c r="AXG1" t="s">
        <v>2833</v>
      </c>
      <c r="AXH1" t="s">
        <v>2834</v>
      </c>
      <c r="AXI1" t="s">
        <v>2835</v>
      </c>
      <c r="AXJ1" t="s">
        <v>2836</v>
      </c>
      <c r="AXK1" t="s">
        <v>2837</v>
      </c>
      <c r="AXL1" t="s">
        <v>2838</v>
      </c>
      <c r="AXM1" t="s">
        <v>2839</v>
      </c>
      <c r="AXN1" t="s">
        <v>2840</v>
      </c>
      <c r="AXO1" t="s">
        <v>2841</v>
      </c>
      <c r="AXP1" t="s">
        <v>2842</v>
      </c>
      <c r="AXQ1" t="s">
        <v>2843</v>
      </c>
      <c r="AXR1" t="s">
        <v>2844</v>
      </c>
      <c r="AXS1" t="s">
        <v>2845</v>
      </c>
      <c r="AXT1" t="s">
        <v>2846</v>
      </c>
      <c r="AXU1" t="s">
        <v>2847</v>
      </c>
      <c r="AXV1" t="s">
        <v>2848</v>
      </c>
      <c r="AXW1" t="s">
        <v>2849</v>
      </c>
      <c r="AXX1" t="s">
        <v>2850</v>
      </c>
      <c r="AXY1" t="s">
        <v>2851</v>
      </c>
      <c r="AXZ1" t="s">
        <v>2852</v>
      </c>
      <c r="AYA1" t="s">
        <v>2853</v>
      </c>
      <c r="AYB1" t="s">
        <v>2854</v>
      </c>
      <c r="AYC1" t="s">
        <v>2855</v>
      </c>
      <c r="AYD1" t="s">
        <v>2856</v>
      </c>
      <c r="AYE1" t="s">
        <v>2857</v>
      </c>
      <c r="AYF1" t="s">
        <v>2858</v>
      </c>
      <c r="AYG1" t="s">
        <v>2859</v>
      </c>
      <c r="AYH1" t="s">
        <v>2860</v>
      </c>
      <c r="AYI1" t="s">
        <v>2861</v>
      </c>
      <c r="AYJ1" t="s">
        <v>2862</v>
      </c>
      <c r="AYK1" t="s">
        <v>2863</v>
      </c>
      <c r="AYL1" t="s">
        <v>2864</v>
      </c>
      <c r="AYM1" t="s">
        <v>2865</v>
      </c>
      <c r="AYN1" t="s">
        <v>2866</v>
      </c>
      <c r="AYO1" t="s">
        <v>2867</v>
      </c>
      <c r="AYP1" t="s">
        <v>2868</v>
      </c>
      <c r="AYQ1" t="s">
        <v>2869</v>
      </c>
      <c r="AYR1" t="s">
        <v>2870</v>
      </c>
      <c r="AYS1" t="s">
        <v>2871</v>
      </c>
      <c r="AYT1" t="s">
        <v>2872</v>
      </c>
      <c r="AYU1" t="s">
        <v>2873</v>
      </c>
      <c r="AYV1" t="s">
        <v>2874</v>
      </c>
      <c r="AYW1" t="s">
        <v>2875</v>
      </c>
      <c r="AYX1" t="s">
        <v>2876</v>
      </c>
      <c r="AYY1" t="s">
        <v>2877</v>
      </c>
      <c r="AYZ1" t="s">
        <v>2878</v>
      </c>
      <c r="AZA1" t="s">
        <v>2879</v>
      </c>
      <c r="AZB1" t="s">
        <v>2880</v>
      </c>
      <c r="AZC1" t="s">
        <v>2881</v>
      </c>
      <c r="AZD1" t="s">
        <v>2882</v>
      </c>
      <c r="AZE1" t="s">
        <v>2883</v>
      </c>
      <c r="AZF1" t="s">
        <v>2884</v>
      </c>
      <c r="AZG1" t="s">
        <v>2885</v>
      </c>
      <c r="AZH1" t="s">
        <v>2886</v>
      </c>
      <c r="AZI1" t="s">
        <v>2887</v>
      </c>
      <c r="AZJ1" t="s">
        <v>2888</v>
      </c>
      <c r="AZK1" t="s">
        <v>2889</v>
      </c>
      <c r="AZL1" t="s">
        <v>2890</v>
      </c>
      <c r="AZM1" t="s">
        <v>2891</v>
      </c>
      <c r="AZN1" t="s">
        <v>2892</v>
      </c>
      <c r="AZO1" t="s">
        <v>2893</v>
      </c>
      <c r="AZP1" t="s">
        <v>2894</v>
      </c>
      <c r="AZQ1" t="s">
        <v>2895</v>
      </c>
      <c r="AZR1" t="s">
        <v>2896</v>
      </c>
      <c r="AZS1" t="s">
        <v>2897</v>
      </c>
      <c r="AZT1" t="s">
        <v>2898</v>
      </c>
      <c r="AZU1" t="s">
        <v>2899</v>
      </c>
      <c r="AZV1" t="s">
        <v>2900</v>
      </c>
      <c r="AZW1" t="s">
        <v>2901</v>
      </c>
      <c r="AZX1" t="s">
        <v>2902</v>
      </c>
      <c r="AZY1" t="s">
        <v>2903</v>
      </c>
      <c r="AZZ1" t="s">
        <v>2904</v>
      </c>
      <c r="BAA1" t="s">
        <v>2905</v>
      </c>
      <c r="BAB1" t="s">
        <v>2906</v>
      </c>
      <c r="BAC1" t="s">
        <v>2907</v>
      </c>
      <c r="BAD1" t="s">
        <v>2908</v>
      </c>
      <c r="BAE1" t="s">
        <v>2909</v>
      </c>
      <c r="BAF1" t="s">
        <v>2910</v>
      </c>
      <c r="BAG1" t="s">
        <v>2911</v>
      </c>
      <c r="BAH1" t="s">
        <v>2912</v>
      </c>
      <c r="BAI1" t="s">
        <v>2913</v>
      </c>
      <c r="BAJ1" t="s">
        <v>2914</v>
      </c>
      <c r="BAK1" t="s">
        <v>2915</v>
      </c>
      <c r="BAL1" t="s">
        <v>2916</v>
      </c>
      <c r="BAM1" t="s">
        <v>2917</v>
      </c>
      <c r="BAN1" t="s">
        <v>2918</v>
      </c>
      <c r="BAO1" t="s">
        <v>2919</v>
      </c>
      <c r="BAP1" t="s">
        <v>2920</v>
      </c>
      <c r="BAQ1" t="s">
        <v>2921</v>
      </c>
      <c r="BAR1" t="s">
        <v>2922</v>
      </c>
      <c r="BAS1" t="s">
        <v>2923</v>
      </c>
      <c r="BAT1" t="s">
        <v>2924</v>
      </c>
      <c r="BAU1" t="s">
        <v>2925</v>
      </c>
      <c r="BAV1" t="s">
        <v>2926</v>
      </c>
      <c r="BAW1" t="s">
        <v>2927</v>
      </c>
      <c r="BAX1" t="s">
        <v>2928</v>
      </c>
      <c r="BAY1" t="s">
        <v>2929</v>
      </c>
      <c r="BAZ1" t="s">
        <v>2930</v>
      </c>
      <c r="BBA1" t="s">
        <v>2931</v>
      </c>
      <c r="BBB1" t="s">
        <v>2932</v>
      </c>
      <c r="BBC1" t="s">
        <v>2933</v>
      </c>
      <c r="BBD1" t="s">
        <v>2934</v>
      </c>
      <c r="BBE1" t="s">
        <v>2935</v>
      </c>
      <c r="BBF1" t="s">
        <v>2936</v>
      </c>
      <c r="BBG1" t="s">
        <v>2937</v>
      </c>
      <c r="BBH1" t="s">
        <v>2938</v>
      </c>
      <c r="BBI1" t="s">
        <v>2939</v>
      </c>
      <c r="BBJ1" t="s">
        <v>2940</v>
      </c>
      <c r="BBK1" t="s">
        <v>2941</v>
      </c>
      <c r="BBL1" t="s">
        <v>2942</v>
      </c>
      <c r="BBM1" t="s">
        <v>2943</v>
      </c>
      <c r="BBN1" t="s">
        <v>2944</v>
      </c>
      <c r="BBO1" t="s">
        <v>2945</v>
      </c>
      <c r="BBP1" t="s">
        <v>2946</v>
      </c>
      <c r="BBQ1" t="s">
        <v>2947</v>
      </c>
      <c r="BBR1" t="s">
        <v>2948</v>
      </c>
      <c r="BBS1" t="s">
        <v>2949</v>
      </c>
      <c r="BBT1" t="s">
        <v>2950</v>
      </c>
      <c r="BBU1" t="s">
        <v>2951</v>
      </c>
      <c r="BBV1" t="s">
        <v>2952</v>
      </c>
      <c r="BBW1" t="s">
        <v>2953</v>
      </c>
      <c r="BBX1" t="s">
        <v>2954</v>
      </c>
      <c r="BBY1" t="s">
        <v>2955</v>
      </c>
      <c r="BBZ1" t="s">
        <v>2956</v>
      </c>
      <c r="BCA1" t="s">
        <v>2957</v>
      </c>
      <c r="BCB1" t="s">
        <v>2958</v>
      </c>
      <c r="BCC1" t="s">
        <v>2959</v>
      </c>
      <c r="BCD1" t="s">
        <v>2960</v>
      </c>
      <c r="BCE1" t="s">
        <v>2961</v>
      </c>
      <c r="BCF1" t="s">
        <v>2962</v>
      </c>
      <c r="BCG1" t="s">
        <v>2963</v>
      </c>
      <c r="BCH1" t="s">
        <v>2964</v>
      </c>
      <c r="BCI1" t="s">
        <v>2965</v>
      </c>
      <c r="BCJ1" t="s">
        <v>2966</v>
      </c>
      <c r="BCK1" t="s">
        <v>2967</v>
      </c>
      <c r="BCL1" t="s">
        <v>2968</v>
      </c>
      <c r="BCM1" t="s">
        <v>2969</v>
      </c>
      <c r="BCN1" t="s">
        <v>2970</v>
      </c>
      <c r="BCO1" t="s">
        <v>2971</v>
      </c>
      <c r="BCP1" t="s">
        <v>2972</v>
      </c>
      <c r="BCQ1" t="s">
        <v>2973</v>
      </c>
      <c r="BCR1" t="s">
        <v>2974</v>
      </c>
      <c r="BCS1" t="s">
        <v>2975</v>
      </c>
      <c r="BCT1" t="s">
        <v>2976</v>
      </c>
      <c r="BCU1" t="s">
        <v>2977</v>
      </c>
      <c r="BCV1" t="s">
        <v>2978</v>
      </c>
      <c r="BCW1" t="s">
        <v>2979</v>
      </c>
      <c r="BCX1" t="s">
        <v>2980</v>
      </c>
      <c r="BCY1" t="s">
        <v>2981</v>
      </c>
      <c r="BCZ1" t="s">
        <v>2982</v>
      </c>
      <c r="BDA1" t="s">
        <v>2983</v>
      </c>
      <c r="BDB1" t="s">
        <v>2984</v>
      </c>
      <c r="BDC1" t="s">
        <v>2985</v>
      </c>
      <c r="BDD1" t="s">
        <v>2986</v>
      </c>
      <c r="BDE1" t="s">
        <v>2987</v>
      </c>
      <c r="BDF1" t="s">
        <v>2988</v>
      </c>
      <c r="BDG1" t="s">
        <v>2989</v>
      </c>
      <c r="BDH1" t="s">
        <v>2990</v>
      </c>
      <c r="BDI1" t="s">
        <v>2991</v>
      </c>
      <c r="BDJ1" t="s">
        <v>2992</v>
      </c>
      <c r="BDK1" t="s">
        <v>2993</v>
      </c>
      <c r="BDL1" t="s">
        <v>2994</v>
      </c>
      <c r="BDM1" t="s">
        <v>2995</v>
      </c>
      <c r="BDN1" t="s">
        <v>2996</v>
      </c>
      <c r="BDO1" t="s">
        <v>2997</v>
      </c>
      <c r="BDP1" t="s">
        <v>2998</v>
      </c>
      <c r="BDQ1" t="s">
        <v>2999</v>
      </c>
      <c r="BDR1" t="s">
        <v>3000</v>
      </c>
      <c r="BDS1" t="s">
        <v>3001</v>
      </c>
      <c r="BDT1" t="s">
        <v>3002</v>
      </c>
      <c r="BDU1" t="s">
        <v>3003</v>
      </c>
      <c r="BDV1" t="s">
        <v>3004</v>
      </c>
      <c r="BDW1" t="s">
        <v>3005</v>
      </c>
      <c r="BDX1" t="s">
        <v>3006</v>
      </c>
      <c r="BDY1" t="s">
        <v>3007</v>
      </c>
      <c r="BDZ1" t="s">
        <v>3008</v>
      </c>
      <c r="BEA1" t="s">
        <v>3009</v>
      </c>
      <c r="BEB1" t="s">
        <v>3010</v>
      </c>
      <c r="BEC1" t="s">
        <v>3011</v>
      </c>
      <c r="BED1" t="s">
        <v>3012</v>
      </c>
      <c r="BEE1" t="s">
        <v>3013</v>
      </c>
      <c r="BEF1" t="s">
        <v>3014</v>
      </c>
      <c r="BEG1" t="s">
        <v>3015</v>
      </c>
      <c r="BEH1" t="s">
        <v>3016</v>
      </c>
      <c r="BEI1" t="s">
        <v>3017</v>
      </c>
      <c r="BEJ1" t="s">
        <v>3018</v>
      </c>
      <c r="BEK1" t="s">
        <v>3019</v>
      </c>
      <c r="BEL1" t="s">
        <v>3020</v>
      </c>
      <c r="BEM1" t="s">
        <v>3021</v>
      </c>
      <c r="BEN1" t="s">
        <v>3022</v>
      </c>
      <c r="BEO1" t="s">
        <v>3023</v>
      </c>
      <c r="BEP1" t="s">
        <v>3024</v>
      </c>
      <c r="BEQ1" t="s">
        <v>3025</v>
      </c>
      <c r="BER1" t="s">
        <v>3026</v>
      </c>
      <c r="BES1" t="s">
        <v>3027</v>
      </c>
      <c r="BET1" t="s">
        <v>3028</v>
      </c>
      <c r="BEU1" t="s">
        <v>3029</v>
      </c>
      <c r="BEV1" t="s">
        <v>3030</v>
      </c>
      <c r="BEW1" t="s">
        <v>3031</v>
      </c>
      <c r="BEX1" t="s">
        <v>3032</v>
      </c>
      <c r="BEY1" t="s">
        <v>3033</v>
      </c>
      <c r="BEZ1" t="s">
        <v>3034</v>
      </c>
      <c r="BFA1" t="s">
        <v>3035</v>
      </c>
      <c r="BFB1" t="s">
        <v>3036</v>
      </c>
      <c r="BFC1" t="s">
        <v>3037</v>
      </c>
      <c r="BFD1" t="s">
        <v>3038</v>
      </c>
      <c r="BFE1" t="s">
        <v>3039</v>
      </c>
      <c r="BFF1" t="s">
        <v>3040</v>
      </c>
      <c r="BFG1" t="s">
        <v>3041</v>
      </c>
      <c r="BFH1" t="s">
        <v>3042</v>
      </c>
      <c r="BFI1" t="s">
        <v>3043</v>
      </c>
      <c r="BFJ1" t="s">
        <v>3044</v>
      </c>
      <c r="BFK1" t="s">
        <v>3045</v>
      </c>
      <c r="BFL1" t="s">
        <v>3046</v>
      </c>
      <c r="BFM1" t="s">
        <v>3047</v>
      </c>
      <c r="BFN1" t="s">
        <v>3048</v>
      </c>
      <c r="BFO1" t="s">
        <v>3049</v>
      </c>
      <c r="BFP1" t="s">
        <v>3050</v>
      </c>
      <c r="BFQ1" t="s">
        <v>3051</v>
      </c>
      <c r="BFR1" t="s">
        <v>3052</v>
      </c>
      <c r="BFS1" t="s">
        <v>3053</v>
      </c>
      <c r="BFT1" t="s">
        <v>3054</v>
      </c>
      <c r="BFU1" t="s">
        <v>3055</v>
      </c>
      <c r="BFV1" t="s">
        <v>3056</v>
      </c>
      <c r="BFW1" t="s">
        <v>3057</v>
      </c>
      <c r="BFX1" t="s">
        <v>3058</v>
      </c>
      <c r="BFY1" t="s">
        <v>3059</v>
      </c>
      <c r="BFZ1" t="s">
        <v>3060</v>
      </c>
      <c r="BGA1" t="s">
        <v>3061</v>
      </c>
      <c r="BGB1" t="s">
        <v>3062</v>
      </c>
      <c r="BGC1" t="s">
        <v>3063</v>
      </c>
      <c r="BGD1" t="s">
        <v>3064</v>
      </c>
      <c r="BGE1" t="s">
        <v>3065</v>
      </c>
      <c r="BGF1" t="s">
        <v>3066</v>
      </c>
      <c r="BGG1" t="s">
        <v>3067</v>
      </c>
      <c r="BGH1" t="s">
        <v>3068</v>
      </c>
      <c r="BGI1" t="s">
        <v>3069</v>
      </c>
      <c r="BGJ1" t="s">
        <v>3070</v>
      </c>
      <c r="BGK1" t="s">
        <v>3071</v>
      </c>
      <c r="BGL1" t="s">
        <v>3072</v>
      </c>
      <c r="BGM1" t="s">
        <v>3073</v>
      </c>
      <c r="BGN1" t="s">
        <v>3074</v>
      </c>
      <c r="BGO1" t="s">
        <v>3075</v>
      </c>
      <c r="BGP1" t="s">
        <v>3076</v>
      </c>
      <c r="BGQ1" t="s">
        <v>3077</v>
      </c>
      <c r="BGR1" t="s">
        <v>3078</v>
      </c>
      <c r="BGS1" t="s">
        <v>3079</v>
      </c>
      <c r="BGT1" t="s">
        <v>3080</v>
      </c>
      <c r="BGU1" t="s">
        <v>3081</v>
      </c>
      <c r="BGV1" t="s">
        <v>3082</v>
      </c>
      <c r="BGW1" t="s">
        <v>3083</v>
      </c>
      <c r="BGX1" t="s">
        <v>3084</v>
      </c>
      <c r="BGY1" t="s">
        <v>3085</v>
      </c>
      <c r="BGZ1" t="s">
        <v>3086</v>
      </c>
      <c r="BHA1" t="s">
        <v>3087</v>
      </c>
      <c r="BHB1" t="s">
        <v>3088</v>
      </c>
      <c r="BHC1" t="s">
        <v>3089</v>
      </c>
      <c r="BHD1" t="s">
        <v>3090</v>
      </c>
      <c r="BHE1" t="s">
        <v>3091</v>
      </c>
      <c r="BHF1" t="s">
        <v>3092</v>
      </c>
      <c r="BHG1" t="s">
        <v>3093</v>
      </c>
      <c r="BHH1" t="s">
        <v>3094</v>
      </c>
      <c r="BHI1" t="s">
        <v>3095</v>
      </c>
      <c r="BHJ1" t="s">
        <v>3096</v>
      </c>
      <c r="BHK1" t="s">
        <v>3097</v>
      </c>
      <c r="BHL1" t="s">
        <v>3098</v>
      </c>
      <c r="BHM1" t="s">
        <v>3099</v>
      </c>
      <c r="BHN1" t="s">
        <v>3100</v>
      </c>
      <c r="BHO1" t="s">
        <v>3101</v>
      </c>
      <c r="BHP1" t="s">
        <v>3102</v>
      </c>
      <c r="BHQ1" t="s">
        <v>3103</v>
      </c>
      <c r="BHR1" t="s">
        <v>3104</v>
      </c>
      <c r="BHS1" t="s">
        <v>3105</v>
      </c>
      <c r="BHT1" t="s">
        <v>3106</v>
      </c>
      <c r="BHU1" t="s">
        <v>3107</v>
      </c>
      <c r="BHV1" t="s">
        <v>3108</v>
      </c>
      <c r="BHW1" t="s">
        <v>3109</v>
      </c>
      <c r="BHX1" t="s">
        <v>3110</v>
      </c>
      <c r="BHY1" t="s">
        <v>3111</v>
      </c>
      <c r="BHZ1" t="s">
        <v>3112</v>
      </c>
      <c r="BIA1" t="s">
        <v>3113</v>
      </c>
      <c r="BIB1" t="s">
        <v>3114</v>
      </c>
      <c r="BIC1" t="s">
        <v>3115</v>
      </c>
      <c r="BID1" t="s">
        <v>3116</v>
      </c>
      <c r="BIE1" t="s">
        <v>3117</v>
      </c>
      <c r="BIF1" t="s">
        <v>3118</v>
      </c>
      <c r="BIG1" t="s">
        <v>3119</v>
      </c>
      <c r="BIH1" t="s">
        <v>3120</v>
      </c>
      <c r="BII1" t="s">
        <v>3121</v>
      </c>
      <c r="BIJ1" t="s">
        <v>3122</v>
      </c>
      <c r="BIK1" t="s">
        <v>3123</v>
      </c>
      <c r="BIL1" t="s">
        <v>3124</v>
      </c>
      <c r="BIM1" t="s">
        <v>3125</v>
      </c>
      <c r="BIN1" t="s">
        <v>3126</v>
      </c>
      <c r="BIO1" t="s">
        <v>3127</v>
      </c>
      <c r="BIP1" t="s">
        <v>3128</v>
      </c>
      <c r="BIQ1" t="s">
        <v>3129</v>
      </c>
      <c r="BIR1" t="s">
        <v>3130</v>
      </c>
      <c r="BIS1" t="s">
        <v>3131</v>
      </c>
      <c r="BIT1" t="s">
        <v>3132</v>
      </c>
      <c r="BIU1" t="s">
        <v>3133</v>
      </c>
      <c r="BIV1" t="s">
        <v>3134</v>
      </c>
      <c r="BIW1" t="s">
        <v>3135</v>
      </c>
      <c r="BIX1" t="s">
        <v>3136</v>
      </c>
      <c r="BIY1" t="s">
        <v>3137</v>
      </c>
      <c r="BIZ1" t="s">
        <v>3138</v>
      </c>
      <c r="BJA1" t="s">
        <v>3139</v>
      </c>
      <c r="BJB1" t="s">
        <v>3140</v>
      </c>
      <c r="BJC1" t="s">
        <v>3141</v>
      </c>
      <c r="BJD1" t="s">
        <v>3142</v>
      </c>
      <c r="BJE1" t="s">
        <v>3143</v>
      </c>
      <c r="BJF1" t="s">
        <v>3144</v>
      </c>
      <c r="BJG1" t="s">
        <v>3145</v>
      </c>
      <c r="BJH1" t="s">
        <v>3146</v>
      </c>
      <c r="BJI1" t="s">
        <v>3147</v>
      </c>
      <c r="BJJ1" t="s">
        <v>3148</v>
      </c>
      <c r="BJK1" t="s">
        <v>3149</v>
      </c>
      <c r="BJL1" t="s">
        <v>3150</v>
      </c>
      <c r="BJM1" t="s">
        <v>3151</v>
      </c>
      <c r="BJN1" t="s">
        <v>3152</v>
      </c>
      <c r="BJO1" t="s">
        <v>3153</v>
      </c>
      <c r="BJP1" t="s">
        <v>3154</v>
      </c>
      <c r="BJQ1" t="s">
        <v>3155</v>
      </c>
      <c r="BJR1" t="s">
        <v>3156</v>
      </c>
      <c r="BJS1" t="s">
        <v>3157</v>
      </c>
      <c r="BJT1" t="s">
        <v>3158</v>
      </c>
      <c r="BJU1" t="s">
        <v>3159</v>
      </c>
      <c r="BJV1" t="s">
        <v>3160</v>
      </c>
      <c r="BJW1" t="s">
        <v>3161</v>
      </c>
      <c r="BJX1" t="s">
        <v>3162</v>
      </c>
      <c r="BJY1" t="s">
        <v>3163</v>
      </c>
      <c r="BJZ1" t="s">
        <v>3164</v>
      </c>
      <c r="BKA1" t="s">
        <v>3165</v>
      </c>
      <c r="BKB1" t="s">
        <v>3166</v>
      </c>
      <c r="BKC1" t="s">
        <v>3167</v>
      </c>
      <c r="BKD1" t="s">
        <v>3168</v>
      </c>
      <c r="BKE1" t="s">
        <v>3169</v>
      </c>
      <c r="BKF1" t="s">
        <v>3170</v>
      </c>
      <c r="BKG1" t="s">
        <v>3171</v>
      </c>
      <c r="BKH1" t="s">
        <v>3172</v>
      </c>
      <c r="BKI1" t="s">
        <v>3173</v>
      </c>
      <c r="BKJ1" t="s">
        <v>3174</v>
      </c>
      <c r="BKK1" t="s">
        <v>3175</v>
      </c>
      <c r="BKL1" t="s">
        <v>3176</v>
      </c>
      <c r="BKM1" t="s">
        <v>3177</v>
      </c>
      <c r="BKN1" t="s">
        <v>3178</v>
      </c>
      <c r="BKO1" t="s">
        <v>3179</v>
      </c>
      <c r="BKP1" t="s">
        <v>3180</v>
      </c>
      <c r="BKQ1" t="s">
        <v>3181</v>
      </c>
      <c r="BKR1" t="s">
        <v>3182</v>
      </c>
      <c r="BKS1" t="s">
        <v>3183</v>
      </c>
      <c r="BKT1" t="s">
        <v>3184</v>
      </c>
      <c r="BKU1" t="s">
        <v>3185</v>
      </c>
      <c r="BKV1" t="s">
        <v>3186</v>
      </c>
      <c r="BKW1" t="s">
        <v>3187</v>
      </c>
      <c r="BKX1" t="s">
        <v>3188</v>
      </c>
      <c r="BKY1" t="s">
        <v>3189</v>
      </c>
      <c r="BKZ1" t="s">
        <v>3190</v>
      </c>
      <c r="BLA1" t="s">
        <v>3191</v>
      </c>
      <c r="BLB1" t="s">
        <v>3192</v>
      </c>
      <c r="BLC1" t="s">
        <v>3193</v>
      </c>
      <c r="BLD1" t="s">
        <v>3194</v>
      </c>
      <c r="BLE1" t="s">
        <v>3195</v>
      </c>
      <c r="BLF1" t="s">
        <v>3196</v>
      </c>
      <c r="BLG1" t="s">
        <v>3197</v>
      </c>
      <c r="BLH1" t="s">
        <v>3198</v>
      </c>
      <c r="BLI1" t="s">
        <v>3199</v>
      </c>
      <c r="BLJ1" t="s">
        <v>3200</v>
      </c>
      <c r="BLK1" t="s">
        <v>3201</v>
      </c>
      <c r="BLL1" t="s">
        <v>3202</v>
      </c>
      <c r="BLM1" t="s">
        <v>3203</v>
      </c>
      <c r="BLN1" t="s">
        <v>3204</v>
      </c>
      <c r="BLO1" t="s">
        <v>3205</v>
      </c>
      <c r="BLP1" t="s">
        <v>3206</v>
      </c>
      <c r="BLQ1" t="s">
        <v>3207</v>
      </c>
      <c r="BLR1" t="s">
        <v>3208</v>
      </c>
      <c r="BLS1" t="s">
        <v>3209</v>
      </c>
      <c r="BLT1" t="s">
        <v>3210</v>
      </c>
      <c r="BLU1" t="s">
        <v>3211</v>
      </c>
      <c r="BLV1" t="s">
        <v>3212</v>
      </c>
      <c r="BLW1" t="s">
        <v>3213</v>
      </c>
      <c r="BLX1" t="s">
        <v>3214</v>
      </c>
      <c r="BLY1" t="s">
        <v>3215</v>
      </c>
      <c r="BLZ1" t="s">
        <v>3216</v>
      </c>
      <c r="BMA1" t="s">
        <v>3217</v>
      </c>
      <c r="BMB1" t="s">
        <v>3218</v>
      </c>
      <c r="BMC1" t="s">
        <v>3219</v>
      </c>
      <c r="BMD1" t="s">
        <v>3220</v>
      </c>
      <c r="BME1" t="s">
        <v>3221</v>
      </c>
      <c r="BMF1" t="s">
        <v>3222</v>
      </c>
      <c r="BMG1" t="s">
        <v>3223</v>
      </c>
      <c r="BMH1" t="s">
        <v>3224</v>
      </c>
      <c r="BMI1" t="s">
        <v>3225</v>
      </c>
      <c r="BMJ1" t="s">
        <v>3226</v>
      </c>
      <c r="BMK1" t="s">
        <v>3227</v>
      </c>
      <c r="BML1" t="s">
        <v>3228</v>
      </c>
      <c r="BMM1" t="s">
        <v>3229</v>
      </c>
      <c r="BMN1" t="s">
        <v>3230</v>
      </c>
      <c r="BMO1" t="s">
        <v>3231</v>
      </c>
      <c r="BMP1" t="s">
        <v>3232</v>
      </c>
      <c r="BMQ1" t="s">
        <v>3233</v>
      </c>
      <c r="BMR1" t="s">
        <v>3234</v>
      </c>
      <c r="BMS1" t="s">
        <v>3235</v>
      </c>
      <c r="BMT1" t="s">
        <v>3236</v>
      </c>
      <c r="BMU1" t="s">
        <v>3237</v>
      </c>
      <c r="BMV1" t="s">
        <v>3238</v>
      </c>
      <c r="BMW1" t="s">
        <v>3239</v>
      </c>
      <c r="BMX1" t="s">
        <v>3240</v>
      </c>
      <c r="BMY1" t="s">
        <v>3241</v>
      </c>
      <c r="BMZ1" t="s">
        <v>3242</v>
      </c>
      <c r="BNA1" t="s">
        <v>3243</v>
      </c>
      <c r="BNB1" t="s">
        <v>3244</v>
      </c>
      <c r="BNC1" t="s">
        <v>3245</v>
      </c>
      <c r="BND1" t="s">
        <v>3246</v>
      </c>
      <c r="BNE1" t="s">
        <v>3247</v>
      </c>
      <c r="BNF1" t="s">
        <v>3248</v>
      </c>
      <c r="BNG1" t="s">
        <v>3249</v>
      </c>
      <c r="BNH1" t="s">
        <v>3250</v>
      </c>
      <c r="BNI1" t="s">
        <v>3251</v>
      </c>
      <c r="BNJ1" t="s">
        <v>3252</v>
      </c>
      <c r="BNK1" t="s">
        <v>3253</v>
      </c>
      <c r="BNL1" t="s">
        <v>3254</v>
      </c>
      <c r="BNM1" t="s">
        <v>3255</v>
      </c>
      <c r="BNN1" t="s">
        <v>3256</v>
      </c>
      <c r="BNO1" t="s">
        <v>3257</v>
      </c>
      <c r="BNP1" t="s">
        <v>3258</v>
      </c>
      <c r="BNQ1" t="s">
        <v>3259</v>
      </c>
      <c r="BNR1" t="s">
        <v>3260</v>
      </c>
      <c r="BNS1" t="s">
        <v>3261</v>
      </c>
      <c r="BNT1" t="s">
        <v>3262</v>
      </c>
      <c r="BNU1" t="s">
        <v>3263</v>
      </c>
      <c r="BNV1" t="s">
        <v>3264</v>
      </c>
      <c r="BNW1" t="s">
        <v>3265</v>
      </c>
      <c r="BNX1" t="s">
        <v>3266</v>
      </c>
      <c r="BNY1" t="s">
        <v>3267</v>
      </c>
      <c r="BNZ1" t="s">
        <v>3268</v>
      </c>
      <c r="BOA1" t="s">
        <v>3269</v>
      </c>
      <c r="BOB1" t="s">
        <v>3270</v>
      </c>
      <c r="BOC1" t="s">
        <v>3271</v>
      </c>
      <c r="BOD1" t="s">
        <v>3272</v>
      </c>
      <c r="BOE1" t="s">
        <v>3273</v>
      </c>
      <c r="BOF1" t="s">
        <v>3274</v>
      </c>
      <c r="BOG1" t="s">
        <v>3275</v>
      </c>
      <c r="BOH1" t="s">
        <v>3276</v>
      </c>
      <c r="BOI1" t="s">
        <v>3277</v>
      </c>
      <c r="BOJ1" t="s">
        <v>3278</v>
      </c>
      <c r="BOK1" t="s">
        <v>3279</v>
      </c>
      <c r="BOL1" t="s">
        <v>3280</v>
      </c>
      <c r="BOM1" t="s">
        <v>3281</v>
      </c>
      <c r="BON1" t="s">
        <v>3282</v>
      </c>
      <c r="BOO1" t="s">
        <v>3283</v>
      </c>
      <c r="BOP1" t="s">
        <v>3284</v>
      </c>
      <c r="BOQ1" t="s">
        <v>3285</v>
      </c>
      <c r="BOR1" t="s">
        <v>3286</v>
      </c>
      <c r="BOS1" t="s">
        <v>3287</v>
      </c>
      <c r="BOT1" t="s">
        <v>3288</v>
      </c>
      <c r="BOU1" t="s">
        <v>3289</v>
      </c>
      <c r="BOV1" t="s">
        <v>3290</v>
      </c>
      <c r="BOW1" t="s">
        <v>3291</v>
      </c>
      <c r="BOX1" t="s">
        <v>3292</v>
      </c>
      <c r="BOY1" t="s">
        <v>3293</v>
      </c>
      <c r="BOZ1" t="s">
        <v>3294</v>
      </c>
      <c r="BPA1" t="s">
        <v>3295</v>
      </c>
      <c r="BPB1" t="s">
        <v>3296</v>
      </c>
      <c r="BPC1" t="s">
        <v>3297</v>
      </c>
      <c r="BPD1" t="s">
        <v>3298</v>
      </c>
      <c r="BPE1" t="s">
        <v>3299</v>
      </c>
      <c r="BPF1" t="s">
        <v>3300</v>
      </c>
      <c r="BPG1" t="s">
        <v>3301</v>
      </c>
      <c r="BPH1" t="s">
        <v>3302</v>
      </c>
      <c r="BPI1" t="s">
        <v>3303</v>
      </c>
      <c r="BPJ1" t="s">
        <v>3304</v>
      </c>
      <c r="BPK1" t="s">
        <v>3305</v>
      </c>
      <c r="BPL1" t="s">
        <v>3306</v>
      </c>
      <c r="BPM1" t="s">
        <v>3307</v>
      </c>
      <c r="BPN1" t="s">
        <v>3308</v>
      </c>
      <c r="BPO1" t="s">
        <v>3309</v>
      </c>
      <c r="BPP1" t="s">
        <v>3310</v>
      </c>
      <c r="BPQ1" t="s">
        <v>3311</v>
      </c>
      <c r="BPR1" t="s">
        <v>3312</v>
      </c>
      <c r="BPS1" t="s">
        <v>3313</v>
      </c>
      <c r="BPT1" t="s">
        <v>3314</v>
      </c>
      <c r="BPU1" t="s">
        <v>3315</v>
      </c>
      <c r="BPV1" t="s">
        <v>3316</v>
      </c>
      <c r="BPW1" t="s">
        <v>3317</v>
      </c>
      <c r="BPX1" t="s">
        <v>3318</v>
      </c>
      <c r="BPY1" t="s">
        <v>3319</v>
      </c>
      <c r="BPZ1" t="s">
        <v>3320</v>
      </c>
      <c r="BQA1" t="s">
        <v>3321</v>
      </c>
      <c r="BQB1" t="s">
        <v>3322</v>
      </c>
      <c r="BQC1" t="s">
        <v>3323</v>
      </c>
      <c r="BQD1" t="s">
        <v>3324</v>
      </c>
      <c r="BQE1" t="s">
        <v>3325</v>
      </c>
      <c r="BQF1" t="s">
        <v>3326</v>
      </c>
      <c r="BQG1" t="s">
        <v>3327</v>
      </c>
      <c r="BQH1" t="s">
        <v>3328</v>
      </c>
      <c r="BQI1" t="s">
        <v>3329</v>
      </c>
      <c r="BQJ1" t="s">
        <v>3330</v>
      </c>
      <c r="BQK1" t="s">
        <v>3331</v>
      </c>
      <c r="BQL1" t="s">
        <v>3332</v>
      </c>
      <c r="BQM1" t="s">
        <v>3333</v>
      </c>
      <c r="BQN1" t="s">
        <v>3334</v>
      </c>
      <c r="BQO1" t="s">
        <v>3335</v>
      </c>
      <c r="BQP1" t="s">
        <v>3336</v>
      </c>
      <c r="BQQ1" t="s">
        <v>3337</v>
      </c>
      <c r="BQR1" t="s">
        <v>3338</v>
      </c>
      <c r="BQS1" t="s">
        <v>3339</v>
      </c>
      <c r="BQT1" t="s">
        <v>3340</v>
      </c>
      <c r="BQU1" t="s">
        <v>3341</v>
      </c>
      <c r="BQV1" t="s">
        <v>3342</v>
      </c>
      <c r="BQW1" t="s">
        <v>3343</v>
      </c>
      <c r="BQX1" t="s">
        <v>3344</v>
      </c>
      <c r="BQY1" t="s">
        <v>3345</v>
      </c>
      <c r="BQZ1" t="s">
        <v>3346</v>
      </c>
      <c r="BRA1" t="s">
        <v>3347</v>
      </c>
      <c r="BRB1" t="s">
        <v>3348</v>
      </c>
      <c r="BRC1" t="s">
        <v>3349</v>
      </c>
      <c r="BRD1" t="s">
        <v>3350</v>
      </c>
      <c r="BRE1" t="s">
        <v>3351</v>
      </c>
      <c r="BRF1" t="s">
        <v>3352</v>
      </c>
      <c r="BRG1" t="s">
        <v>3353</v>
      </c>
      <c r="BRH1" t="s">
        <v>3354</v>
      </c>
      <c r="BRI1" t="s">
        <v>3355</v>
      </c>
      <c r="BRJ1" t="s">
        <v>3356</v>
      </c>
      <c r="BRK1" t="s">
        <v>3357</v>
      </c>
      <c r="BRL1" t="s">
        <v>3358</v>
      </c>
      <c r="BRM1" t="s">
        <v>3359</v>
      </c>
      <c r="BRN1" t="s">
        <v>3360</v>
      </c>
      <c r="BRO1" t="s">
        <v>3361</v>
      </c>
      <c r="BRP1" t="s">
        <v>3362</v>
      </c>
      <c r="BRQ1" t="s">
        <v>3363</v>
      </c>
      <c r="BRR1" t="s">
        <v>3364</v>
      </c>
      <c r="BRS1" t="s">
        <v>3365</v>
      </c>
      <c r="BRT1" t="s">
        <v>3366</v>
      </c>
      <c r="BRU1" t="s">
        <v>3367</v>
      </c>
      <c r="BRV1" t="s">
        <v>3368</v>
      </c>
      <c r="BRW1" t="s">
        <v>3369</v>
      </c>
      <c r="BRX1" t="s">
        <v>3370</v>
      </c>
      <c r="BRY1" t="s">
        <v>3371</v>
      </c>
      <c r="BRZ1" t="s">
        <v>3372</v>
      </c>
      <c r="BSA1" t="s">
        <v>3373</v>
      </c>
      <c r="BSB1" t="s">
        <v>3374</v>
      </c>
      <c r="BSC1" t="s">
        <v>3375</v>
      </c>
      <c r="BSD1" t="s">
        <v>3376</v>
      </c>
      <c r="BSE1" t="s">
        <v>3377</v>
      </c>
      <c r="BSF1" t="s">
        <v>3378</v>
      </c>
      <c r="BSG1" t="s">
        <v>3379</v>
      </c>
      <c r="BSH1" t="s">
        <v>3380</v>
      </c>
      <c r="BSI1" t="s">
        <v>3381</v>
      </c>
      <c r="BSJ1" t="s">
        <v>3382</v>
      </c>
      <c r="BSK1" t="s">
        <v>3383</v>
      </c>
      <c r="BSL1" t="s">
        <v>3384</v>
      </c>
      <c r="BSM1" t="s">
        <v>3385</v>
      </c>
      <c r="BSN1" t="s">
        <v>3386</v>
      </c>
      <c r="BSO1" t="s">
        <v>3387</v>
      </c>
      <c r="BSP1" t="s">
        <v>3388</v>
      </c>
      <c r="BSQ1" t="s">
        <v>3389</v>
      </c>
      <c r="BSR1" t="s">
        <v>3390</v>
      </c>
      <c r="BSS1" t="s">
        <v>3391</v>
      </c>
      <c r="BST1" t="s">
        <v>3392</v>
      </c>
      <c r="BSU1" t="s">
        <v>3393</v>
      </c>
      <c r="BSV1" t="s">
        <v>3394</v>
      </c>
      <c r="BSW1" t="s">
        <v>3395</v>
      </c>
      <c r="BSX1" t="s">
        <v>3396</v>
      </c>
      <c r="BSY1" t="s">
        <v>3397</v>
      </c>
      <c r="BSZ1" t="s">
        <v>3398</v>
      </c>
      <c r="BTA1" t="s">
        <v>3399</v>
      </c>
      <c r="BTB1" t="s">
        <v>3400</v>
      </c>
      <c r="BTC1" t="s">
        <v>3401</v>
      </c>
      <c r="BTD1" t="s">
        <v>3402</v>
      </c>
      <c r="BTE1" t="s">
        <v>3403</v>
      </c>
      <c r="BTF1" t="s">
        <v>3404</v>
      </c>
      <c r="BTG1" t="s">
        <v>3405</v>
      </c>
      <c r="BTH1" t="s">
        <v>3406</v>
      </c>
      <c r="BTI1" t="s">
        <v>3407</v>
      </c>
      <c r="BTJ1" t="s">
        <v>3408</v>
      </c>
      <c r="BTK1" t="s">
        <v>3409</v>
      </c>
      <c r="BTL1" t="s">
        <v>3410</v>
      </c>
      <c r="BTM1" t="s">
        <v>3411</v>
      </c>
      <c r="BTN1" t="s">
        <v>3412</v>
      </c>
      <c r="BTO1" t="s">
        <v>3413</v>
      </c>
      <c r="BTP1" t="s">
        <v>3414</v>
      </c>
      <c r="BTQ1" t="s">
        <v>3415</v>
      </c>
      <c r="BTR1" t="s">
        <v>3416</v>
      </c>
      <c r="BTS1" t="s">
        <v>3417</v>
      </c>
      <c r="BTT1" t="s">
        <v>3418</v>
      </c>
      <c r="BTU1" t="s">
        <v>3419</v>
      </c>
      <c r="BTV1" t="s">
        <v>3420</v>
      </c>
      <c r="BTW1" t="s">
        <v>3421</v>
      </c>
      <c r="BTX1" t="s">
        <v>3422</v>
      </c>
      <c r="BTY1" t="s">
        <v>3423</v>
      </c>
      <c r="BTZ1" t="s">
        <v>3424</v>
      </c>
      <c r="BUA1" t="s">
        <v>3425</v>
      </c>
      <c r="BUB1" t="s">
        <v>3426</v>
      </c>
      <c r="BUC1" t="s">
        <v>3427</v>
      </c>
      <c r="BUD1" t="s">
        <v>3428</v>
      </c>
      <c r="BUE1" t="s">
        <v>3429</v>
      </c>
      <c r="BUF1" t="s">
        <v>3430</v>
      </c>
      <c r="BUG1" t="s">
        <v>3431</v>
      </c>
      <c r="BUH1" t="s">
        <v>3432</v>
      </c>
      <c r="BUI1" t="s">
        <v>3433</v>
      </c>
      <c r="BUJ1" t="s">
        <v>3434</v>
      </c>
      <c r="BUK1" t="s">
        <v>3435</v>
      </c>
      <c r="BUL1" t="s">
        <v>3436</v>
      </c>
      <c r="BUM1" t="s">
        <v>3437</v>
      </c>
      <c r="BUN1" t="s">
        <v>3438</v>
      </c>
      <c r="BUO1" t="s">
        <v>3439</v>
      </c>
      <c r="BUP1" t="s">
        <v>3440</v>
      </c>
      <c r="BUQ1" t="s">
        <v>3441</v>
      </c>
      <c r="BUR1" t="s">
        <v>3442</v>
      </c>
      <c r="BUS1" t="s">
        <v>3443</v>
      </c>
      <c r="BUT1" t="s">
        <v>3444</v>
      </c>
      <c r="BUU1" t="s">
        <v>3445</v>
      </c>
      <c r="BUV1" t="s">
        <v>3446</v>
      </c>
      <c r="BUW1" t="s">
        <v>3447</v>
      </c>
      <c r="BUX1" t="s">
        <v>3448</v>
      </c>
      <c r="BUY1" t="s">
        <v>3449</v>
      </c>
      <c r="BUZ1" t="s">
        <v>3450</v>
      </c>
      <c r="BVA1" t="s">
        <v>3451</v>
      </c>
      <c r="BVB1" t="s">
        <v>3452</v>
      </c>
      <c r="BVC1" t="s">
        <v>3453</v>
      </c>
      <c r="BVD1" t="s">
        <v>3454</v>
      </c>
      <c r="BVE1" t="s">
        <v>3455</v>
      </c>
      <c r="BVF1" t="s">
        <v>3456</v>
      </c>
      <c r="BVG1" t="s">
        <v>3457</v>
      </c>
      <c r="BVH1" t="s">
        <v>3458</v>
      </c>
      <c r="BVI1" t="s">
        <v>3459</v>
      </c>
      <c r="BVJ1" t="s">
        <v>3460</v>
      </c>
      <c r="BVK1" t="s">
        <v>3461</v>
      </c>
      <c r="BVL1" t="s">
        <v>3462</v>
      </c>
      <c r="BVM1" t="s">
        <v>3463</v>
      </c>
      <c r="BVN1" t="s">
        <v>3464</v>
      </c>
      <c r="BVO1" t="s">
        <v>3465</v>
      </c>
      <c r="BVP1" t="s">
        <v>3466</v>
      </c>
      <c r="BVQ1" t="s">
        <v>3467</v>
      </c>
      <c r="BVR1" t="s">
        <v>3468</v>
      </c>
      <c r="BVS1" t="s">
        <v>3469</v>
      </c>
      <c r="BVT1" t="s">
        <v>3470</v>
      </c>
      <c r="BVU1" t="s">
        <v>3471</v>
      </c>
      <c r="BVV1" t="s">
        <v>3472</v>
      </c>
      <c r="BVW1" t="s">
        <v>3473</v>
      </c>
      <c r="BVX1" t="s">
        <v>3474</v>
      </c>
      <c r="BVY1" t="s">
        <v>3475</v>
      </c>
      <c r="BVZ1" t="s">
        <v>3476</v>
      </c>
      <c r="BWA1" t="s">
        <v>3477</v>
      </c>
      <c r="BWB1" t="s">
        <v>3478</v>
      </c>
      <c r="BWC1" t="s">
        <v>3479</v>
      </c>
      <c r="BWD1" t="s">
        <v>3480</v>
      </c>
      <c r="BWE1" t="s">
        <v>3481</v>
      </c>
      <c r="BWF1" t="s">
        <v>3482</v>
      </c>
      <c r="BWG1" t="s">
        <v>3483</v>
      </c>
      <c r="BWH1" t="s">
        <v>3484</v>
      </c>
      <c r="BWI1" t="s">
        <v>3485</v>
      </c>
      <c r="BWJ1" t="s">
        <v>3486</v>
      </c>
      <c r="BWK1" t="s">
        <v>3487</v>
      </c>
      <c r="BWL1" t="s">
        <v>3488</v>
      </c>
      <c r="BWM1" t="s">
        <v>3489</v>
      </c>
      <c r="BWN1" t="s">
        <v>3490</v>
      </c>
      <c r="BWO1" t="s">
        <v>3491</v>
      </c>
      <c r="BWP1" t="s">
        <v>3492</v>
      </c>
      <c r="BWQ1" t="s">
        <v>3493</v>
      </c>
      <c r="BWR1" t="s">
        <v>3494</v>
      </c>
      <c r="BWS1" t="s">
        <v>3495</v>
      </c>
      <c r="BWT1" t="s">
        <v>3496</v>
      </c>
      <c r="BWU1" t="s">
        <v>3497</v>
      </c>
      <c r="BWV1" t="s">
        <v>3498</v>
      </c>
      <c r="BWW1" t="s">
        <v>3499</v>
      </c>
      <c r="BWX1" t="s">
        <v>3500</v>
      </c>
      <c r="BWY1" t="s">
        <v>3501</v>
      </c>
      <c r="BWZ1" t="s">
        <v>3502</v>
      </c>
      <c r="BXA1" t="s">
        <v>3503</v>
      </c>
      <c r="BXB1" t="s">
        <v>3504</v>
      </c>
      <c r="BXC1" t="s">
        <v>3505</v>
      </c>
      <c r="BXD1" t="s">
        <v>3506</v>
      </c>
      <c r="BXE1" t="s">
        <v>3507</v>
      </c>
      <c r="BXF1" t="s">
        <v>3508</v>
      </c>
      <c r="BXG1" t="s">
        <v>3509</v>
      </c>
      <c r="BXH1" t="s">
        <v>3510</v>
      </c>
      <c r="BXI1" t="s">
        <v>3511</v>
      </c>
      <c r="BXJ1" t="s">
        <v>3512</v>
      </c>
      <c r="BXK1" t="s">
        <v>3513</v>
      </c>
      <c r="BXL1" t="s">
        <v>3514</v>
      </c>
      <c r="BXM1" t="s">
        <v>3515</v>
      </c>
      <c r="BXN1" t="s">
        <v>3516</v>
      </c>
      <c r="BXO1" t="s">
        <v>3517</v>
      </c>
      <c r="BXP1" t="s">
        <v>3518</v>
      </c>
      <c r="BXQ1" t="s">
        <v>3519</v>
      </c>
      <c r="BXR1" t="s">
        <v>3520</v>
      </c>
      <c r="BXS1" t="s">
        <v>3521</v>
      </c>
      <c r="BXT1" t="s">
        <v>3522</v>
      </c>
      <c r="BXU1" t="s">
        <v>3523</v>
      </c>
      <c r="BXV1" t="s">
        <v>3524</v>
      </c>
      <c r="BXW1" t="s">
        <v>3525</v>
      </c>
      <c r="BXX1" t="s">
        <v>3526</v>
      </c>
      <c r="BXY1" t="s">
        <v>3527</v>
      </c>
      <c r="BXZ1" t="s">
        <v>3528</v>
      </c>
      <c r="BYA1" t="s">
        <v>3529</v>
      </c>
      <c r="BYB1" t="s">
        <v>3530</v>
      </c>
      <c r="BYC1" t="s">
        <v>3531</v>
      </c>
      <c r="BYD1" t="s">
        <v>3532</v>
      </c>
      <c r="BYE1" t="s">
        <v>3533</v>
      </c>
      <c r="BYF1" t="s">
        <v>3534</v>
      </c>
      <c r="BYG1" t="s">
        <v>3535</v>
      </c>
      <c r="BYH1" t="s">
        <v>3536</v>
      </c>
      <c r="BYI1" t="s">
        <v>3537</v>
      </c>
      <c r="BYJ1" t="s">
        <v>3538</v>
      </c>
      <c r="BYK1" t="s">
        <v>3539</v>
      </c>
      <c r="BYL1" t="s">
        <v>3540</v>
      </c>
      <c r="BYM1" t="s">
        <v>3541</v>
      </c>
      <c r="BYN1" t="s">
        <v>3542</v>
      </c>
      <c r="BYO1" t="s">
        <v>3543</v>
      </c>
      <c r="BYP1" t="s">
        <v>3544</v>
      </c>
      <c r="BYQ1" t="s">
        <v>3545</v>
      </c>
      <c r="BYR1" t="s">
        <v>3546</v>
      </c>
      <c r="BYS1" t="s">
        <v>3547</v>
      </c>
      <c r="BYT1" t="s">
        <v>3548</v>
      </c>
      <c r="BYU1" t="s">
        <v>3549</v>
      </c>
      <c r="BYV1" t="s">
        <v>3550</v>
      </c>
      <c r="BYW1" t="s">
        <v>3551</v>
      </c>
      <c r="BYX1" t="s">
        <v>3552</v>
      </c>
      <c r="BYY1" t="s">
        <v>3553</v>
      </c>
      <c r="BYZ1" t="s">
        <v>3554</v>
      </c>
      <c r="BZA1" t="s">
        <v>3555</v>
      </c>
      <c r="BZB1" t="s">
        <v>3556</v>
      </c>
      <c r="BZC1" t="s">
        <v>3557</v>
      </c>
      <c r="BZD1" t="s">
        <v>3558</v>
      </c>
      <c r="BZE1" t="s">
        <v>3559</v>
      </c>
      <c r="BZF1" t="s">
        <v>3560</v>
      </c>
      <c r="BZG1" t="s">
        <v>3561</v>
      </c>
      <c r="BZH1" t="s">
        <v>3562</v>
      </c>
      <c r="BZI1" t="s">
        <v>3563</v>
      </c>
      <c r="BZJ1" t="s">
        <v>3564</v>
      </c>
      <c r="BZK1" t="s">
        <v>3565</v>
      </c>
      <c r="BZL1" t="s">
        <v>3566</v>
      </c>
      <c r="BZM1" t="s">
        <v>3567</v>
      </c>
      <c r="BZN1" t="s">
        <v>3568</v>
      </c>
      <c r="BZO1" t="s">
        <v>3569</v>
      </c>
      <c r="BZP1" t="s">
        <v>3570</v>
      </c>
      <c r="BZQ1" t="s">
        <v>3571</v>
      </c>
      <c r="BZR1" t="s">
        <v>3572</v>
      </c>
      <c r="BZS1" t="s">
        <v>3573</v>
      </c>
      <c r="BZT1" t="s">
        <v>3574</v>
      </c>
      <c r="BZU1" t="s">
        <v>3575</v>
      </c>
      <c r="BZV1" t="s">
        <v>3576</v>
      </c>
      <c r="BZW1" t="s">
        <v>3577</v>
      </c>
      <c r="BZX1" t="s">
        <v>3578</v>
      </c>
      <c r="BZY1" t="s">
        <v>3579</v>
      </c>
      <c r="BZZ1" t="s">
        <v>3580</v>
      </c>
      <c r="CAA1" t="s">
        <v>3581</v>
      </c>
      <c r="CAB1" t="s">
        <v>3582</v>
      </c>
      <c r="CAC1" t="s">
        <v>3583</v>
      </c>
      <c r="CAD1" t="s">
        <v>3584</v>
      </c>
      <c r="CAE1" t="s">
        <v>3585</v>
      </c>
      <c r="CAF1" t="s">
        <v>3586</v>
      </c>
      <c r="CAG1" t="s">
        <v>3587</v>
      </c>
      <c r="CAH1" t="s">
        <v>3588</v>
      </c>
      <c r="CAI1" t="s">
        <v>3589</v>
      </c>
      <c r="CAJ1" t="s">
        <v>3590</v>
      </c>
      <c r="CAK1" t="s">
        <v>3591</v>
      </c>
      <c r="CAL1" t="s">
        <v>3592</v>
      </c>
      <c r="CAM1" t="s">
        <v>3593</v>
      </c>
      <c r="CAN1" t="s">
        <v>3594</v>
      </c>
      <c r="CAO1" t="s">
        <v>3595</v>
      </c>
      <c r="CAP1" t="s">
        <v>3596</v>
      </c>
      <c r="CAQ1" t="s">
        <v>3597</v>
      </c>
      <c r="CAR1" t="s">
        <v>3598</v>
      </c>
      <c r="CAS1" t="s">
        <v>3599</v>
      </c>
      <c r="CAT1" t="s">
        <v>3600</v>
      </c>
      <c r="CAU1" t="s">
        <v>3601</v>
      </c>
      <c r="CAV1" t="s">
        <v>3602</v>
      </c>
      <c r="CAW1" t="s">
        <v>3603</v>
      </c>
      <c r="CAX1" t="s">
        <v>3604</v>
      </c>
      <c r="CAY1" t="s">
        <v>3605</v>
      </c>
      <c r="CAZ1" t="s">
        <v>3606</v>
      </c>
      <c r="CBA1" t="s">
        <v>3607</v>
      </c>
      <c r="CBB1" t="s">
        <v>3608</v>
      </c>
      <c r="CBC1" t="s">
        <v>3609</v>
      </c>
      <c r="CBD1" t="s">
        <v>3610</v>
      </c>
      <c r="CBE1" t="s">
        <v>3611</v>
      </c>
      <c r="CBF1" t="s">
        <v>3612</v>
      </c>
      <c r="CBG1" t="s">
        <v>3613</v>
      </c>
      <c r="CBH1" t="s">
        <v>3614</v>
      </c>
      <c r="CBI1" t="s">
        <v>3615</v>
      </c>
      <c r="CBJ1" t="s">
        <v>3616</v>
      </c>
      <c r="CBK1" t="s">
        <v>3617</v>
      </c>
      <c r="CBL1" t="s">
        <v>3618</v>
      </c>
      <c r="CBM1" t="s">
        <v>3619</v>
      </c>
      <c r="CBN1" t="s">
        <v>3620</v>
      </c>
      <c r="CBO1" t="s">
        <v>3621</v>
      </c>
      <c r="CBP1" t="s">
        <v>3622</v>
      </c>
      <c r="CBQ1" t="s">
        <v>3623</v>
      </c>
      <c r="CBR1" t="s">
        <v>3624</v>
      </c>
      <c r="CBS1" t="s">
        <v>3625</v>
      </c>
      <c r="CBT1" t="s">
        <v>3626</v>
      </c>
      <c r="CBU1" t="s">
        <v>3627</v>
      </c>
      <c r="CBV1" t="s">
        <v>3628</v>
      </c>
      <c r="CBW1" t="s">
        <v>3629</v>
      </c>
      <c r="CBX1" t="s">
        <v>3630</v>
      </c>
      <c r="CBY1" t="s">
        <v>3631</v>
      </c>
      <c r="CBZ1" t="s">
        <v>3632</v>
      </c>
      <c r="CCA1" t="s">
        <v>3633</v>
      </c>
      <c r="CCB1" t="s">
        <v>3634</v>
      </c>
      <c r="CCC1" t="s">
        <v>3635</v>
      </c>
      <c r="CCD1" t="s">
        <v>3636</v>
      </c>
      <c r="CCE1" t="s">
        <v>3637</v>
      </c>
      <c r="CCF1" t="s">
        <v>3638</v>
      </c>
      <c r="CCG1" t="s">
        <v>3639</v>
      </c>
      <c r="CCH1" t="s">
        <v>3640</v>
      </c>
      <c r="CCI1" t="s">
        <v>3641</v>
      </c>
      <c r="CCJ1" t="s">
        <v>3642</v>
      </c>
      <c r="CCK1" t="s">
        <v>3643</v>
      </c>
      <c r="CCL1" t="s">
        <v>3644</v>
      </c>
      <c r="CCM1" t="s">
        <v>3645</v>
      </c>
      <c r="CCN1" t="s">
        <v>3646</v>
      </c>
      <c r="CCO1" t="s">
        <v>3647</v>
      </c>
      <c r="CCP1" t="s">
        <v>3648</v>
      </c>
      <c r="CCQ1" t="s">
        <v>3649</v>
      </c>
      <c r="CCR1" t="s">
        <v>3650</v>
      </c>
      <c r="CCS1" t="s">
        <v>3651</v>
      </c>
      <c r="CCT1" t="s">
        <v>3652</v>
      </c>
      <c r="CCU1" t="s">
        <v>3653</v>
      </c>
      <c r="CCV1" t="s">
        <v>3654</v>
      </c>
      <c r="CCW1" t="s">
        <v>3655</v>
      </c>
      <c r="CCX1" t="s">
        <v>3656</v>
      </c>
      <c r="CCY1" t="s">
        <v>3657</v>
      </c>
      <c r="CCZ1" t="s">
        <v>3658</v>
      </c>
      <c r="CDA1" t="s">
        <v>3659</v>
      </c>
      <c r="CDB1" t="s">
        <v>3660</v>
      </c>
      <c r="CDC1" t="s">
        <v>3661</v>
      </c>
      <c r="CDD1" t="s">
        <v>3662</v>
      </c>
      <c r="CDE1" t="s">
        <v>3663</v>
      </c>
      <c r="CDF1" t="s">
        <v>3664</v>
      </c>
      <c r="CDG1" t="s">
        <v>3665</v>
      </c>
      <c r="CDH1" t="s">
        <v>3666</v>
      </c>
      <c r="CDI1" t="s">
        <v>3667</v>
      </c>
      <c r="CDJ1" t="s">
        <v>3668</v>
      </c>
      <c r="CDK1" t="s">
        <v>3669</v>
      </c>
      <c r="CDL1" t="s">
        <v>3670</v>
      </c>
      <c r="CDM1" t="s">
        <v>3671</v>
      </c>
      <c r="CDN1" t="s">
        <v>3672</v>
      </c>
      <c r="CDO1" t="s">
        <v>3673</v>
      </c>
      <c r="CDP1" t="s">
        <v>3674</v>
      </c>
      <c r="CDQ1" t="s">
        <v>3675</v>
      </c>
      <c r="CDR1" t="s">
        <v>3676</v>
      </c>
      <c r="CDS1" t="s">
        <v>3677</v>
      </c>
      <c r="CDT1" t="s">
        <v>3678</v>
      </c>
      <c r="CDU1" t="s">
        <v>3679</v>
      </c>
      <c r="CDV1" t="s">
        <v>3680</v>
      </c>
      <c r="CDW1" t="s">
        <v>3681</v>
      </c>
      <c r="CDX1" t="s">
        <v>3682</v>
      </c>
      <c r="CDY1" t="s">
        <v>3683</v>
      </c>
      <c r="CDZ1" t="s">
        <v>3684</v>
      </c>
      <c r="CEA1" t="s">
        <v>3685</v>
      </c>
      <c r="CEB1" t="s">
        <v>3686</v>
      </c>
      <c r="CEC1" t="s">
        <v>3687</v>
      </c>
      <c r="CED1" t="s">
        <v>3688</v>
      </c>
      <c r="CEE1" t="s">
        <v>3689</v>
      </c>
      <c r="CEF1" t="s">
        <v>3690</v>
      </c>
      <c r="CEG1" t="s">
        <v>3691</v>
      </c>
      <c r="CEH1" t="s">
        <v>3692</v>
      </c>
      <c r="CEI1" t="s">
        <v>3693</v>
      </c>
      <c r="CEJ1" t="s">
        <v>3694</v>
      </c>
      <c r="CEK1" t="s">
        <v>3695</v>
      </c>
      <c r="CEL1" t="s">
        <v>3696</v>
      </c>
      <c r="CEM1" t="s">
        <v>3697</v>
      </c>
      <c r="CEN1" t="s">
        <v>3698</v>
      </c>
      <c r="CEO1" t="s">
        <v>3699</v>
      </c>
      <c r="CEP1" t="s">
        <v>3700</v>
      </c>
      <c r="CEQ1" t="s">
        <v>3701</v>
      </c>
      <c r="CER1" t="s">
        <v>3702</v>
      </c>
      <c r="CES1" t="s">
        <v>3703</v>
      </c>
      <c r="CET1" t="s">
        <v>3704</v>
      </c>
      <c r="CEU1" t="s">
        <v>3705</v>
      </c>
      <c r="CEV1" t="s">
        <v>3706</v>
      </c>
      <c r="CEW1" t="s">
        <v>3707</v>
      </c>
      <c r="CEX1" t="s">
        <v>3708</v>
      </c>
      <c r="CEY1" t="s">
        <v>3709</v>
      </c>
      <c r="CEZ1" t="s">
        <v>3710</v>
      </c>
      <c r="CFA1" t="s">
        <v>3711</v>
      </c>
      <c r="CFB1" t="s">
        <v>3712</v>
      </c>
      <c r="CFC1" t="s">
        <v>3713</v>
      </c>
      <c r="CFD1" t="s">
        <v>3714</v>
      </c>
      <c r="CFE1" t="s">
        <v>3715</v>
      </c>
      <c r="CFF1" t="s">
        <v>3716</v>
      </c>
      <c r="CFG1" t="s">
        <v>3717</v>
      </c>
      <c r="CFH1" t="s">
        <v>3718</v>
      </c>
      <c r="CFI1" t="s">
        <v>3719</v>
      </c>
      <c r="CFJ1" t="s">
        <v>3720</v>
      </c>
      <c r="CFK1" t="s">
        <v>3721</v>
      </c>
      <c r="CFL1" t="s">
        <v>3722</v>
      </c>
      <c r="CFM1" t="s">
        <v>3723</v>
      </c>
      <c r="CFN1" t="s">
        <v>3724</v>
      </c>
      <c r="CFO1" t="s">
        <v>3725</v>
      </c>
      <c r="CFP1" t="s">
        <v>3726</v>
      </c>
      <c r="CFQ1" t="s">
        <v>3727</v>
      </c>
      <c r="CFR1" t="s">
        <v>3728</v>
      </c>
      <c r="CFS1" t="s">
        <v>3729</v>
      </c>
      <c r="CFT1" t="s">
        <v>3730</v>
      </c>
      <c r="CFU1" t="s">
        <v>3731</v>
      </c>
      <c r="CFV1" t="s">
        <v>3732</v>
      </c>
      <c r="CFW1" t="s">
        <v>3733</v>
      </c>
      <c r="CFX1" t="s">
        <v>3734</v>
      </c>
      <c r="CFY1" t="s">
        <v>3735</v>
      </c>
      <c r="CFZ1" t="s">
        <v>3736</v>
      </c>
      <c r="CGA1" t="s">
        <v>3737</v>
      </c>
      <c r="CGB1" t="s">
        <v>3738</v>
      </c>
      <c r="CGC1" t="s">
        <v>3739</v>
      </c>
      <c r="CGD1" t="s">
        <v>3740</v>
      </c>
      <c r="CGE1" t="s">
        <v>3741</v>
      </c>
      <c r="CGF1" t="s">
        <v>3742</v>
      </c>
      <c r="CGG1" t="s">
        <v>3743</v>
      </c>
      <c r="CGH1" t="s">
        <v>3744</v>
      </c>
      <c r="CGI1" t="s">
        <v>3745</v>
      </c>
      <c r="CGJ1" t="s">
        <v>3746</v>
      </c>
      <c r="CGK1" t="s">
        <v>3747</v>
      </c>
      <c r="CGL1" t="s">
        <v>3748</v>
      </c>
      <c r="CGM1" t="s">
        <v>3749</v>
      </c>
      <c r="CGN1" t="s">
        <v>3750</v>
      </c>
      <c r="CGO1" t="s">
        <v>3751</v>
      </c>
      <c r="CGP1" t="s">
        <v>3752</v>
      </c>
      <c r="CGQ1" t="s">
        <v>3753</v>
      </c>
      <c r="CGR1" t="s">
        <v>3754</v>
      </c>
      <c r="CGS1" t="s">
        <v>3755</v>
      </c>
      <c r="CGT1" t="s">
        <v>3756</v>
      </c>
      <c r="CGU1" t="s">
        <v>3757</v>
      </c>
      <c r="CGV1" t="s">
        <v>3758</v>
      </c>
      <c r="CGW1" t="s">
        <v>3759</v>
      </c>
      <c r="CGX1" t="s">
        <v>3760</v>
      </c>
      <c r="CGY1" t="s">
        <v>3761</v>
      </c>
      <c r="CGZ1" t="s">
        <v>3762</v>
      </c>
      <c r="CHA1" t="s">
        <v>3763</v>
      </c>
      <c r="CHB1" t="s">
        <v>3764</v>
      </c>
      <c r="CHC1" t="s">
        <v>3765</v>
      </c>
      <c r="CHD1" t="s">
        <v>3766</v>
      </c>
      <c r="CHE1" t="s">
        <v>3767</v>
      </c>
      <c r="CHF1" t="s">
        <v>3768</v>
      </c>
      <c r="CHG1" t="s">
        <v>3769</v>
      </c>
      <c r="CHH1" t="s">
        <v>3770</v>
      </c>
      <c r="CHI1" t="s">
        <v>3771</v>
      </c>
      <c r="CHJ1" t="s">
        <v>3772</v>
      </c>
      <c r="CHK1" t="s">
        <v>3773</v>
      </c>
      <c r="CHL1" t="s">
        <v>3774</v>
      </c>
      <c r="CHM1" t="s">
        <v>3775</v>
      </c>
      <c r="CHN1" t="s">
        <v>3776</v>
      </c>
      <c r="CHO1" t="s">
        <v>3777</v>
      </c>
      <c r="CHP1" t="s">
        <v>3778</v>
      </c>
      <c r="CHQ1" t="s">
        <v>3779</v>
      </c>
      <c r="CHR1" t="s">
        <v>3780</v>
      </c>
      <c r="CHS1" t="s">
        <v>3781</v>
      </c>
      <c r="CHT1" t="s">
        <v>3782</v>
      </c>
      <c r="CHU1" t="s">
        <v>3783</v>
      </c>
      <c r="CHV1" t="s">
        <v>3784</v>
      </c>
      <c r="CHW1" t="s">
        <v>3785</v>
      </c>
      <c r="CHX1" t="s">
        <v>3786</v>
      </c>
      <c r="CHY1" t="s">
        <v>3787</v>
      </c>
      <c r="CHZ1" t="s">
        <v>3788</v>
      </c>
      <c r="CIA1" t="s">
        <v>3789</v>
      </c>
      <c r="CIB1" t="s">
        <v>3790</v>
      </c>
      <c r="CIC1" t="s">
        <v>3791</v>
      </c>
      <c r="CID1" t="s">
        <v>3792</v>
      </c>
      <c r="CIE1" t="s">
        <v>3793</v>
      </c>
      <c r="CIF1" t="s">
        <v>3794</v>
      </c>
      <c r="CIG1" t="s">
        <v>3795</v>
      </c>
      <c r="CIH1" t="s">
        <v>3796</v>
      </c>
      <c r="CII1" t="s">
        <v>3797</v>
      </c>
      <c r="CIJ1" t="s">
        <v>3798</v>
      </c>
      <c r="CIK1" t="s">
        <v>3799</v>
      </c>
      <c r="CIL1" t="s">
        <v>3800</v>
      </c>
      <c r="CIM1" t="s">
        <v>3801</v>
      </c>
      <c r="CIN1" t="s">
        <v>3802</v>
      </c>
      <c r="CIO1" t="s">
        <v>3803</v>
      </c>
      <c r="CIP1" t="s">
        <v>3804</v>
      </c>
      <c r="CIQ1" t="s">
        <v>3805</v>
      </c>
      <c r="CIR1" t="s">
        <v>3806</v>
      </c>
      <c r="CIS1" t="s">
        <v>3807</v>
      </c>
      <c r="CIT1" t="s">
        <v>3808</v>
      </c>
      <c r="CIU1" t="s">
        <v>3809</v>
      </c>
      <c r="CIV1" t="s">
        <v>3810</v>
      </c>
      <c r="CIW1" t="s">
        <v>3811</v>
      </c>
      <c r="CIX1" t="s">
        <v>3812</v>
      </c>
      <c r="CIY1" t="s">
        <v>3813</v>
      </c>
      <c r="CIZ1" t="s">
        <v>3814</v>
      </c>
      <c r="CJA1" t="s">
        <v>3815</v>
      </c>
      <c r="CJB1" t="s">
        <v>3816</v>
      </c>
      <c r="CJC1" t="s">
        <v>3817</v>
      </c>
      <c r="CJD1" t="s">
        <v>3818</v>
      </c>
      <c r="CJE1" t="s">
        <v>3819</v>
      </c>
      <c r="CJF1" t="s">
        <v>3820</v>
      </c>
      <c r="CJG1" t="s">
        <v>3821</v>
      </c>
      <c r="CJH1" t="s">
        <v>3822</v>
      </c>
      <c r="CJI1" t="s">
        <v>3823</v>
      </c>
      <c r="CJJ1" t="s">
        <v>3824</v>
      </c>
      <c r="CJK1" t="s">
        <v>3825</v>
      </c>
      <c r="CJL1" t="s">
        <v>3826</v>
      </c>
      <c r="CJM1" t="s">
        <v>3827</v>
      </c>
      <c r="CJN1" t="s">
        <v>3828</v>
      </c>
      <c r="CJO1" t="s">
        <v>3829</v>
      </c>
      <c r="CJP1" t="s">
        <v>3830</v>
      </c>
      <c r="CJQ1" t="s">
        <v>3831</v>
      </c>
      <c r="CJR1" t="s">
        <v>3832</v>
      </c>
      <c r="CJS1" t="s">
        <v>3833</v>
      </c>
      <c r="CJT1" t="s">
        <v>3834</v>
      </c>
      <c r="CJU1" t="s">
        <v>3835</v>
      </c>
      <c r="CJV1" t="s">
        <v>3836</v>
      </c>
      <c r="CJW1" t="s">
        <v>3837</v>
      </c>
      <c r="CJX1" t="s">
        <v>3838</v>
      </c>
      <c r="CJY1" t="s">
        <v>3839</v>
      </c>
      <c r="CJZ1" t="s">
        <v>3840</v>
      </c>
      <c r="CKA1" t="s">
        <v>3841</v>
      </c>
      <c r="CKB1" t="s">
        <v>3842</v>
      </c>
      <c r="CKC1" t="s">
        <v>3843</v>
      </c>
      <c r="CKD1" t="s">
        <v>3844</v>
      </c>
      <c r="CKE1" t="s">
        <v>3845</v>
      </c>
      <c r="CKF1" t="s">
        <v>3846</v>
      </c>
      <c r="CKG1" t="s">
        <v>3847</v>
      </c>
      <c r="CKH1" t="s">
        <v>3848</v>
      </c>
      <c r="CKI1" t="s">
        <v>3849</v>
      </c>
      <c r="CKJ1" t="s">
        <v>3850</v>
      </c>
      <c r="CKK1" t="s">
        <v>3851</v>
      </c>
      <c r="CKL1" t="s">
        <v>3852</v>
      </c>
      <c r="CKM1" t="s">
        <v>3853</v>
      </c>
      <c r="CKN1" t="s">
        <v>3854</v>
      </c>
      <c r="CKO1" t="s">
        <v>3855</v>
      </c>
      <c r="CKP1" t="s">
        <v>3856</v>
      </c>
      <c r="CKQ1" t="s">
        <v>3857</v>
      </c>
      <c r="CKR1" t="s">
        <v>3858</v>
      </c>
      <c r="CKS1" t="s">
        <v>3859</v>
      </c>
      <c r="CKT1" t="s">
        <v>3860</v>
      </c>
      <c r="CKU1" t="s">
        <v>3861</v>
      </c>
      <c r="CKV1" t="s">
        <v>3862</v>
      </c>
      <c r="CKW1" t="s">
        <v>3863</v>
      </c>
      <c r="CKX1" t="s">
        <v>3864</v>
      </c>
      <c r="CKY1" t="s">
        <v>3865</v>
      </c>
      <c r="CKZ1" t="s">
        <v>3866</v>
      </c>
      <c r="CLA1" t="s">
        <v>3867</v>
      </c>
      <c r="CLB1" t="s">
        <v>3868</v>
      </c>
      <c r="CLC1" t="s">
        <v>3869</v>
      </c>
      <c r="CLD1" t="s">
        <v>3870</v>
      </c>
      <c r="CLE1" t="s">
        <v>3871</v>
      </c>
      <c r="CLF1" t="s">
        <v>3872</v>
      </c>
      <c r="CLG1" t="s">
        <v>3873</v>
      </c>
      <c r="CLH1" t="s">
        <v>3874</v>
      </c>
      <c r="CLI1" t="s">
        <v>3875</v>
      </c>
      <c r="CLJ1" t="s">
        <v>3876</v>
      </c>
      <c r="CLK1" t="s">
        <v>3877</v>
      </c>
      <c r="CLL1" t="s">
        <v>3878</v>
      </c>
      <c r="CLM1" t="s">
        <v>3879</v>
      </c>
      <c r="CLN1" t="s">
        <v>3880</v>
      </c>
      <c r="CLO1" t="s">
        <v>3881</v>
      </c>
      <c r="CLP1" t="s">
        <v>3882</v>
      </c>
      <c r="CLQ1" t="s">
        <v>3883</v>
      </c>
      <c r="CLR1" t="s">
        <v>3884</v>
      </c>
      <c r="CLS1" t="s">
        <v>3885</v>
      </c>
      <c r="CLT1" t="s">
        <v>3886</v>
      </c>
      <c r="CLU1" t="s">
        <v>3887</v>
      </c>
      <c r="CLV1" t="s">
        <v>3888</v>
      </c>
      <c r="CLW1" t="s">
        <v>3889</v>
      </c>
      <c r="CLX1" t="s">
        <v>3890</v>
      </c>
      <c r="CLY1" t="s">
        <v>3891</v>
      </c>
      <c r="CLZ1" t="s">
        <v>3892</v>
      </c>
      <c r="CMA1" t="s">
        <v>3893</v>
      </c>
      <c r="CMB1" t="s">
        <v>3894</v>
      </c>
      <c r="CMC1" t="s">
        <v>3895</v>
      </c>
      <c r="CMD1" t="s">
        <v>3896</v>
      </c>
      <c r="CME1" t="s">
        <v>3897</v>
      </c>
      <c r="CMF1" t="s">
        <v>3898</v>
      </c>
      <c r="CMG1" t="s">
        <v>3899</v>
      </c>
      <c r="CMH1" t="s">
        <v>3900</v>
      </c>
      <c r="CMI1" t="s">
        <v>3901</v>
      </c>
      <c r="CMJ1" t="s">
        <v>3902</v>
      </c>
      <c r="CMK1" t="s">
        <v>3903</v>
      </c>
      <c r="CML1" t="s">
        <v>3904</v>
      </c>
      <c r="CMM1" t="s">
        <v>3905</v>
      </c>
      <c r="CMN1" t="s">
        <v>3906</v>
      </c>
      <c r="CMO1" t="s">
        <v>3907</v>
      </c>
      <c r="CMP1" t="s">
        <v>3908</v>
      </c>
      <c r="CMQ1" t="s">
        <v>3909</v>
      </c>
      <c r="CMR1" t="s">
        <v>3910</v>
      </c>
      <c r="CMS1" t="s">
        <v>3911</v>
      </c>
      <c r="CMT1" t="s">
        <v>3912</v>
      </c>
      <c r="CMU1" t="s">
        <v>3913</v>
      </c>
      <c r="CMV1" t="s">
        <v>3914</v>
      </c>
      <c r="CMW1" t="s">
        <v>3915</v>
      </c>
      <c r="CMX1" t="s">
        <v>3916</v>
      </c>
      <c r="CMY1" t="s">
        <v>3917</v>
      </c>
      <c r="CMZ1" t="s">
        <v>3918</v>
      </c>
      <c r="CNA1" t="s">
        <v>3919</v>
      </c>
      <c r="CNB1" t="s">
        <v>3920</v>
      </c>
      <c r="CNC1" t="s">
        <v>3921</v>
      </c>
      <c r="CND1" t="s">
        <v>3922</v>
      </c>
      <c r="CNE1" t="s">
        <v>3923</v>
      </c>
      <c r="CNF1" t="s">
        <v>3924</v>
      </c>
      <c r="CNG1" t="s">
        <v>3925</v>
      </c>
      <c r="CNH1" t="s">
        <v>3926</v>
      </c>
      <c r="CNI1" t="s">
        <v>3927</v>
      </c>
      <c r="CNJ1" t="s">
        <v>3928</v>
      </c>
      <c r="CNK1" t="s">
        <v>3929</v>
      </c>
      <c r="CNL1" t="s">
        <v>3930</v>
      </c>
      <c r="CNM1" t="s">
        <v>3931</v>
      </c>
      <c r="CNN1" t="s">
        <v>3932</v>
      </c>
      <c r="CNO1" t="s">
        <v>3933</v>
      </c>
      <c r="CNP1" t="s">
        <v>3934</v>
      </c>
      <c r="CNQ1" t="s">
        <v>3935</v>
      </c>
      <c r="CNR1" t="s">
        <v>3936</v>
      </c>
      <c r="CNS1" t="s">
        <v>3937</v>
      </c>
      <c r="CNT1" t="s">
        <v>3938</v>
      </c>
      <c r="CNU1" t="s">
        <v>3939</v>
      </c>
      <c r="CNV1" t="s">
        <v>3940</v>
      </c>
      <c r="CNW1" t="s">
        <v>3941</v>
      </c>
      <c r="CNX1" t="s">
        <v>3942</v>
      </c>
      <c r="CNY1" t="s">
        <v>3943</v>
      </c>
      <c r="CNZ1" t="s">
        <v>3944</v>
      </c>
      <c r="COA1" t="s">
        <v>3945</v>
      </c>
      <c r="COB1" t="s">
        <v>3946</v>
      </c>
      <c r="COC1" t="s">
        <v>3947</v>
      </c>
      <c r="COD1" t="s">
        <v>3948</v>
      </c>
      <c r="COE1" t="s">
        <v>3949</v>
      </c>
      <c r="COF1" t="s">
        <v>3950</v>
      </c>
      <c r="COG1" t="s">
        <v>3951</v>
      </c>
      <c r="COH1" t="s">
        <v>3952</v>
      </c>
      <c r="COI1" t="s">
        <v>3953</v>
      </c>
      <c r="COJ1" t="s">
        <v>3954</v>
      </c>
      <c r="COK1" t="s">
        <v>3955</v>
      </c>
      <c r="COL1" t="s">
        <v>3956</v>
      </c>
      <c r="COM1" t="s">
        <v>3957</v>
      </c>
      <c r="CON1" t="s">
        <v>3958</v>
      </c>
      <c r="COO1" t="s">
        <v>3959</v>
      </c>
      <c r="COP1" t="s">
        <v>3960</v>
      </c>
      <c r="COQ1" t="s">
        <v>3961</v>
      </c>
      <c r="COR1" t="s">
        <v>3962</v>
      </c>
      <c r="COS1" t="s">
        <v>3963</v>
      </c>
      <c r="COT1" t="s">
        <v>3964</v>
      </c>
      <c r="COU1" t="s">
        <v>3965</v>
      </c>
      <c r="COV1" t="s">
        <v>3966</v>
      </c>
      <c r="COW1" t="s">
        <v>3967</v>
      </c>
      <c r="COX1" t="s">
        <v>3968</v>
      </c>
      <c r="COY1" t="s">
        <v>3969</v>
      </c>
      <c r="COZ1" t="s">
        <v>3970</v>
      </c>
      <c r="CPA1" t="s">
        <v>3971</v>
      </c>
      <c r="CPB1" t="s">
        <v>3972</v>
      </c>
      <c r="CPC1" t="s">
        <v>3973</v>
      </c>
      <c r="CPD1" t="s">
        <v>3974</v>
      </c>
      <c r="CPE1" t="s">
        <v>3975</v>
      </c>
      <c r="CPF1" t="s">
        <v>3976</v>
      </c>
      <c r="CPG1" t="s">
        <v>3977</v>
      </c>
      <c r="CPH1" t="s">
        <v>3978</v>
      </c>
      <c r="CPI1" t="s">
        <v>3979</v>
      </c>
      <c r="CPJ1" t="s">
        <v>3980</v>
      </c>
      <c r="CPK1" t="s">
        <v>3981</v>
      </c>
      <c r="CPL1" t="s">
        <v>3982</v>
      </c>
      <c r="CPM1" t="s">
        <v>3983</v>
      </c>
      <c r="CPN1" t="s">
        <v>3984</v>
      </c>
      <c r="CPO1" t="s">
        <v>3985</v>
      </c>
      <c r="CPP1" t="s">
        <v>3986</v>
      </c>
      <c r="CPQ1" t="s">
        <v>3987</v>
      </c>
      <c r="CPR1" t="s">
        <v>3988</v>
      </c>
      <c r="CPS1" t="s">
        <v>3989</v>
      </c>
      <c r="CPT1" t="s">
        <v>3990</v>
      </c>
      <c r="CPU1" t="s">
        <v>3991</v>
      </c>
      <c r="CPV1" t="s">
        <v>3992</v>
      </c>
      <c r="CPW1" t="s">
        <v>3993</v>
      </c>
      <c r="CPX1" t="s">
        <v>3994</v>
      </c>
      <c r="CPY1" t="s">
        <v>3995</v>
      </c>
      <c r="CPZ1" t="s">
        <v>3996</v>
      </c>
      <c r="CQA1" t="s">
        <v>3997</v>
      </c>
      <c r="CQB1" t="s">
        <v>3998</v>
      </c>
      <c r="CQC1" t="s">
        <v>3999</v>
      </c>
      <c r="CQD1" t="s">
        <v>4000</v>
      </c>
      <c r="CQE1" t="s">
        <v>4001</v>
      </c>
      <c r="CQF1" t="s">
        <v>4002</v>
      </c>
      <c r="CQG1" t="s">
        <v>4003</v>
      </c>
      <c r="CQH1" t="s">
        <v>4004</v>
      </c>
      <c r="CQI1" t="s">
        <v>4005</v>
      </c>
      <c r="CQJ1" t="s">
        <v>4006</v>
      </c>
      <c r="CQK1" t="s">
        <v>4007</v>
      </c>
      <c r="CQL1" t="s">
        <v>4008</v>
      </c>
      <c r="CQM1" t="s">
        <v>4009</v>
      </c>
      <c r="CQN1" t="s">
        <v>4010</v>
      </c>
      <c r="CQO1" t="s">
        <v>4011</v>
      </c>
      <c r="CQP1" t="s">
        <v>4012</v>
      </c>
      <c r="CQQ1" t="s">
        <v>4013</v>
      </c>
      <c r="CQR1" t="s">
        <v>4014</v>
      </c>
      <c r="CQS1" t="s">
        <v>4015</v>
      </c>
      <c r="CQT1" t="s">
        <v>4016</v>
      </c>
      <c r="CQU1" t="s">
        <v>4017</v>
      </c>
      <c r="CQV1" t="s">
        <v>4018</v>
      </c>
      <c r="CQW1" t="s">
        <v>4019</v>
      </c>
      <c r="CQX1" t="s">
        <v>4020</v>
      </c>
      <c r="CQY1" t="s">
        <v>4021</v>
      </c>
      <c r="CQZ1" t="s">
        <v>4022</v>
      </c>
      <c r="CRA1" t="s">
        <v>4023</v>
      </c>
      <c r="CRB1" t="s">
        <v>4024</v>
      </c>
      <c r="CRC1" t="s">
        <v>4025</v>
      </c>
      <c r="CRD1" t="s">
        <v>4026</v>
      </c>
      <c r="CRE1" t="s">
        <v>4027</v>
      </c>
      <c r="CRF1" t="s">
        <v>4028</v>
      </c>
      <c r="CRG1" t="s">
        <v>4029</v>
      </c>
      <c r="CRH1" t="s">
        <v>4030</v>
      </c>
      <c r="CRI1" t="s">
        <v>4031</v>
      </c>
      <c r="CRJ1" t="s">
        <v>4032</v>
      </c>
      <c r="CRK1" t="s">
        <v>4033</v>
      </c>
      <c r="CRL1" t="s">
        <v>4034</v>
      </c>
      <c r="CRM1" t="s">
        <v>4035</v>
      </c>
      <c r="CRN1" t="s">
        <v>4036</v>
      </c>
      <c r="CRO1" t="s">
        <v>4037</v>
      </c>
      <c r="CRP1" t="s">
        <v>4038</v>
      </c>
      <c r="CRQ1" t="s">
        <v>4039</v>
      </c>
      <c r="CRR1" t="s">
        <v>4040</v>
      </c>
      <c r="CRS1" t="s">
        <v>4041</v>
      </c>
      <c r="CRT1" t="s">
        <v>4042</v>
      </c>
      <c r="CRU1" t="s">
        <v>4043</v>
      </c>
      <c r="CRV1" t="s">
        <v>4044</v>
      </c>
      <c r="CRW1" t="s">
        <v>4045</v>
      </c>
      <c r="CRX1" t="s">
        <v>4046</v>
      </c>
      <c r="CRY1" t="s">
        <v>4047</v>
      </c>
      <c r="CRZ1" t="s">
        <v>4048</v>
      </c>
      <c r="CSA1" t="s">
        <v>4049</v>
      </c>
      <c r="CSB1" t="s">
        <v>4050</v>
      </c>
      <c r="CSC1" t="s">
        <v>4051</v>
      </c>
      <c r="CSD1" t="s">
        <v>4052</v>
      </c>
      <c r="CSE1" t="s">
        <v>4053</v>
      </c>
      <c r="CSF1" t="s">
        <v>4054</v>
      </c>
      <c r="CSG1" t="s">
        <v>4055</v>
      </c>
      <c r="CSH1" t="s">
        <v>4056</v>
      </c>
      <c r="CSI1" t="s">
        <v>4057</v>
      </c>
      <c r="CSJ1" t="s">
        <v>4058</v>
      </c>
      <c r="CSK1" t="s">
        <v>4059</v>
      </c>
      <c r="CSL1" t="s">
        <v>4060</v>
      </c>
      <c r="CSM1" t="s">
        <v>4061</v>
      </c>
      <c r="CSN1" t="s">
        <v>4062</v>
      </c>
      <c r="CSO1" t="s">
        <v>4063</v>
      </c>
      <c r="CSP1" t="s">
        <v>4064</v>
      </c>
      <c r="CSQ1" t="s">
        <v>4065</v>
      </c>
      <c r="CSR1" t="s">
        <v>4066</v>
      </c>
      <c r="CSS1" t="s">
        <v>4067</v>
      </c>
      <c r="CST1" t="s">
        <v>4068</v>
      </c>
      <c r="CSU1" t="s">
        <v>4069</v>
      </c>
      <c r="CSV1" t="s">
        <v>4070</v>
      </c>
      <c r="CSW1" t="s">
        <v>4071</v>
      </c>
      <c r="CSX1" t="s">
        <v>4072</v>
      </c>
      <c r="CSY1" t="s">
        <v>4073</v>
      </c>
      <c r="CSZ1" t="s">
        <v>4074</v>
      </c>
      <c r="CTA1" t="s">
        <v>4075</v>
      </c>
      <c r="CTB1" t="s">
        <v>4076</v>
      </c>
      <c r="CTC1" t="s">
        <v>4077</v>
      </c>
      <c r="CTD1" t="s">
        <v>4078</v>
      </c>
      <c r="CTE1" t="s">
        <v>4079</v>
      </c>
      <c r="CTF1" t="s">
        <v>4080</v>
      </c>
      <c r="CTG1" t="s">
        <v>4081</v>
      </c>
      <c r="CTH1" t="s">
        <v>4082</v>
      </c>
      <c r="CTI1" t="s">
        <v>4083</v>
      </c>
      <c r="CTJ1" t="s">
        <v>4084</v>
      </c>
      <c r="CTK1" t="s">
        <v>4085</v>
      </c>
      <c r="CTL1" t="s">
        <v>4086</v>
      </c>
      <c r="CTM1" t="s">
        <v>4087</v>
      </c>
      <c r="CTN1" t="s">
        <v>4088</v>
      </c>
      <c r="CTO1" t="s">
        <v>4089</v>
      </c>
      <c r="CTP1" t="s">
        <v>4090</v>
      </c>
      <c r="CTQ1" t="s">
        <v>4091</v>
      </c>
      <c r="CTR1" t="s">
        <v>4092</v>
      </c>
      <c r="CTS1" t="s">
        <v>4093</v>
      </c>
      <c r="CTT1" t="s">
        <v>4094</v>
      </c>
      <c r="CTU1" t="s">
        <v>4095</v>
      </c>
      <c r="CTV1" t="s">
        <v>4096</v>
      </c>
      <c r="CTW1" t="s">
        <v>4097</v>
      </c>
      <c r="CTX1" t="s">
        <v>4098</v>
      </c>
      <c r="CTY1" t="s">
        <v>4099</v>
      </c>
      <c r="CTZ1" t="s">
        <v>4100</v>
      </c>
      <c r="CUA1" t="s">
        <v>4101</v>
      </c>
      <c r="CUB1" t="s">
        <v>4102</v>
      </c>
      <c r="CUC1" t="s">
        <v>4103</v>
      </c>
      <c r="CUD1" t="s">
        <v>4104</v>
      </c>
      <c r="CUE1" t="s">
        <v>4105</v>
      </c>
      <c r="CUF1" t="s">
        <v>4106</v>
      </c>
      <c r="CUG1" t="s">
        <v>4107</v>
      </c>
      <c r="CUH1" t="s">
        <v>4108</v>
      </c>
      <c r="CUI1" t="s">
        <v>4109</v>
      </c>
      <c r="CUJ1" t="s">
        <v>4110</v>
      </c>
      <c r="CUK1" t="s">
        <v>4111</v>
      </c>
      <c r="CUL1" t="s">
        <v>4112</v>
      </c>
      <c r="CUM1" t="s">
        <v>4113</v>
      </c>
      <c r="CUN1" t="s">
        <v>4114</v>
      </c>
      <c r="CUO1" t="s">
        <v>4115</v>
      </c>
      <c r="CUP1" t="s">
        <v>4116</v>
      </c>
      <c r="CUQ1" t="s">
        <v>4117</v>
      </c>
      <c r="CUR1" t="s">
        <v>4118</v>
      </c>
      <c r="CUS1" t="s">
        <v>4119</v>
      </c>
      <c r="CUT1" t="s">
        <v>4120</v>
      </c>
      <c r="CUU1" t="s">
        <v>4121</v>
      </c>
      <c r="CUV1" t="s">
        <v>4122</v>
      </c>
      <c r="CUW1" t="s">
        <v>4123</v>
      </c>
      <c r="CUX1" t="s">
        <v>4124</v>
      </c>
      <c r="CUY1" t="s">
        <v>4125</v>
      </c>
      <c r="CUZ1" t="s">
        <v>4126</v>
      </c>
      <c r="CVA1" t="s">
        <v>4127</v>
      </c>
      <c r="CVB1" t="s">
        <v>4128</v>
      </c>
      <c r="CVC1" t="s">
        <v>4129</v>
      </c>
      <c r="CVD1" t="s">
        <v>4130</v>
      </c>
      <c r="CVE1" t="s">
        <v>4131</v>
      </c>
      <c r="CVF1" t="s">
        <v>4132</v>
      </c>
      <c r="CVG1" t="s">
        <v>4133</v>
      </c>
      <c r="CVH1" t="s">
        <v>4134</v>
      </c>
      <c r="CVI1" t="s">
        <v>4135</v>
      </c>
      <c r="CVJ1" t="s">
        <v>4136</v>
      </c>
      <c r="CVK1" t="s">
        <v>4137</v>
      </c>
      <c r="CVL1" t="s">
        <v>4138</v>
      </c>
      <c r="CVM1" t="s">
        <v>4139</v>
      </c>
      <c r="CVN1" t="s">
        <v>4140</v>
      </c>
      <c r="CVO1" t="s">
        <v>4141</v>
      </c>
      <c r="CVP1" t="s">
        <v>4142</v>
      </c>
      <c r="CVQ1" t="s">
        <v>4143</v>
      </c>
      <c r="CVR1" t="s">
        <v>4144</v>
      </c>
      <c r="CVS1" t="s">
        <v>4145</v>
      </c>
      <c r="CVT1" t="s">
        <v>4146</v>
      </c>
      <c r="CVU1" t="s">
        <v>4147</v>
      </c>
      <c r="CVV1" t="s">
        <v>4148</v>
      </c>
      <c r="CVW1" t="s">
        <v>4149</v>
      </c>
      <c r="CVX1" t="s">
        <v>4150</v>
      </c>
      <c r="CVY1" t="s">
        <v>4151</v>
      </c>
      <c r="CVZ1" t="s">
        <v>4152</v>
      </c>
      <c r="CWA1" t="s">
        <v>4153</v>
      </c>
      <c r="CWB1" t="s">
        <v>4154</v>
      </c>
      <c r="CWC1" t="s">
        <v>4155</v>
      </c>
      <c r="CWD1" t="s">
        <v>4156</v>
      </c>
      <c r="CWE1" t="s">
        <v>4157</v>
      </c>
      <c r="CWF1" t="s">
        <v>4158</v>
      </c>
      <c r="CWG1" t="s">
        <v>4159</v>
      </c>
      <c r="CWH1" t="s">
        <v>4160</v>
      </c>
      <c r="CWI1" t="s">
        <v>4161</v>
      </c>
      <c r="CWJ1" t="s">
        <v>4162</v>
      </c>
      <c r="CWK1" t="s">
        <v>4163</v>
      </c>
      <c r="CWL1" t="s">
        <v>4164</v>
      </c>
      <c r="CWM1" t="s">
        <v>4165</v>
      </c>
      <c r="CWN1" t="s">
        <v>4166</v>
      </c>
      <c r="CWO1" t="s">
        <v>4167</v>
      </c>
      <c r="CWP1" t="s">
        <v>4168</v>
      </c>
      <c r="CWQ1" t="s">
        <v>4169</v>
      </c>
      <c r="CWR1" t="s">
        <v>4170</v>
      </c>
      <c r="CWS1" t="s">
        <v>4171</v>
      </c>
      <c r="CWT1" t="s">
        <v>4172</v>
      </c>
      <c r="CWU1" t="s">
        <v>4173</v>
      </c>
      <c r="CWV1" t="s">
        <v>4174</v>
      </c>
      <c r="CWW1" t="s">
        <v>4175</v>
      </c>
      <c r="CWX1" t="s">
        <v>4176</v>
      </c>
      <c r="CWY1" t="s">
        <v>4177</v>
      </c>
      <c r="CWZ1" t="s">
        <v>4178</v>
      </c>
      <c r="CXA1" t="s">
        <v>4179</v>
      </c>
      <c r="CXB1" t="s">
        <v>4180</v>
      </c>
      <c r="CXC1" t="s">
        <v>4181</v>
      </c>
      <c r="CXD1" t="s">
        <v>4182</v>
      </c>
      <c r="CXE1" t="s">
        <v>4183</v>
      </c>
      <c r="CXF1" t="s">
        <v>4184</v>
      </c>
      <c r="CXG1" t="s">
        <v>4185</v>
      </c>
      <c r="CXH1" t="s">
        <v>4186</v>
      </c>
      <c r="CXI1" t="s">
        <v>4187</v>
      </c>
      <c r="CXJ1" t="s">
        <v>4188</v>
      </c>
      <c r="CXK1" t="s">
        <v>4189</v>
      </c>
      <c r="CXL1" t="s">
        <v>4190</v>
      </c>
      <c r="CXM1" t="s">
        <v>4191</v>
      </c>
      <c r="CXN1" t="s">
        <v>4192</v>
      </c>
      <c r="CXO1" t="s">
        <v>4193</v>
      </c>
      <c r="CXP1" t="s">
        <v>4194</v>
      </c>
      <c r="CXQ1" t="s">
        <v>4195</v>
      </c>
      <c r="CXR1" t="s">
        <v>4196</v>
      </c>
      <c r="CXS1" t="s">
        <v>4197</v>
      </c>
      <c r="CXT1" t="s">
        <v>4198</v>
      </c>
      <c r="CXU1" t="s">
        <v>4199</v>
      </c>
      <c r="CXV1" t="s">
        <v>4200</v>
      </c>
      <c r="CXW1" t="s">
        <v>4201</v>
      </c>
      <c r="CXX1" t="s">
        <v>4202</v>
      </c>
      <c r="CXY1" t="s">
        <v>4203</v>
      </c>
      <c r="CXZ1" t="s">
        <v>4204</v>
      </c>
      <c r="CYA1" t="s">
        <v>4205</v>
      </c>
      <c r="CYB1" t="s">
        <v>4206</v>
      </c>
      <c r="CYC1" t="s">
        <v>4207</v>
      </c>
      <c r="CYD1" t="s">
        <v>4208</v>
      </c>
      <c r="CYE1" t="s">
        <v>4209</v>
      </c>
      <c r="CYF1" t="s">
        <v>4210</v>
      </c>
      <c r="CYG1" t="s">
        <v>4211</v>
      </c>
      <c r="CYH1" t="s">
        <v>4212</v>
      </c>
      <c r="CYI1" t="s">
        <v>4213</v>
      </c>
      <c r="CYJ1" t="s">
        <v>4214</v>
      </c>
      <c r="CYK1" t="s">
        <v>4215</v>
      </c>
      <c r="CYL1" t="s">
        <v>4216</v>
      </c>
      <c r="CYM1" t="s">
        <v>4217</v>
      </c>
      <c r="CYN1" t="s">
        <v>4218</v>
      </c>
      <c r="CYO1" t="s">
        <v>4219</v>
      </c>
      <c r="CYP1" t="s">
        <v>4220</v>
      </c>
      <c r="CYQ1" t="s">
        <v>4221</v>
      </c>
      <c r="CYR1" t="s">
        <v>4222</v>
      </c>
      <c r="CYS1" t="s">
        <v>4223</v>
      </c>
      <c r="CYT1" t="s">
        <v>4224</v>
      </c>
      <c r="CYU1" t="s">
        <v>4225</v>
      </c>
      <c r="CYV1" t="s">
        <v>4226</v>
      </c>
      <c r="CYW1" t="s">
        <v>4227</v>
      </c>
      <c r="CYX1" t="s">
        <v>4228</v>
      </c>
      <c r="CYY1" t="s">
        <v>4229</v>
      </c>
      <c r="CYZ1" t="s">
        <v>4230</v>
      </c>
      <c r="CZA1" t="s">
        <v>4231</v>
      </c>
      <c r="CZB1" t="s">
        <v>4232</v>
      </c>
      <c r="CZC1" t="s">
        <v>4233</v>
      </c>
      <c r="CZD1" t="s">
        <v>4234</v>
      </c>
      <c r="CZE1" t="s">
        <v>4235</v>
      </c>
      <c r="CZF1" t="s">
        <v>4236</v>
      </c>
      <c r="CZG1" t="s">
        <v>4237</v>
      </c>
      <c r="CZH1" t="s">
        <v>4238</v>
      </c>
      <c r="CZI1" t="s">
        <v>4239</v>
      </c>
      <c r="CZJ1" t="s">
        <v>4240</v>
      </c>
      <c r="CZK1" t="s">
        <v>4241</v>
      </c>
      <c r="CZL1" t="s">
        <v>4242</v>
      </c>
      <c r="CZM1" t="s">
        <v>4243</v>
      </c>
      <c r="CZN1" t="s">
        <v>4244</v>
      </c>
      <c r="CZO1" t="s">
        <v>4245</v>
      </c>
      <c r="CZP1" t="s">
        <v>4246</v>
      </c>
      <c r="CZQ1" t="s">
        <v>4247</v>
      </c>
      <c r="CZR1" t="s">
        <v>4248</v>
      </c>
      <c r="CZS1" t="s">
        <v>4249</v>
      </c>
      <c r="CZT1" t="s">
        <v>4250</v>
      </c>
      <c r="CZU1" t="s">
        <v>4251</v>
      </c>
      <c r="CZV1" t="s">
        <v>4252</v>
      </c>
      <c r="CZW1" t="s">
        <v>4253</v>
      </c>
      <c r="CZX1" t="s">
        <v>4254</v>
      </c>
      <c r="CZY1" t="s">
        <v>4255</v>
      </c>
      <c r="CZZ1" t="s">
        <v>4256</v>
      </c>
      <c r="DAA1" t="s">
        <v>4257</v>
      </c>
      <c r="DAB1" t="s">
        <v>4258</v>
      </c>
      <c r="DAC1" t="s">
        <v>4259</v>
      </c>
      <c r="DAD1" t="s">
        <v>4260</v>
      </c>
      <c r="DAE1" t="s">
        <v>4261</v>
      </c>
      <c r="DAF1" t="s">
        <v>4262</v>
      </c>
      <c r="DAG1" t="s">
        <v>4263</v>
      </c>
      <c r="DAH1" t="s">
        <v>4264</v>
      </c>
      <c r="DAI1" t="s">
        <v>4265</v>
      </c>
      <c r="DAJ1" t="s">
        <v>4266</v>
      </c>
      <c r="DAK1" t="s">
        <v>4267</v>
      </c>
      <c r="DAL1" t="s">
        <v>4268</v>
      </c>
      <c r="DAM1" t="s">
        <v>4269</v>
      </c>
      <c r="DAN1" t="s">
        <v>4270</v>
      </c>
      <c r="DAO1" t="s">
        <v>4271</v>
      </c>
      <c r="DAP1" t="s">
        <v>4272</v>
      </c>
      <c r="DAQ1" t="s">
        <v>4273</v>
      </c>
      <c r="DAR1" t="s">
        <v>4274</v>
      </c>
      <c r="DAS1" t="s">
        <v>4275</v>
      </c>
      <c r="DAT1" t="s">
        <v>4276</v>
      </c>
      <c r="DAU1" t="s">
        <v>4277</v>
      </c>
      <c r="DAV1" t="s">
        <v>4278</v>
      </c>
      <c r="DAW1" t="s">
        <v>4279</v>
      </c>
      <c r="DAX1" t="s">
        <v>4280</v>
      </c>
      <c r="DAY1" t="s">
        <v>4281</v>
      </c>
      <c r="DAZ1" t="s">
        <v>4282</v>
      </c>
      <c r="DBA1" t="s">
        <v>4283</v>
      </c>
      <c r="DBB1" t="s">
        <v>4284</v>
      </c>
      <c r="DBC1" t="s">
        <v>4285</v>
      </c>
      <c r="DBD1" t="s">
        <v>4286</v>
      </c>
      <c r="DBE1" t="s">
        <v>4287</v>
      </c>
      <c r="DBF1" t="s">
        <v>4288</v>
      </c>
      <c r="DBG1" t="s">
        <v>4289</v>
      </c>
      <c r="DBH1" t="s">
        <v>4290</v>
      </c>
      <c r="DBI1" t="s">
        <v>4291</v>
      </c>
      <c r="DBJ1" t="s">
        <v>4292</v>
      </c>
      <c r="DBK1" t="s">
        <v>4293</v>
      </c>
      <c r="DBL1" t="s">
        <v>4294</v>
      </c>
      <c r="DBM1" t="s">
        <v>4295</v>
      </c>
      <c r="DBN1" t="s">
        <v>4296</v>
      </c>
      <c r="DBO1" t="s">
        <v>4297</v>
      </c>
      <c r="DBP1" t="s">
        <v>4298</v>
      </c>
      <c r="DBQ1" t="s">
        <v>4299</v>
      </c>
      <c r="DBR1" t="s">
        <v>4300</v>
      </c>
      <c r="DBS1" t="s">
        <v>4301</v>
      </c>
      <c r="DBT1" t="s">
        <v>4302</v>
      </c>
      <c r="DBU1" t="s">
        <v>4303</v>
      </c>
      <c r="DBV1" t="s">
        <v>4304</v>
      </c>
      <c r="DBW1" t="s">
        <v>4305</v>
      </c>
      <c r="DBX1" t="s">
        <v>4306</v>
      </c>
      <c r="DBY1" t="s">
        <v>4307</v>
      </c>
      <c r="DBZ1" t="s">
        <v>4308</v>
      </c>
      <c r="DCA1" t="s">
        <v>4309</v>
      </c>
      <c r="DCB1" t="s">
        <v>4310</v>
      </c>
      <c r="DCC1" t="s">
        <v>4311</v>
      </c>
      <c r="DCD1" t="s">
        <v>4312</v>
      </c>
      <c r="DCE1" t="s">
        <v>4313</v>
      </c>
      <c r="DCF1" t="s">
        <v>4314</v>
      </c>
      <c r="DCG1" t="s">
        <v>4315</v>
      </c>
      <c r="DCH1" t="s">
        <v>4316</v>
      </c>
      <c r="DCI1" t="s">
        <v>4317</v>
      </c>
      <c r="DCJ1" t="s">
        <v>4318</v>
      </c>
      <c r="DCK1" t="s">
        <v>4319</v>
      </c>
      <c r="DCL1" t="s">
        <v>4320</v>
      </c>
      <c r="DCM1" t="s">
        <v>4321</v>
      </c>
      <c r="DCN1" t="s">
        <v>4322</v>
      </c>
      <c r="DCO1" t="s">
        <v>4323</v>
      </c>
      <c r="DCP1" t="s">
        <v>4324</v>
      </c>
      <c r="DCQ1" t="s">
        <v>4325</v>
      </c>
      <c r="DCR1" t="s">
        <v>4326</v>
      </c>
      <c r="DCS1" t="s">
        <v>4327</v>
      </c>
      <c r="DCT1" t="s">
        <v>4328</v>
      </c>
      <c r="DCU1" t="s">
        <v>4329</v>
      </c>
      <c r="DCV1" t="s">
        <v>4330</v>
      </c>
      <c r="DCW1" t="s">
        <v>4331</v>
      </c>
      <c r="DCX1" t="s">
        <v>4332</v>
      </c>
      <c r="DCY1" t="s">
        <v>4333</v>
      </c>
      <c r="DCZ1" t="s">
        <v>4334</v>
      </c>
      <c r="DDA1" t="s">
        <v>4335</v>
      </c>
      <c r="DDB1" t="s">
        <v>4336</v>
      </c>
      <c r="DDC1" t="s">
        <v>4337</v>
      </c>
      <c r="DDD1" t="s">
        <v>4338</v>
      </c>
      <c r="DDE1" t="s">
        <v>4339</v>
      </c>
      <c r="DDF1" t="s">
        <v>4340</v>
      </c>
      <c r="DDG1" t="s">
        <v>4341</v>
      </c>
      <c r="DDH1" t="s">
        <v>4342</v>
      </c>
      <c r="DDI1" t="s">
        <v>4343</v>
      </c>
      <c r="DDJ1" t="s">
        <v>4344</v>
      </c>
      <c r="DDK1" t="s">
        <v>4345</v>
      </c>
      <c r="DDL1" t="s">
        <v>4346</v>
      </c>
      <c r="DDM1" t="s">
        <v>4347</v>
      </c>
      <c r="DDN1" t="s">
        <v>4348</v>
      </c>
      <c r="DDO1" t="s">
        <v>4349</v>
      </c>
      <c r="DDP1" t="s">
        <v>4350</v>
      </c>
      <c r="DDQ1" t="s">
        <v>4351</v>
      </c>
      <c r="DDR1" t="s">
        <v>4352</v>
      </c>
      <c r="DDS1" t="s">
        <v>4353</v>
      </c>
      <c r="DDT1" t="s">
        <v>4354</v>
      </c>
      <c r="DDU1" t="s">
        <v>4355</v>
      </c>
      <c r="DDV1" t="s">
        <v>4356</v>
      </c>
      <c r="DDW1" t="s">
        <v>4357</v>
      </c>
      <c r="DDX1" t="s">
        <v>4358</v>
      </c>
      <c r="DDY1" t="s">
        <v>4359</v>
      </c>
      <c r="DDZ1" t="s">
        <v>4360</v>
      </c>
      <c r="DEA1" t="s">
        <v>4361</v>
      </c>
      <c r="DEB1" t="s">
        <v>4362</v>
      </c>
      <c r="DEC1" t="s">
        <v>4363</v>
      </c>
      <c r="DED1" t="s">
        <v>4364</v>
      </c>
      <c r="DEE1" t="s">
        <v>4365</v>
      </c>
      <c r="DEF1" t="s">
        <v>4366</v>
      </c>
      <c r="DEG1" t="s">
        <v>4367</v>
      </c>
      <c r="DEH1" t="s">
        <v>4368</v>
      </c>
      <c r="DEI1" t="s">
        <v>4369</v>
      </c>
      <c r="DEJ1" t="s">
        <v>4370</v>
      </c>
      <c r="DEK1" t="s">
        <v>4371</v>
      </c>
      <c r="DEL1" t="s">
        <v>4372</v>
      </c>
      <c r="DEM1" t="s">
        <v>4373</v>
      </c>
      <c r="DEN1" t="s">
        <v>4374</v>
      </c>
      <c r="DEO1" t="s">
        <v>4375</v>
      </c>
      <c r="DEP1" t="s">
        <v>4376</v>
      </c>
      <c r="DEQ1" t="s">
        <v>4377</v>
      </c>
      <c r="DER1" t="s">
        <v>4378</v>
      </c>
      <c r="DES1" t="s">
        <v>4379</v>
      </c>
      <c r="DET1" t="s">
        <v>4380</v>
      </c>
      <c r="DEU1" t="s">
        <v>4381</v>
      </c>
      <c r="DEV1" t="s">
        <v>4382</v>
      </c>
      <c r="DEW1" t="s">
        <v>4383</v>
      </c>
      <c r="DEX1" t="s">
        <v>4384</v>
      </c>
      <c r="DEY1" t="s">
        <v>4385</v>
      </c>
      <c r="DEZ1" t="s">
        <v>4386</v>
      </c>
      <c r="DFA1" t="s">
        <v>4387</v>
      </c>
      <c r="DFB1" t="s">
        <v>4388</v>
      </c>
      <c r="DFC1" t="s">
        <v>4389</v>
      </c>
      <c r="DFD1" t="s">
        <v>4390</v>
      </c>
      <c r="DFE1" t="s">
        <v>4391</v>
      </c>
      <c r="DFF1" t="s">
        <v>4392</v>
      </c>
      <c r="DFG1" t="s">
        <v>4393</v>
      </c>
      <c r="DFH1" t="s">
        <v>4394</v>
      </c>
      <c r="DFI1" t="s">
        <v>4395</v>
      </c>
      <c r="DFJ1" t="s">
        <v>4396</v>
      </c>
      <c r="DFK1" t="s">
        <v>4397</v>
      </c>
      <c r="DFL1" t="s">
        <v>4398</v>
      </c>
      <c r="DFM1" t="s">
        <v>4399</v>
      </c>
      <c r="DFN1" t="s">
        <v>4400</v>
      </c>
      <c r="DFO1" t="s">
        <v>4401</v>
      </c>
      <c r="DFP1" t="s">
        <v>4402</v>
      </c>
      <c r="DFQ1" t="s">
        <v>4403</v>
      </c>
      <c r="DFR1" t="s">
        <v>4404</v>
      </c>
      <c r="DFS1" t="s">
        <v>4405</v>
      </c>
      <c r="DFT1" t="s">
        <v>4406</v>
      </c>
      <c r="DFU1" t="s">
        <v>4407</v>
      </c>
      <c r="DFV1" t="s">
        <v>4408</v>
      </c>
      <c r="DFW1" t="s">
        <v>4409</v>
      </c>
      <c r="DFX1" t="s">
        <v>4410</v>
      </c>
      <c r="DFY1" t="s">
        <v>4411</v>
      </c>
      <c r="DFZ1" t="s">
        <v>4412</v>
      </c>
      <c r="DGA1" t="s">
        <v>4413</v>
      </c>
      <c r="DGB1" t="s">
        <v>4414</v>
      </c>
      <c r="DGC1" t="s">
        <v>4415</v>
      </c>
      <c r="DGD1" t="s">
        <v>4416</v>
      </c>
      <c r="DGE1" t="s">
        <v>4417</v>
      </c>
      <c r="DGF1" t="s">
        <v>4418</v>
      </c>
      <c r="DGG1" t="s">
        <v>4419</v>
      </c>
      <c r="DGH1" t="s">
        <v>4420</v>
      </c>
      <c r="DGI1" t="s">
        <v>4421</v>
      </c>
      <c r="DGJ1" t="s">
        <v>4422</v>
      </c>
      <c r="DGK1" t="s">
        <v>4423</v>
      </c>
      <c r="DGL1" t="s">
        <v>4424</v>
      </c>
      <c r="DGM1" t="s">
        <v>4425</v>
      </c>
      <c r="DGN1" t="s">
        <v>4426</v>
      </c>
      <c r="DGO1" t="s">
        <v>4427</v>
      </c>
      <c r="DGP1" t="s">
        <v>4428</v>
      </c>
      <c r="DGQ1" t="s">
        <v>4429</v>
      </c>
      <c r="DGR1" t="s">
        <v>4430</v>
      </c>
      <c r="DGS1" t="s">
        <v>4431</v>
      </c>
      <c r="DGT1" t="s">
        <v>4432</v>
      </c>
      <c r="DGU1" t="s">
        <v>4433</v>
      </c>
      <c r="DGV1" t="s">
        <v>4434</v>
      </c>
      <c r="DGW1" t="s">
        <v>4435</v>
      </c>
      <c r="DGX1" t="s">
        <v>4436</v>
      </c>
      <c r="DGY1" t="s">
        <v>4437</v>
      </c>
      <c r="DGZ1" t="s">
        <v>4438</v>
      </c>
      <c r="DHA1" t="s">
        <v>4439</v>
      </c>
      <c r="DHB1" t="s">
        <v>4440</v>
      </c>
      <c r="DHC1" t="s">
        <v>4441</v>
      </c>
      <c r="DHD1" t="s">
        <v>4442</v>
      </c>
      <c r="DHE1" t="s">
        <v>4443</v>
      </c>
      <c r="DHF1" t="s">
        <v>4444</v>
      </c>
      <c r="DHG1" t="s">
        <v>4445</v>
      </c>
      <c r="DHH1" t="s">
        <v>4446</v>
      </c>
      <c r="DHI1" t="s">
        <v>4447</v>
      </c>
      <c r="DHJ1" t="s">
        <v>4448</v>
      </c>
      <c r="DHK1" t="s">
        <v>4449</v>
      </c>
      <c r="DHL1" t="s">
        <v>4450</v>
      </c>
      <c r="DHM1" t="s">
        <v>4451</v>
      </c>
      <c r="DHN1" t="s">
        <v>4452</v>
      </c>
      <c r="DHO1" t="s">
        <v>4453</v>
      </c>
      <c r="DHP1" t="s">
        <v>4454</v>
      </c>
      <c r="DHQ1" t="s">
        <v>4455</v>
      </c>
      <c r="DHR1" t="s">
        <v>4456</v>
      </c>
      <c r="DHS1" t="s">
        <v>4457</v>
      </c>
      <c r="DHT1" t="s">
        <v>4458</v>
      </c>
      <c r="DHU1" t="s">
        <v>4459</v>
      </c>
      <c r="DHV1" t="s">
        <v>4460</v>
      </c>
      <c r="DHW1" t="s">
        <v>4461</v>
      </c>
      <c r="DHX1" t="s">
        <v>4462</v>
      </c>
      <c r="DHY1" t="s">
        <v>4463</v>
      </c>
      <c r="DHZ1" t="s">
        <v>4464</v>
      </c>
      <c r="DIA1" t="s">
        <v>4465</v>
      </c>
      <c r="DIB1" t="s">
        <v>4466</v>
      </c>
      <c r="DIC1" t="s">
        <v>4467</v>
      </c>
      <c r="DID1" t="s">
        <v>4468</v>
      </c>
      <c r="DIE1" t="s">
        <v>4469</v>
      </c>
      <c r="DIF1" t="s">
        <v>4470</v>
      </c>
      <c r="DIG1" t="s">
        <v>4471</v>
      </c>
      <c r="DIH1" t="s">
        <v>4472</v>
      </c>
      <c r="DII1" t="s">
        <v>4473</v>
      </c>
      <c r="DIJ1" t="s">
        <v>4474</v>
      </c>
      <c r="DIK1" t="s">
        <v>4475</v>
      </c>
      <c r="DIL1" t="s">
        <v>4476</v>
      </c>
      <c r="DIM1" t="s">
        <v>4477</v>
      </c>
      <c r="DIN1" t="s">
        <v>4478</v>
      </c>
      <c r="DIO1" t="s">
        <v>4479</v>
      </c>
      <c r="DIP1" t="s">
        <v>4480</v>
      </c>
      <c r="DIQ1" t="s">
        <v>4481</v>
      </c>
      <c r="DIR1" t="s">
        <v>4482</v>
      </c>
      <c r="DIS1" t="s">
        <v>4483</v>
      </c>
      <c r="DIT1" t="s">
        <v>4484</v>
      </c>
      <c r="DIU1" t="s">
        <v>4485</v>
      </c>
      <c r="DIV1" t="s">
        <v>4486</v>
      </c>
      <c r="DIW1" t="s">
        <v>4487</v>
      </c>
      <c r="DIX1" t="s">
        <v>4488</v>
      </c>
      <c r="DIY1" t="s">
        <v>4489</v>
      </c>
      <c r="DIZ1" t="s">
        <v>4490</v>
      </c>
      <c r="DJA1" t="s">
        <v>4491</v>
      </c>
      <c r="DJB1" t="s">
        <v>4492</v>
      </c>
      <c r="DJC1" t="s">
        <v>4493</v>
      </c>
      <c r="DJD1" t="s">
        <v>4494</v>
      </c>
      <c r="DJE1" t="s">
        <v>4495</v>
      </c>
      <c r="DJF1" t="s">
        <v>4496</v>
      </c>
      <c r="DJG1" t="s">
        <v>4497</v>
      </c>
      <c r="DJH1" t="s">
        <v>4498</v>
      </c>
      <c r="DJI1" t="s">
        <v>4499</v>
      </c>
      <c r="DJJ1" t="s">
        <v>4500</v>
      </c>
      <c r="DJK1" t="s">
        <v>4501</v>
      </c>
      <c r="DJL1" t="s">
        <v>4502</v>
      </c>
      <c r="DJM1" t="s">
        <v>4503</v>
      </c>
      <c r="DJN1" t="s">
        <v>4504</v>
      </c>
      <c r="DJO1" t="s">
        <v>4505</v>
      </c>
      <c r="DJP1" t="s">
        <v>4506</v>
      </c>
      <c r="DJQ1" t="s">
        <v>4507</v>
      </c>
      <c r="DJR1" t="s">
        <v>4508</v>
      </c>
      <c r="DJS1" t="s">
        <v>4509</v>
      </c>
      <c r="DJT1" t="s">
        <v>4510</v>
      </c>
      <c r="DJU1" t="s">
        <v>4511</v>
      </c>
      <c r="DJV1" t="s">
        <v>4512</v>
      </c>
      <c r="DJW1" t="s">
        <v>4513</v>
      </c>
      <c r="DJX1" t="s">
        <v>4514</v>
      </c>
      <c r="DJY1" t="s">
        <v>4515</v>
      </c>
      <c r="DJZ1" t="s">
        <v>4516</v>
      </c>
      <c r="DKA1" t="s">
        <v>4517</v>
      </c>
      <c r="DKB1" t="s">
        <v>4518</v>
      </c>
      <c r="DKC1" t="s">
        <v>4519</v>
      </c>
      <c r="DKD1" t="s">
        <v>4520</v>
      </c>
      <c r="DKE1" t="s">
        <v>4521</v>
      </c>
      <c r="DKF1" t="s">
        <v>4522</v>
      </c>
      <c r="DKG1" t="s">
        <v>4523</v>
      </c>
      <c r="DKH1" t="s">
        <v>4524</v>
      </c>
      <c r="DKI1" t="s">
        <v>4525</v>
      </c>
      <c r="DKJ1" t="s">
        <v>4526</v>
      </c>
      <c r="DKK1" t="s">
        <v>4527</v>
      </c>
      <c r="DKL1" t="s">
        <v>4528</v>
      </c>
      <c r="DKM1" t="s">
        <v>4529</v>
      </c>
      <c r="DKN1" t="s">
        <v>4530</v>
      </c>
      <c r="DKO1" t="s">
        <v>4531</v>
      </c>
      <c r="DKP1" t="s">
        <v>4532</v>
      </c>
      <c r="DKQ1" t="s">
        <v>4533</v>
      </c>
      <c r="DKR1" t="s">
        <v>4534</v>
      </c>
      <c r="DKS1" t="s">
        <v>4535</v>
      </c>
      <c r="DKT1" t="s">
        <v>4536</v>
      </c>
      <c r="DKU1" t="s">
        <v>4537</v>
      </c>
      <c r="DKV1" t="s">
        <v>4538</v>
      </c>
      <c r="DKW1" t="s">
        <v>4539</v>
      </c>
      <c r="DKX1" t="s">
        <v>4540</v>
      </c>
      <c r="DKY1" t="s">
        <v>4541</v>
      </c>
      <c r="DKZ1" t="s">
        <v>4542</v>
      </c>
      <c r="DLA1" t="s">
        <v>4543</v>
      </c>
      <c r="DLB1" t="s">
        <v>4544</v>
      </c>
      <c r="DLC1" t="s">
        <v>4545</v>
      </c>
      <c r="DLD1" t="s">
        <v>4546</v>
      </c>
      <c r="DLE1" t="s">
        <v>4547</v>
      </c>
      <c r="DLF1" t="s">
        <v>4548</v>
      </c>
      <c r="DLG1" t="s">
        <v>4549</v>
      </c>
      <c r="DLH1" t="s">
        <v>4550</v>
      </c>
      <c r="DLI1" t="s">
        <v>4551</v>
      </c>
      <c r="DLJ1" t="s">
        <v>4552</v>
      </c>
      <c r="DLK1" t="s">
        <v>4553</v>
      </c>
      <c r="DLL1" t="s">
        <v>4554</v>
      </c>
      <c r="DLM1" t="s">
        <v>4555</v>
      </c>
      <c r="DLN1" t="s">
        <v>4556</v>
      </c>
      <c r="DLO1" t="s">
        <v>4557</v>
      </c>
      <c r="DLP1" t="s">
        <v>4558</v>
      </c>
      <c r="DLQ1" t="s">
        <v>4559</v>
      </c>
      <c r="DLR1" t="s">
        <v>4560</v>
      </c>
      <c r="DLS1" t="s">
        <v>4561</v>
      </c>
      <c r="DLT1" t="s">
        <v>4562</v>
      </c>
      <c r="DLU1" t="s">
        <v>4563</v>
      </c>
      <c r="DLV1" t="s">
        <v>4564</v>
      </c>
      <c r="DLW1" t="s">
        <v>4565</v>
      </c>
      <c r="DLX1" t="s">
        <v>4566</v>
      </c>
      <c r="DLY1" t="s">
        <v>4567</v>
      </c>
      <c r="DLZ1" t="s">
        <v>4568</v>
      </c>
      <c r="DMA1" t="s">
        <v>4569</v>
      </c>
      <c r="DMB1" t="s">
        <v>4570</v>
      </c>
      <c r="DMC1" t="s">
        <v>4571</v>
      </c>
      <c r="DMD1" t="s">
        <v>4572</v>
      </c>
      <c r="DME1" t="s">
        <v>4573</v>
      </c>
      <c r="DMF1" t="s">
        <v>4574</v>
      </c>
      <c r="DMG1" t="s">
        <v>4575</v>
      </c>
      <c r="DMH1" t="s">
        <v>4576</v>
      </c>
      <c r="DMI1" t="s">
        <v>4577</v>
      </c>
      <c r="DMJ1" t="s">
        <v>4578</v>
      </c>
      <c r="DMK1" t="s">
        <v>4579</v>
      </c>
      <c r="DML1" t="s">
        <v>4580</v>
      </c>
      <c r="DMM1" t="s">
        <v>4581</v>
      </c>
      <c r="DMN1" t="s">
        <v>4582</v>
      </c>
      <c r="DMO1" t="s">
        <v>4583</v>
      </c>
      <c r="DMP1" t="s">
        <v>4584</v>
      </c>
      <c r="DMQ1" t="s">
        <v>4585</v>
      </c>
      <c r="DMR1" t="s">
        <v>4586</v>
      </c>
      <c r="DMS1" t="s">
        <v>4587</v>
      </c>
      <c r="DMT1" t="s">
        <v>4588</v>
      </c>
      <c r="DMU1" t="s">
        <v>4589</v>
      </c>
      <c r="DMV1" t="s">
        <v>4590</v>
      </c>
      <c r="DMW1" t="s">
        <v>4591</v>
      </c>
      <c r="DMX1" t="s">
        <v>4592</v>
      </c>
      <c r="DMY1" t="s">
        <v>4593</v>
      </c>
      <c r="DMZ1" t="s">
        <v>4594</v>
      </c>
      <c r="DNA1" t="s">
        <v>4595</v>
      </c>
      <c r="DNB1" t="s">
        <v>4596</v>
      </c>
      <c r="DNC1" t="s">
        <v>4597</v>
      </c>
      <c r="DND1" t="s">
        <v>4598</v>
      </c>
      <c r="DNE1" t="s">
        <v>4599</v>
      </c>
      <c r="DNF1" t="s">
        <v>4600</v>
      </c>
      <c r="DNG1" t="s">
        <v>4601</v>
      </c>
      <c r="DNH1" t="s">
        <v>4602</v>
      </c>
      <c r="DNI1" t="s">
        <v>4603</v>
      </c>
      <c r="DNJ1" t="s">
        <v>4604</v>
      </c>
      <c r="DNK1" t="s">
        <v>4605</v>
      </c>
      <c r="DNL1" t="s">
        <v>4606</v>
      </c>
      <c r="DNM1" t="s">
        <v>4607</v>
      </c>
      <c r="DNN1" t="s">
        <v>4608</v>
      </c>
      <c r="DNO1" t="s">
        <v>4609</v>
      </c>
      <c r="DNP1" t="s">
        <v>4610</v>
      </c>
      <c r="DNQ1" t="s">
        <v>4611</v>
      </c>
      <c r="DNR1" t="s">
        <v>4612</v>
      </c>
      <c r="DNS1" t="s">
        <v>4613</v>
      </c>
      <c r="DNT1" t="s">
        <v>4614</v>
      </c>
      <c r="DNU1" t="s">
        <v>4615</v>
      </c>
      <c r="DNV1" t="s">
        <v>4616</v>
      </c>
      <c r="DNW1" t="s">
        <v>4617</v>
      </c>
      <c r="DNX1" t="s">
        <v>4618</v>
      </c>
      <c r="DNY1" t="s">
        <v>4619</v>
      </c>
      <c r="DNZ1" t="s">
        <v>4620</v>
      </c>
      <c r="DOA1" t="s">
        <v>4621</v>
      </c>
      <c r="DOB1" t="s">
        <v>4622</v>
      </c>
      <c r="DOC1" t="s">
        <v>4623</v>
      </c>
      <c r="DOD1" t="s">
        <v>4624</v>
      </c>
      <c r="DOE1" t="s">
        <v>4625</v>
      </c>
      <c r="DOF1" t="s">
        <v>4626</v>
      </c>
      <c r="DOG1" t="s">
        <v>4627</v>
      </c>
      <c r="DOH1" t="s">
        <v>4628</v>
      </c>
      <c r="DOI1" t="s">
        <v>4629</v>
      </c>
      <c r="DOJ1" t="s">
        <v>4630</v>
      </c>
      <c r="DOK1" t="s">
        <v>4631</v>
      </c>
      <c r="DOL1" t="s">
        <v>4632</v>
      </c>
      <c r="DOM1" t="s">
        <v>4633</v>
      </c>
      <c r="DON1" t="s">
        <v>4634</v>
      </c>
      <c r="DOO1" t="s">
        <v>4635</v>
      </c>
      <c r="DOP1" t="s">
        <v>4636</v>
      </c>
      <c r="DOQ1" t="s">
        <v>4637</v>
      </c>
      <c r="DOR1" t="s">
        <v>4638</v>
      </c>
      <c r="DOS1" t="s">
        <v>4639</v>
      </c>
      <c r="DOT1" t="s">
        <v>4640</v>
      </c>
      <c r="DOU1" t="s">
        <v>4641</v>
      </c>
      <c r="DOV1" t="s">
        <v>4642</v>
      </c>
      <c r="DOW1" t="s">
        <v>4643</v>
      </c>
      <c r="DOX1" t="s">
        <v>4644</v>
      </c>
      <c r="DOY1" t="s">
        <v>4645</v>
      </c>
      <c r="DOZ1" t="s">
        <v>4646</v>
      </c>
      <c r="DPA1" t="s">
        <v>4647</v>
      </c>
      <c r="DPB1" t="s">
        <v>4648</v>
      </c>
      <c r="DPC1" t="s">
        <v>4649</v>
      </c>
      <c r="DPD1" t="s">
        <v>4650</v>
      </c>
      <c r="DPE1" t="s">
        <v>4651</v>
      </c>
      <c r="DPF1" t="s">
        <v>4652</v>
      </c>
      <c r="DPG1" t="s">
        <v>4653</v>
      </c>
      <c r="DPH1" t="s">
        <v>4654</v>
      </c>
      <c r="DPI1" t="s">
        <v>4655</v>
      </c>
      <c r="DPJ1" t="s">
        <v>4656</v>
      </c>
      <c r="DPK1" t="s">
        <v>4657</v>
      </c>
      <c r="DPL1" t="s">
        <v>4658</v>
      </c>
      <c r="DPM1" t="s">
        <v>4659</v>
      </c>
      <c r="DPN1" t="s">
        <v>4660</v>
      </c>
      <c r="DPO1" t="s">
        <v>4661</v>
      </c>
      <c r="DPP1" t="s">
        <v>4662</v>
      </c>
      <c r="DPQ1" t="s">
        <v>4663</v>
      </c>
      <c r="DPR1" t="s">
        <v>4664</v>
      </c>
      <c r="DPS1" t="s">
        <v>4665</v>
      </c>
      <c r="DPT1" t="s">
        <v>4666</v>
      </c>
      <c r="DPU1" t="s">
        <v>4667</v>
      </c>
      <c r="DPV1" t="s">
        <v>4668</v>
      </c>
      <c r="DPW1" t="s">
        <v>4669</v>
      </c>
      <c r="DPX1" t="s">
        <v>4670</v>
      </c>
      <c r="DPY1" t="s">
        <v>4671</v>
      </c>
      <c r="DPZ1" t="s">
        <v>4672</v>
      </c>
      <c r="DQA1" t="s">
        <v>4673</v>
      </c>
      <c r="DQB1" t="s">
        <v>4674</v>
      </c>
      <c r="DQC1" t="s">
        <v>4675</v>
      </c>
      <c r="DQD1" t="s">
        <v>4676</v>
      </c>
      <c r="DQE1" t="s">
        <v>4677</v>
      </c>
      <c r="DQF1" t="s">
        <v>4678</v>
      </c>
      <c r="DQG1" t="s">
        <v>4679</v>
      </c>
      <c r="DQH1" t="s">
        <v>4680</v>
      </c>
      <c r="DQI1" t="s">
        <v>4681</v>
      </c>
      <c r="DQJ1" t="s">
        <v>4682</v>
      </c>
      <c r="DQK1" t="s">
        <v>4683</v>
      </c>
      <c r="DQL1" t="s">
        <v>4684</v>
      </c>
      <c r="DQM1" t="s">
        <v>4685</v>
      </c>
      <c r="DQN1" t="s">
        <v>4686</v>
      </c>
      <c r="DQO1" t="s">
        <v>4687</v>
      </c>
      <c r="DQP1" t="s">
        <v>4688</v>
      </c>
      <c r="DQQ1" t="s">
        <v>4689</v>
      </c>
      <c r="DQR1" t="s">
        <v>4690</v>
      </c>
      <c r="DQS1" t="s">
        <v>4691</v>
      </c>
      <c r="DQT1" t="s">
        <v>4692</v>
      </c>
      <c r="DQU1" t="s">
        <v>4693</v>
      </c>
      <c r="DQV1" t="s">
        <v>4694</v>
      </c>
      <c r="DQW1" t="s">
        <v>4695</v>
      </c>
      <c r="DQX1" t="s">
        <v>4696</v>
      </c>
      <c r="DQY1" t="s">
        <v>4697</v>
      </c>
      <c r="DQZ1" t="s">
        <v>4698</v>
      </c>
      <c r="DRA1" t="s">
        <v>4699</v>
      </c>
      <c r="DRB1" t="s">
        <v>4700</v>
      </c>
      <c r="DRC1" t="s">
        <v>4701</v>
      </c>
      <c r="DRD1" t="s">
        <v>4702</v>
      </c>
      <c r="DRE1" t="s">
        <v>4703</v>
      </c>
      <c r="DRF1" t="s">
        <v>4704</v>
      </c>
      <c r="DRG1" t="s">
        <v>4705</v>
      </c>
      <c r="DRH1" t="s">
        <v>4706</v>
      </c>
      <c r="DRI1" t="s">
        <v>4707</v>
      </c>
      <c r="DRJ1" t="s">
        <v>4708</v>
      </c>
      <c r="DRK1" t="s">
        <v>4709</v>
      </c>
      <c r="DRL1" t="s">
        <v>4710</v>
      </c>
      <c r="DRM1" t="s">
        <v>4711</v>
      </c>
      <c r="DRN1" t="s">
        <v>4712</v>
      </c>
      <c r="DRO1" t="s">
        <v>4713</v>
      </c>
      <c r="DRP1" t="s">
        <v>4714</v>
      </c>
      <c r="DRQ1" t="s">
        <v>4715</v>
      </c>
      <c r="DRR1" t="s">
        <v>4716</v>
      </c>
      <c r="DRS1" t="s">
        <v>4717</v>
      </c>
      <c r="DRT1" t="s">
        <v>4718</v>
      </c>
      <c r="DRU1" t="s">
        <v>4719</v>
      </c>
      <c r="DRV1" t="s">
        <v>4720</v>
      </c>
      <c r="DRW1" t="s">
        <v>4721</v>
      </c>
      <c r="DRX1" t="s">
        <v>4722</v>
      </c>
      <c r="DRY1" t="s">
        <v>4723</v>
      </c>
      <c r="DRZ1" t="s">
        <v>4724</v>
      </c>
      <c r="DSA1" t="s">
        <v>4725</v>
      </c>
      <c r="DSB1" t="s">
        <v>4726</v>
      </c>
      <c r="DSC1" t="s">
        <v>4727</v>
      </c>
      <c r="DSD1" t="s">
        <v>4728</v>
      </c>
      <c r="DSE1" t="s">
        <v>4729</v>
      </c>
      <c r="DSF1" t="s">
        <v>4730</v>
      </c>
      <c r="DSG1" t="s">
        <v>4731</v>
      </c>
      <c r="DSH1" t="s">
        <v>4732</v>
      </c>
      <c r="DSI1" t="s">
        <v>4733</v>
      </c>
      <c r="DSJ1" t="s">
        <v>4734</v>
      </c>
      <c r="DSK1" t="s">
        <v>4735</v>
      </c>
      <c r="DSL1" t="s">
        <v>4736</v>
      </c>
      <c r="DSM1" t="s">
        <v>4737</v>
      </c>
      <c r="DSN1" t="s">
        <v>4738</v>
      </c>
      <c r="DSO1" t="s">
        <v>4739</v>
      </c>
      <c r="DSP1" t="s">
        <v>4740</v>
      </c>
      <c r="DSQ1" t="s">
        <v>4741</v>
      </c>
      <c r="DSR1" t="s">
        <v>4742</v>
      </c>
      <c r="DSS1" t="s">
        <v>4743</v>
      </c>
      <c r="DST1" t="s">
        <v>4744</v>
      </c>
      <c r="DSU1" t="s">
        <v>4745</v>
      </c>
      <c r="DSV1" t="s">
        <v>4746</v>
      </c>
      <c r="DSW1" t="s">
        <v>4747</v>
      </c>
      <c r="DSX1" t="s">
        <v>4748</v>
      </c>
      <c r="DSY1" t="s">
        <v>4749</v>
      </c>
      <c r="DSZ1" t="s">
        <v>4750</v>
      </c>
      <c r="DTA1" t="s">
        <v>4751</v>
      </c>
      <c r="DTB1" t="s">
        <v>4752</v>
      </c>
      <c r="DTC1" t="s">
        <v>4753</v>
      </c>
      <c r="DTD1" t="s">
        <v>4754</v>
      </c>
      <c r="DTE1" t="s">
        <v>4755</v>
      </c>
      <c r="DTF1" t="s">
        <v>4756</v>
      </c>
      <c r="DTG1" t="s">
        <v>4757</v>
      </c>
      <c r="DTH1" t="s">
        <v>4758</v>
      </c>
      <c r="DTI1" t="s">
        <v>4759</v>
      </c>
      <c r="DTJ1" t="s">
        <v>4760</v>
      </c>
      <c r="DTK1" t="s">
        <v>4761</v>
      </c>
      <c r="DTL1" t="s">
        <v>4762</v>
      </c>
      <c r="DTM1" t="s">
        <v>4763</v>
      </c>
      <c r="DTN1" t="s">
        <v>4764</v>
      </c>
      <c r="DTO1" t="s">
        <v>4765</v>
      </c>
      <c r="DTP1" t="s">
        <v>4766</v>
      </c>
      <c r="DTQ1" t="s">
        <v>4767</v>
      </c>
      <c r="DTR1" t="s">
        <v>4768</v>
      </c>
      <c r="DTS1" t="s">
        <v>4769</v>
      </c>
      <c r="DTT1" t="s">
        <v>4770</v>
      </c>
      <c r="DTU1" t="s">
        <v>4771</v>
      </c>
      <c r="DTV1" t="s">
        <v>4772</v>
      </c>
      <c r="DTW1" t="s">
        <v>4773</v>
      </c>
      <c r="DTX1" t="s">
        <v>4774</v>
      </c>
      <c r="DTY1" t="s">
        <v>4775</v>
      </c>
      <c r="DTZ1" t="s">
        <v>4776</v>
      </c>
      <c r="DUA1" t="s">
        <v>4777</v>
      </c>
      <c r="DUB1" t="s">
        <v>4778</v>
      </c>
      <c r="DUC1" t="s">
        <v>4779</v>
      </c>
      <c r="DUD1" t="s">
        <v>4780</v>
      </c>
      <c r="DUE1" t="s">
        <v>4781</v>
      </c>
      <c r="DUF1" t="s">
        <v>4782</v>
      </c>
      <c r="DUG1" t="s">
        <v>4783</v>
      </c>
      <c r="DUH1" t="s">
        <v>4784</v>
      </c>
      <c r="DUI1" t="s">
        <v>4785</v>
      </c>
      <c r="DUJ1" t="s">
        <v>4786</v>
      </c>
      <c r="DUK1" t="s">
        <v>4787</v>
      </c>
      <c r="DUL1" t="s">
        <v>4788</v>
      </c>
      <c r="DUM1" t="s">
        <v>4789</v>
      </c>
      <c r="DUN1" t="s">
        <v>4790</v>
      </c>
      <c r="DUO1" t="s">
        <v>4791</v>
      </c>
      <c r="DUP1" t="s">
        <v>4792</v>
      </c>
      <c r="DUQ1" t="s">
        <v>4793</v>
      </c>
      <c r="DUR1" t="s">
        <v>4794</v>
      </c>
      <c r="DUS1" t="s">
        <v>4795</v>
      </c>
      <c r="DUT1" t="s">
        <v>4796</v>
      </c>
      <c r="DUU1" t="s">
        <v>4797</v>
      </c>
      <c r="DUV1" t="s">
        <v>4798</v>
      </c>
      <c r="DUW1" t="s">
        <v>4799</v>
      </c>
      <c r="DUX1" t="s">
        <v>4800</v>
      </c>
      <c r="DUY1" t="s">
        <v>4801</v>
      </c>
      <c r="DUZ1" t="s">
        <v>4802</v>
      </c>
      <c r="DVA1" t="s">
        <v>4803</v>
      </c>
      <c r="DVB1" t="s">
        <v>4804</v>
      </c>
      <c r="DVC1" t="s">
        <v>4805</v>
      </c>
      <c r="DVD1" t="s">
        <v>4806</v>
      </c>
      <c r="DVE1" t="s">
        <v>4807</v>
      </c>
      <c r="DVF1" t="s">
        <v>4808</v>
      </c>
      <c r="DVG1" t="s">
        <v>4809</v>
      </c>
      <c r="DVH1" t="s">
        <v>4810</v>
      </c>
      <c r="DVI1" t="s">
        <v>4811</v>
      </c>
      <c r="DVJ1" t="s">
        <v>4812</v>
      </c>
      <c r="DVK1" t="s">
        <v>4813</v>
      </c>
      <c r="DVL1" t="s">
        <v>4814</v>
      </c>
      <c r="DVM1" t="s">
        <v>4815</v>
      </c>
      <c r="DVN1" t="s">
        <v>4816</v>
      </c>
      <c r="DVO1" t="s">
        <v>4817</v>
      </c>
      <c r="DVP1" t="s">
        <v>4818</v>
      </c>
      <c r="DVQ1" t="s">
        <v>4819</v>
      </c>
      <c r="DVR1" t="s">
        <v>4820</v>
      </c>
      <c r="DVS1" t="s">
        <v>4821</v>
      </c>
      <c r="DVT1" t="s">
        <v>4822</v>
      </c>
      <c r="DVU1" t="s">
        <v>4823</v>
      </c>
      <c r="DVV1" t="s">
        <v>4824</v>
      </c>
      <c r="DVW1" t="s">
        <v>4825</v>
      </c>
      <c r="DVX1" t="s">
        <v>4826</v>
      </c>
      <c r="DVY1" t="s">
        <v>4827</v>
      </c>
      <c r="DVZ1" t="s">
        <v>4828</v>
      </c>
      <c r="DWA1" t="s">
        <v>4829</v>
      </c>
      <c r="DWB1" t="s">
        <v>4830</v>
      </c>
      <c r="DWC1" t="s">
        <v>4831</v>
      </c>
      <c r="DWD1" t="s">
        <v>4832</v>
      </c>
      <c r="DWE1" t="s">
        <v>4833</v>
      </c>
      <c r="DWF1" t="s">
        <v>4834</v>
      </c>
      <c r="DWG1" t="s">
        <v>4835</v>
      </c>
      <c r="DWH1" t="s">
        <v>4836</v>
      </c>
      <c r="DWI1" t="s">
        <v>4837</v>
      </c>
      <c r="DWJ1" t="s">
        <v>4838</v>
      </c>
      <c r="DWK1" t="s">
        <v>4839</v>
      </c>
      <c r="DWL1" t="s">
        <v>4840</v>
      </c>
      <c r="DWM1" t="s">
        <v>4841</v>
      </c>
      <c r="DWN1" t="s">
        <v>4842</v>
      </c>
      <c r="DWO1" t="s">
        <v>4843</v>
      </c>
      <c r="DWP1" t="s">
        <v>4844</v>
      </c>
      <c r="DWQ1" t="s">
        <v>4845</v>
      </c>
      <c r="DWR1" t="s">
        <v>4846</v>
      </c>
      <c r="DWS1" t="s">
        <v>4847</v>
      </c>
      <c r="DWT1" t="s">
        <v>4848</v>
      </c>
      <c r="DWU1" t="s">
        <v>4849</v>
      </c>
      <c r="DWV1" t="s">
        <v>4850</v>
      </c>
      <c r="DWW1" t="s">
        <v>4851</v>
      </c>
      <c r="DWX1" t="s">
        <v>4852</v>
      </c>
      <c r="DWY1" t="s">
        <v>4853</v>
      </c>
      <c r="DWZ1" t="s">
        <v>4854</v>
      </c>
      <c r="DXA1" t="s">
        <v>4855</v>
      </c>
      <c r="DXB1" t="s">
        <v>4856</v>
      </c>
      <c r="DXC1" t="s">
        <v>4857</v>
      </c>
      <c r="DXD1" t="s">
        <v>4858</v>
      </c>
      <c r="DXE1" t="s">
        <v>4859</v>
      </c>
      <c r="DXF1" t="s">
        <v>4860</v>
      </c>
      <c r="DXG1" t="s">
        <v>4861</v>
      </c>
      <c r="DXH1" t="s">
        <v>4862</v>
      </c>
      <c r="DXI1" t="s">
        <v>4863</v>
      </c>
      <c r="DXJ1" t="s">
        <v>4864</v>
      </c>
      <c r="DXK1" t="s">
        <v>4865</v>
      </c>
      <c r="DXL1" t="s">
        <v>4866</v>
      </c>
      <c r="DXM1" t="s">
        <v>4867</v>
      </c>
      <c r="DXN1" t="s">
        <v>4868</v>
      </c>
      <c r="DXO1" t="s">
        <v>4869</v>
      </c>
      <c r="DXP1" t="s">
        <v>4870</v>
      </c>
      <c r="DXQ1" t="s">
        <v>4871</v>
      </c>
      <c r="DXR1" t="s">
        <v>4872</v>
      </c>
      <c r="DXS1" t="s">
        <v>4873</v>
      </c>
      <c r="DXT1" t="s">
        <v>4874</v>
      </c>
      <c r="DXU1" t="s">
        <v>4875</v>
      </c>
      <c r="DXV1" t="s">
        <v>4876</v>
      </c>
      <c r="DXW1" t="s">
        <v>4877</v>
      </c>
      <c r="DXX1" t="s">
        <v>4878</v>
      </c>
      <c r="DXY1" t="s">
        <v>4879</v>
      </c>
      <c r="DXZ1" t="s">
        <v>4880</v>
      </c>
      <c r="DYA1" t="s">
        <v>4881</v>
      </c>
      <c r="DYB1" t="s">
        <v>4882</v>
      </c>
      <c r="DYC1" t="s">
        <v>4883</v>
      </c>
      <c r="DYD1" t="s">
        <v>4884</v>
      </c>
      <c r="DYE1" t="s">
        <v>4885</v>
      </c>
      <c r="DYF1" t="s">
        <v>4886</v>
      </c>
      <c r="DYG1" t="s">
        <v>4887</v>
      </c>
      <c r="DYH1" t="s">
        <v>4888</v>
      </c>
      <c r="DYI1" t="s">
        <v>4889</v>
      </c>
      <c r="DYJ1" t="s">
        <v>4890</v>
      </c>
      <c r="DYK1" t="s">
        <v>4891</v>
      </c>
      <c r="DYL1" t="s">
        <v>4892</v>
      </c>
      <c r="DYM1" t="s">
        <v>4893</v>
      </c>
      <c r="DYN1" t="s">
        <v>4894</v>
      </c>
      <c r="DYO1" t="s">
        <v>4895</v>
      </c>
      <c r="DYP1" t="s">
        <v>4896</v>
      </c>
      <c r="DYQ1" t="s">
        <v>4897</v>
      </c>
      <c r="DYR1" t="s">
        <v>4898</v>
      </c>
      <c r="DYS1" t="s">
        <v>4899</v>
      </c>
      <c r="DYT1" t="s">
        <v>4900</v>
      </c>
      <c r="DYU1" t="s">
        <v>4901</v>
      </c>
      <c r="DYV1" t="s">
        <v>4902</v>
      </c>
      <c r="DYW1" t="s">
        <v>4903</v>
      </c>
      <c r="DYX1" t="s">
        <v>4904</v>
      </c>
      <c r="DYY1" t="s">
        <v>4905</v>
      </c>
      <c r="DYZ1" t="s">
        <v>4906</v>
      </c>
      <c r="DZA1" t="s">
        <v>4907</v>
      </c>
      <c r="DZB1" t="s">
        <v>4908</v>
      </c>
      <c r="DZC1" t="s">
        <v>4909</v>
      </c>
      <c r="DZD1" t="s">
        <v>4910</v>
      </c>
      <c r="DZE1" t="s">
        <v>4911</v>
      </c>
      <c r="DZF1" t="s">
        <v>4912</v>
      </c>
      <c r="DZG1" t="s">
        <v>4913</v>
      </c>
      <c r="DZH1" t="s">
        <v>4914</v>
      </c>
      <c r="DZI1" t="s">
        <v>4915</v>
      </c>
      <c r="DZJ1" t="s">
        <v>4916</v>
      </c>
      <c r="DZK1" t="s">
        <v>4917</v>
      </c>
      <c r="DZL1" t="s">
        <v>4918</v>
      </c>
      <c r="DZM1" t="s">
        <v>4919</v>
      </c>
      <c r="DZN1" t="s">
        <v>4920</v>
      </c>
      <c r="DZO1" t="s">
        <v>4921</v>
      </c>
      <c r="DZP1" t="s">
        <v>4922</v>
      </c>
      <c r="DZQ1" t="s">
        <v>4923</v>
      </c>
      <c r="DZR1" t="s">
        <v>4924</v>
      </c>
      <c r="DZS1" t="s">
        <v>4925</v>
      </c>
      <c r="DZT1" t="s">
        <v>4926</v>
      </c>
      <c r="DZU1" t="s">
        <v>4927</v>
      </c>
      <c r="DZV1" t="s">
        <v>4928</v>
      </c>
      <c r="DZW1" t="s">
        <v>4929</v>
      </c>
      <c r="DZX1" t="s">
        <v>4930</v>
      </c>
      <c r="DZY1" t="s">
        <v>4931</v>
      </c>
      <c r="DZZ1" t="s">
        <v>4932</v>
      </c>
      <c r="EAA1" t="s">
        <v>4933</v>
      </c>
      <c r="EAB1" t="s">
        <v>4934</v>
      </c>
      <c r="EAC1" t="s">
        <v>4935</v>
      </c>
      <c r="EAD1" t="s">
        <v>4936</v>
      </c>
      <c r="EAE1" t="s">
        <v>4937</v>
      </c>
      <c r="EAF1" t="s">
        <v>4938</v>
      </c>
      <c r="EAG1" t="s">
        <v>4939</v>
      </c>
      <c r="EAH1" t="s">
        <v>4940</v>
      </c>
      <c r="EAI1" t="s">
        <v>4941</v>
      </c>
      <c r="EAJ1" t="s">
        <v>4942</v>
      </c>
      <c r="EAK1" t="s">
        <v>4943</v>
      </c>
      <c r="EAL1" t="s">
        <v>4944</v>
      </c>
      <c r="EAM1" t="s">
        <v>4945</v>
      </c>
      <c r="EAN1" t="s">
        <v>4946</v>
      </c>
      <c r="EAO1" t="s">
        <v>4947</v>
      </c>
      <c r="EAP1" t="s">
        <v>4948</v>
      </c>
      <c r="EAQ1" t="s">
        <v>4949</v>
      </c>
      <c r="EAR1" t="s">
        <v>4950</v>
      </c>
      <c r="EAS1" t="s">
        <v>4951</v>
      </c>
      <c r="EAT1" t="s">
        <v>4952</v>
      </c>
      <c r="EAU1" t="s">
        <v>4953</v>
      </c>
      <c r="EAV1" t="s">
        <v>4954</v>
      </c>
      <c r="EAW1" t="s">
        <v>4955</v>
      </c>
      <c r="EAX1" t="s">
        <v>4956</v>
      </c>
      <c r="EAY1" t="s">
        <v>4957</v>
      </c>
      <c r="EAZ1" t="s">
        <v>4958</v>
      </c>
      <c r="EBA1" t="s">
        <v>4959</v>
      </c>
      <c r="EBB1" t="s">
        <v>4960</v>
      </c>
      <c r="EBC1" t="s">
        <v>4961</v>
      </c>
      <c r="EBD1" t="s">
        <v>4962</v>
      </c>
      <c r="EBE1" t="s">
        <v>4963</v>
      </c>
      <c r="EBF1" t="s">
        <v>4964</v>
      </c>
      <c r="EBG1" t="s">
        <v>4965</v>
      </c>
      <c r="EBH1" t="s">
        <v>4966</v>
      </c>
      <c r="EBI1" t="s">
        <v>4967</v>
      </c>
      <c r="EBJ1" t="s">
        <v>4968</v>
      </c>
      <c r="EBK1" t="s">
        <v>4969</v>
      </c>
      <c r="EBL1" t="s">
        <v>4970</v>
      </c>
      <c r="EBM1" t="s">
        <v>4971</v>
      </c>
      <c r="EBN1" t="s">
        <v>4972</v>
      </c>
      <c r="EBO1" t="s">
        <v>4973</v>
      </c>
      <c r="EBP1" t="s">
        <v>4974</v>
      </c>
      <c r="EBQ1" t="s">
        <v>4975</v>
      </c>
      <c r="EBR1" t="s">
        <v>4976</v>
      </c>
      <c r="EBS1" t="s">
        <v>4977</v>
      </c>
      <c r="EBT1" t="s">
        <v>4978</v>
      </c>
      <c r="EBU1" t="s">
        <v>4979</v>
      </c>
      <c r="EBV1" t="s">
        <v>4980</v>
      </c>
      <c r="EBW1" t="s">
        <v>4981</v>
      </c>
      <c r="EBX1" t="s">
        <v>4982</v>
      </c>
      <c r="EBY1" t="s">
        <v>4983</v>
      </c>
      <c r="EBZ1" t="s">
        <v>4984</v>
      </c>
      <c r="ECA1" t="s">
        <v>4985</v>
      </c>
      <c r="ECB1" t="s">
        <v>4986</v>
      </c>
      <c r="ECC1" t="s">
        <v>4987</v>
      </c>
      <c r="ECD1" t="s">
        <v>4988</v>
      </c>
      <c r="ECE1" t="s">
        <v>4989</v>
      </c>
      <c r="ECF1" t="s">
        <v>4990</v>
      </c>
      <c r="ECG1" t="s">
        <v>4991</v>
      </c>
      <c r="ECH1" t="s">
        <v>4992</v>
      </c>
      <c r="ECI1" t="s">
        <v>4993</v>
      </c>
      <c r="ECJ1" t="s">
        <v>4994</v>
      </c>
      <c r="ECK1" t="s">
        <v>4995</v>
      </c>
      <c r="ECL1" t="s">
        <v>4996</v>
      </c>
      <c r="ECM1" t="s">
        <v>4997</v>
      </c>
      <c r="ECN1" t="s">
        <v>4998</v>
      </c>
      <c r="ECO1" t="s">
        <v>4999</v>
      </c>
      <c r="ECP1" t="s">
        <v>5000</v>
      </c>
      <c r="ECQ1" t="s">
        <v>5001</v>
      </c>
      <c r="ECR1" t="s">
        <v>5002</v>
      </c>
      <c r="ECS1" t="s">
        <v>5003</v>
      </c>
      <c r="ECT1" t="s">
        <v>5004</v>
      </c>
      <c r="ECU1" t="s">
        <v>5005</v>
      </c>
      <c r="ECV1" t="s">
        <v>5006</v>
      </c>
      <c r="ECW1" t="s">
        <v>5007</v>
      </c>
      <c r="ECX1" t="s">
        <v>5008</v>
      </c>
      <c r="ECY1" t="s">
        <v>5009</v>
      </c>
      <c r="ECZ1" t="s">
        <v>5010</v>
      </c>
      <c r="EDA1" t="s">
        <v>5011</v>
      </c>
      <c r="EDB1" t="s">
        <v>5012</v>
      </c>
      <c r="EDC1" t="s">
        <v>5013</v>
      </c>
      <c r="EDD1" t="s">
        <v>5014</v>
      </c>
      <c r="EDE1" t="s">
        <v>5015</v>
      </c>
      <c r="EDF1" t="s">
        <v>5016</v>
      </c>
      <c r="EDG1" t="s">
        <v>5017</v>
      </c>
      <c r="EDH1" t="s">
        <v>5018</v>
      </c>
      <c r="EDI1" t="s">
        <v>5019</v>
      </c>
      <c r="EDJ1" t="s">
        <v>5020</v>
      </c>
      <c r="EDK1" t="s">
        <v>5021</v>
      </c>
      <c r="EDL1" t="s">
        <v>5022</v>
      </c>
      <c r="EDM1" t="s">
        <v>5023</v>
      </c>
      <c r="EDN1" t="s">
        <v>5024</v>
      </c>
      <c r="EDO1" t="s">
        <v>5025</v>
      </c>
      <c r="EDP1" t="s">
        <v>5026</v>
      </c>
      <c r="EDQ1" t="s">
        <v>5027</v>
      </c>
      <c r="EDR1" t="s">
        <v>5028</v>
      </c>
      <c r="EDS1" t="s">
        <v>5029</v>
      </c>
      <c r="EDT1" t="s">
        <v>5030</v>
      </c>
      <c r="EDU1" t="s">
        <v>5031</v>
      </c>
      <c r="EDV1" t="s">
        <v>5032</v>
      </c>
      <c r="EDW1" t="s">
        <v>5033</v>
      </c>
      <c r="EDX1" t="s">
        <v>5034</v>
      </c>
      <c r="EDY1" t="s">
        <v>5035</v>
      </c>
      <c r="EDZ1" t="s">
        <v>5036</v>
      </c>
      <c r="EEA1" t="s">
        <v>5037</v>
      </c>
      <c r="EEB1" t="s">
        <v>5038</v>
      </c>
      <c r="EEC1" t="s">
        <v>5039</v>
      </c>
      <c r="EED1" t="s">
        <v>5040</v>
      </c>
      <c r="EEE1" t="s">
        <v>5041</v>
      </c>
      <c r="EEF1" t="s">
        <v>5042</v>
      </c>
      <c r="EEG1" t="s">
        <v>5043</v>
      </c>
      <c r="EEH1" t="s">
        <v>5044</v>
      </c>
      <c r="EEI1" t="s">
        <v>5045</v>
      </c>
      <c r="EEJ1" t="s">
        <v>5046</v>
      </c>
      <c r="EEK1" t="s">
        <v>5047</v>
      </c>
      <c r="EEL1" t="s">
        <v>5048</v>
      </c>
      <c r="EEM1" t="s">
        <v>5049</v>
      </c>
      <c r="EEN1" t="s">
        <v>5050</v>
      </c>
      <c r="EEO1" t="s">
        <v>5051</v>
      </c>
      <c r="EEP1" t="s">
        <v>5052</v>
      </c>
      <c r="EEQ1" t="s">
        <v>5053</v>
      </c>
      <c r="EER1" t="s">
        <v>5054</v>
      </c>
      <c r="EES1" t="s">
        <v>5055</v>
      </c>
      <c r="EET1" t="s">
        <v>5056</v>
      </c>
      <c r="EEU1" t="s">
        <v>5057</v>
      </c>
      <c r="EEV1" t="s">
        <v>5058</v>
      </c>
      <c r="EEW1" t="s">
        <v>5059</v>
      </c>
      <c r="EEX1" t="s">
        <v>5060</v>
      </c>
      <c r="EEY1" t="s">
        <v>5061</v>
      </c>
      <c r="EEZ1" t="s">
        <v>5062</v>
      </c>
      <c r="EFA1" t="s">
        <v>5063</v>
      </c>
      <c r="EFB1" t="s">
        <v>5064</v>
      </c>
      <c r="EFC1" t="s">
        <v>5065</v>
      </c>
      <c r="EFD1" t="s">
        <v>5066</v>
      </c>
      <c r="EFE1" t="s">
        <v>5067</v>
      </c>
      <c r="EFF1" t="s">
        <v>5068</v>
      </c>
      <c r="EFG1" t="s">
        <v>5069</v>
      </c>
      <c r="EFH1" t="s">
        <v>5070</v>
      </c>
      <c r="EFI1" t="s">
        <v>5071</v>
      </c>
      <c r="EFJ1" t="s">
        <v>5072</v>
      </c>
      <c r="EFK1" t="s">
        <v>5073</v>
      </c>
      <c r="EFL1" t="s">
        <v>5074</v>
      </c>
      <c r="EFM1" t="s">
        <v>5075</v>
      </c>
      <c r="EFN1" t="s">
        <v>5076</v>
      </c>
      <c r="EFO1" t="s">
        <v>5077</v>
      </c>
      <c r="EFP1" t="s">
        <v>5078</v>
      </c>
      <c r="EFQ1" t="s">
        <v>5079</v>
      </c>
      <c r="EFR1" t="s">
        <v>5080</v>
      </c>
      <c r="EFS1" t="s">
        <v>5081</v>
      </c>
      <c r="EFT1" t="s">
        <v>5082</v>
      </c>
      <c r="EFU1" t="s">
        <v>5083</v>
      </c>
      <c r="EFV1" t="s">
        <v>5084</v>
      </c>
      <c r="EFW1" t="s">
        <v>5085</v>
      </c>
      <c r="EFX1" t="s">
        <v>5086</v>
      </c>
      <c r="EFY1" t="s">
        <v>5087</v>
      </c>
      <c r="EFZ1" t="s">
        <v>5088</v>
      </c>
      <c r="EGA1" t="s">
        <v>5089</v>
      </c>
      <c r="EGB1" t="s">
        <v>5090</v>
      </c>
      <c r="EGC1" t="s">
        <v>5091</v>
      </c>
      <c r="EGD1" t="s">
        <v>5092</v>
      </c>
      <c r="EGE1" t="s">
        <v>5093</v>
      </c>
      <c r="EGF1" t="s">
        <v>5094</v>
      </c>
      <c r="EGG1" t="s">
        <v>5095</v>
      </c>
      <c r="EGH1" t="s">
        <v>5096</v>
      </c>
      <c r="EGI1" t="s">
        <v>5097</v>
      </c>
      <c r="EGJ1" t="s">
        <v>5098</v>
      </c>
      <c r="EGK1" t="s">
        <v>5099</v>
      </c>
      <c r="EGL1" t="s">
        <v>5100</v>
      </c>
      <c r="EGM1" t="s">
        <v>5101</v>
      </c>
      <c r="EGN1" t="s">
        <v>5102</v>
      </c>
      <c r="EGO1" t="s">
        <v>5103</v>
      </c>
      <c r="EGP1" t="s">
        <v>5104</v>
      </c>
      <c r="EGQ1" t="s">
        <v>5105</v>
      </c>
      <c r="EGR1" t="s">
        <v>5106</v>
      </c>
      <c r="EGS1" t="s">
        <v>5107</v>
      </c>
      <c r="EGT1" t="s">
        <v>5108</v>
      </c>
      <c r="EGU1" t="s">
        <v>5109</v>
      </c>
      <c r="EGV1" t="s">
        <v>5110</v>
      </c>
      <c r="EGW1" t="s">
        <v>5111</v>
      </c>
      <c r="EGX1" t="s">
        <v>5112</v>
      </c>
      <c r="EGY1" t="s">
        <v>5113</v>
      </c>
      <c r="EGZ1" t="s">
        <v>5114</v>
      </c>
      <c r="EHA1" t="s">
        <v>5115</v>
      </c>
      <c r="EHB1" t="s">
        <v>5116</v>
      </c>
      <c r="EHC1" t="s">
        <v>5117</v>
      </c>
      <c r="EHD1" t="s">
        <v>5118</v>
      </c>
      <c r="EHE1" t="s">
        <v>5119</v>
      </c>
      <c r="EHF1" t="s">
        <v>5120</v>
      </c>
      <c r="EHG1" t="s">
        <v>5121</v>
      </c>
      <c r="EHH1" t="s">
        <v>5122</v>
      </c>
      <c r="EHI1" t="s">
        <v>5123</v>
      </c>
      <c r="EHJ1" t="s">
        <v>5124</v>
      </c>
      <c r="EHK1" t="s">
        <v>5125</v>
      </c>
      <c r="EHL1" t="s">
        <v>5126</v>
      </c>
      <c r="EHM1" t="s">
        <v>5127</v>
      </c>
      <c r="EHN1" t="s">
        <v>5128</v>
      </c>
      <c r="EHO1" t="s">
        <v>5129</v>
      </c>
      <c r="EHP1" t="s">
        <v>5130</v>
      </c>
      <c r="EHQ1" t="s">
        <v>5131</v>
      </c>
      <c r="EHR1" t="s">
        <v>5132</v>
      </c>
      <c r="EHS1" t="s">
        <v>5133</v>
      </c>
      <c r="EHT1" t="s">
        <v>5134</v>
      </c>
      <c r="EHU1" t="s">
        <v>5135</v>
      </c>
      <c r="EHV1" t="s">
        <v>5136</v>
      </c>
      <c r="EHW1" t="s">
        <v>5137</v>
      </c>
      <c r="EHX1" t="s">
        <v>5138</v>
      </c>
      <c r="EHY1" t="s">
        <v>5139</v>
      </c>
      <c r="EHZ1" t="s">
        <v>5140</v>
      </c>
      <c r="EIA1" t="s">
        <v>5141</v>
      </c>
      <c r="EIB1" t="s">
        <v>5142</v>
      </c>
      <c r="EIC1" t="s">
        <v>5143</v>
      </c>
      <c r="EID1" t="s">
        <v>5144</v>
      </c>
      <c r="EIE1" t="s">
        <v>5145</v>
      </c>
      <c r="EIF1" t="s">
        <v>5146</v>
      </c>
      <c r="EIG1" t="s">
        <v>5147</v>
      </c>
      <c r="EIH1" t="s">
        <v>5148</v>
      </c>
      <c r="EII1" t="s">
        <v>5149</v>
      </c>
      <c r="EIJ1" t="s">
        <v>5150</v>
      </c>
      <c r="EIK1" t="s">
        <v>5151</v>
      </c>
      <c r="EIL1" t="s">
        <v>5152</v>
      </c>
      <c r="EIM1" t="s">
        <v>5153</v>
      </c>
      <c r="EIN1" t="s">
        <v>5154</v>
      </c>
      <c r="EIO1" t="s">
        <v>5155</v>
      </c>
      <c r="EIP1" t="s">
        <v>5156</v>
      </c>
      <c r="EIQ1" t="s">
        <v>5157</v>
      </c>
      <c r="EIR1" t="s">
        <v>5158</v>
      </c>
      <c r="EIS1" t="s">
        <v>5159</v>
      </c>
      <c r="EIT1" t="s">
        <v>5160</v>
      </c>
      <c r="EIU1" t="s">
        <v>5161</v>
      </c>
      <c r="EIV1" t="s">
        <v>5162</v>
      </c>
      <c r="EIW1" t="s">
        <v>5163</v>
      </c>
      <c r="EIX1" t="s">
        <v>5164</v>
      </c>
      <c r="EIY1" t="s">
        <v>5165</v>
      </c>
      <c r="EIZ1" t="s">
        <v>5166</v>
      </c>
      <c r="EJA1" t="s">
        <v>5167</v>
      </c>
      <c r="EJB1" t="s">
        <v>5168</v>
      </c>
      <c r="EJC1" t="s">
        <v>5169</v>
      </c>
      <c r="EJD1" t="s">
        <v>5170</v>
      </c>
      <c r="EJE1" t="s">
        <v>5171</v>
      </c>
      <c r="EJF1" t="s">
        <v>5172</v>
      </c>
      <c r="EJG1" t="s">
        <v>5173</v>
      </c>
      <c r="EJH1" t="s">
        <v>5174</v>
      </c>
      <c r="EJI1" t="s">
        <v>5175</v>
      </c>
      <c r="EJJ1" t="s">
        <v>5176</v>
      </c>
      <c r="EJK1" t="s">
        <v>5177</v>
      </c>
      <c r="EJL1" t="s">
        <v>5178</v>
      </c>
      <c r="EJM1" t="s">
        <v>5179</v>
      </c>
      <c r="EJN1" t="s">
        <v>5180</v>
      </c>
      <c r="EJO1" t="s">
        <v>5181</v>
      </c>
      <c r="EJP1" t="s">
        <v>5182</v>
      </c>
      <c r="EJQ1" t="s">
        <v>5183</v>
      </c>
      <c r="EJR1" t="s">
        <v>5184</v>
      </c>
      <c r="EJS1" t="s">
        <v>5185</v>
      </c>
      <c r="EJT1" t="s">
        <v>5186</v>
      </c>
      <c r="EJU1" t="s">
        <v>5187</v>
      </c>
      <c r="EJV1" t="s">
        <v>5188</v>
      </c>
      <c r="EJW1" t="s">
        <v>5189</v>
      </c>
      <c r="EJX1" t="s">
        <v>5190</v>
      </c>
      <c r="EJY1" t="s">
        <v>5191</v>
      </c>
      <c r="EJZ1" t="s">
        <v>5192</v>
      </c>
      <c r="EKA1" t="s">
        <v>5193</v>
      </c>
      <c r="EKB1" t="s">
        <v>5194</v>
      </c>
      <c r="EKC1" t="s">
        <v>5195</v>
      </c>
      <c r="EKD1" t="s">
        <v>5196</v>
      </c>
      <c r="EKE1" t="s">
        <v>5197</v>
      </c>
      <c r="EKF1" t="s">
        <v>5198</v>
      </c>
      <c r="EKG1" t="s">
        <v>5199</v>
      </c>
      <c r="EKH1" t="s">
        <v>5200</v>
      </c>
      <c r="EKI1" t="s">
        <v>5201</v>
      </c>
      <c r="EKJ1" t="s">
        <v>5202</v>
      </c>
      <c r="EKK1" t="s">
        <v>5203</v>
      </c>
      <c r="EKL1" t="s">
        <v>5204</v>
      </c>
      <c r="EKM1" t="s">
        <v>5205</v>
      </c>
      <c r="EKN1" t="s">
        <v>5206</v>
      </c>
      <c r="EKO1" t="s">
        <v>5207</v>
      </c>
      <c r="EKP1" t="s">
        <v>5208</v>
      </c>
      <c r="EKQ1" t="s">
        <v>5209</v>
      </c>
      <c r="EKR1" t="s">
        <v>5210</v>
      </c>
      <c r="EKS1" t="s">
        <v>5211</v>
      </c>
      <c r="EKT1" t="s">
        <v>5212</v>
      </c>
      <c r="EKU1" t="s">
        <v>5213</v>
      </c>
      <c r="EKV1" t="s">
        <v>5214</v>
      </c>
      <c r="EKW1" t="s">
        <v>5215</v>
      </c>
      <c r="EKX1" t="s">
        <v>5216</v>
      </c>
      <c r="EKY1" t="s">
        <v>5217</v>
      </c>
      <c r="EKZ1" t="s">
        <v>5218</v>
      </c>
      <c r="ELA1" t="s">
        <v>5219</v>
      </c>
      <c r="ELB1" t="s">
        <v>5220</v>
      </c>
      <c r="ELC1" t="s">
        <v>5221</v>
      </c>
      <c r="ELD1" t="s">
        <v>5222</v>
      </c>
      <c r="ELE1" t="s">
        <v>5223</v>
      </c>
      <c r="ELF1" t="s">
        <v>5224</v>
      </c>
      <c r="ELG1" t="s">
        <v>5225</v>
      </c>
      <c r="ELH1" t="s">
        <v>5226</v>
      </c>
      <c r="ELI1" t="s">
        <v>5227</v>
      </c>
      <c r="ELJ1" t="s">
        <v>5228</v>
      </c>
      <c r="ELK1" t="s">
        <v>5229</v>
      </c>
      <c r="ELL1" t="s">
        <v>5230</v>
      </c>
      <c r="ELM1" t="s">
        <v>5231</v>
      </c>
      <c r="ELN1" t="s">
        <v>5232</v>
      </c>
      <c r="ELO1" t="s">
        <v>5233</v>
      </c>
      <c r="ELP1" t="s">
        <v>5234</v>
      </c>
      <c r="ELQ1" t="s">
        <v>5235</v>
      </c>
      <c r="ELR1" t="s">
        <v>5236</v>
      </c>
      <c r="ELS1" t="s">
        <v>5237</v>
      </c>
      <c r="ELT1" t="s">
        <v>5238</v>
      </c>
      <c r="ELU1" t="s">
        <v>5239</v>
      </c>
      <c r="ELV1" t="s">
        <v>5240</v>
      </c>
      <c r="ELW1" t="s">
        <v>5241</v>
      </c>
      <c r="ELX1" t="s">
        <v>5242</v>
      </c>
      <c r="ELY1" t="s">
        <v>5243</v>
      </c>
      <c r="ELZ1" t="s">
        <v>5244</v>
      </c>
      <c r="EMA1" t="s">
        <v>5245</v>
      </c>
      <c r="EMB1" t="s">
        <v>5246</v>
      </c>
      <c r="EMC1" t="s">
        <v>5247</v>
      </c>
      <c r="EMD1" t="s">
        <v>5248</v>
      </c>
      <c r="EME1" t="s">
        <v>5249</v>
      </c>
      <c r="EMF1" t="s">
        <v>5250</v>
      </c>
      <c r="EMG1" t="s">
        <v>5251</v>
      </c>
      <c r="EMH1" t="s">
        <v>5252</v>
      </c>
      <c r="EMI1" t="s">
        <v>5253</v>
      </c>
      <c r="EMJ1" t="s">
        <v>5254</v>
      </c>
      <c r="EMK1" t="s">
        <v>5255</v>
      </c>
      <c r="EML1" t="s">
        <v>5256</v>
      </c>
      <c r="EMM1" t="s">
        <v>5257</v>
      </c>
      <c r="EMN1" t="s">
        <v>5258</v>
      </c>
      <c r="EMO1" t="s">
        <v>5259</v>
      </c>
      <c r="EMP1" t="s">
        <v>5260</v>
      </c>
      <c r="EMQ1" t="s">
        <v>5261</v>
      </c>
      <c r="EMR1" t="s">
        <v>5262</v>
      </c>
      <c r="EMS1" t="s">
        <v>5263</v>
      </c>
      <c r="EMT1" t="s">
        <v>5264</v>
      </c>
      <c r="EMU1" t="s">
        <v>5265</v>
      </c>
      <c r="EMV1" t="s">
        <v>5266</v>
      </c>
      <c r="EMW1" t="s">
        <v>5267</v>
      </c>
      <c r="EMX1" t="s">
        <v>5268</v>
      </c>
      <c r="EMY1" t="s">
        <v>5269</v>
      </c>
      <c r="EMZ1" t="s">
        <v>5270</v>
      </c>
      <c r="ENA1" t="s">
        <v>5271</v>
      </c>
      <c r="ENB1" t="s">
        <v>5272</v>
      </c>
      <c r="ENC1" t="s">
        <v>5273</v>
      </c>
      <c r="END1" t="s">
        <v>5274</v>
      </c>
      <c r="ENE1" t="s">
        <v>5275</v>
      </c>
      <c r="ENF1" t="s">
        <v>5276</v>
      </c>
      <c r="ENG1" t="s">
        <v>5277</v>
      </c>
      <c r="ENH1" t="s">
        <v>5278</v>
      </c>
      <c r="ENI1" t="s">
        <v>5279</v>
      </c>
      <c r="ENJ1" t="s">
        <v>5280</v>
      </c>
      <c r="ENK1" t="s">
        <v>5281</v>
      </c>
      <c r="ENL1" t="s">
        <v>5282</v>
      </c>
      <c r="ENM1" t="s">
        <v>5283</v>
      </c>
      <c r="ENN1" t="s">
        <v>5284</v>
      </c>
      <c r="ENO1" t="s">
        <v>5285</v>
      </c>
      <c r="ENP1" t="s">
        <v>5286</v>
      </c>
      <c r="ENQ1" t="s">
        <v>5287</v>
      </c>
      <c r="ENR1" t="s">
        <v>5288</v>
      </c>
      <c r="ENS1" t="s">
        <v>5289</v>
      </c>
      <c r="ENT1" t="s">
        <v>5290</v>
      </c>
      <c r="ENU1" t="s">
        <v>5291</v>
      </c>
      <c r="ENV1" t="s">
        <v>5292</v>
      </c>
      <c r="ENW1" t="s">
        <v>5293</v>
      </c>
      <c r="ENX1" t="s">
        <v>5294</v>
      </c>
      <c r="ENY1" t="s">
        <v>5295</v>
      </c>
      <c r="ENZ1" t="s">
        <v>5296</v>
      </c>
      <c r="EOA1" t="s">
        <v>5297</v>
      </c>
      <c r="EOB1" t="s">
        <v>5298</v>
      </c>
      <c r="EOC1" t="s">
        <v>5299</v>
      </c>
      <c r="EOD1" t="s">
        <v>5300</v>
      </c>
      <c r="EOE1" t="s">
        <v>5301</v>
      </c>
      <c r="EOF1" t="s">
        <v>5302</v>
      </c>
      <c r="EOG1" t="s">
        <v>5303</v>
      </c>
      <c r="EOH1" t="s">
        <v>5304</v>
      </c>
      <c r="EOI1" t="s">
        <v>5305</v>
      </c>
      <c r="EOJ1" t="s">
        <v>5306</v>
      </c>
      <c r="EOK1" t="s">
        <v>5307</v>
      </c>
      <c r="EOL1" t="s">
        <v>5308</v>
      </c>
      <c r="EOM1" t="s">
        <v>5309</v>
      </c>
      <c r="EON1" t="s">
        <v>5310</v>
      </c>
      <c r="EOO1" t="s">
        <v>5311</v>
      </c>
      <c r="EOP1" t="s">
        <v>5312</v>
      </c>
      <c r="EOQ1" t="s">
        <v>5313</v>
      </c>
      <c r="EOR1" t="s">
        <v>5314</v>
      </c>
      <c r="EOS1" t="s">
        <v>5315</v>
      </c>
      <c r="EOT1" t="s">
        <v>5316</v>
      </c>
      <c r="EOU1" t="s">
        <v>5317</v>
      </c>
      <c r="EOV1" t="s">
        <v>5318</v>
      </c>
      <c r="EOW1" t="s">
        <v>5319</v>
      </c>
      <c r="EOX1" t="s">
        <v>5320</v>
      </c>
      <c r="EOY1" t="s">
        <v>5321</v>
      </c>
      <c r="EOZ1" t="s">
        <v>5322</v>
      </c>
      <c r="EPA1" t="s">
        <v>5323</v>
      </c>
      <c r="EPB1" t="s">
        <v>5324</v>
      </c>
      <c r="EPC1" t="s">
        <v>5325</v>
      </c>
      <c r="EPD1" t="s">
        <v>5326</v>
      </c>
      <c r="EPE1" t="s">
        <v>5327</v>
      </c>
      <c r="EPF1" t="s">
        <v>5328</v>
      </c>
      <c r="EPG1" t="s">
        <v>5329</v>
      </c>
      <c r="EPH1" t="s">
        <v>5330</v>
      </c>
      <c r="EPI1" t="s">
        <v>5331</v>
      </c>
      <c r="EPJ1" t="s">
        <v>5332</v>
      </c>
      <c r="EPK1" t="s">
        <v>5333</v>
      </c>
      <c r="EPL1" t="s">
        <v>5334</v>
      </c>
      <c r="EPM1" t="s">
        <v>5335</v>
      </c>
      <c r="EPN1" t="s">
        <v>5336</v>
      </c>
      <c r="EPO1" t="s">
        <v>5337</v>
      </c>
      <c r="EPP1" t="s">
        <v>5338</v>
      </c>
      <c r="EPQ1" t="s">
        <v>5339</v>
      </c>
      <c r="EPR1" t="s">
        <v>5340</v>
      </c>
      <c r="EPS1" t="s">
        <v>5341</v>
      </c>
      <c r="EPT1" t="s">
        <v>5342</v>
      </c>
      <c r="EPU1" t="s">
        <v>5343</v>
      </c>
      <c r="EPV1" t="s">
        <v>5344</v>
      </c>
      <c r="EPW1" t="s">
        <v>5345</v>
      </c>
      <c r="EPX1" t="s">
        <v>5346</v>
      </c>
      <c r="EPY1" t="s">
        <v>5347</v>
      </c>
      <c r="EPZ1" t="s">
        <v>5348</v>
      </c>
      <c r="EQA1" t="s">
        <v>5349</v>
      </c>
      <c r="EQB1" t="s">
        <v>5350</v>
      </c>
      <c r="EQC1" t="s">
        <v>5351</v>
      </c>
      <c r="EQD1" t="s">
        <v>5352</v>
      </c>
      <c r="EQE1" t="s">
        <v>5353</v>
      </c>
      <c r="EQF1" t="s">
        <v>5354</v>
      </c>
      <c r="EQG1" t="s">
        <v>5355</v>
      </c>
      <c r="EQH1" t="s">
        <v>5356</v>
      </c>
      <c r="EQI1" t="s">
        <v>5357</v>
      </c>
      <c r="EQJ1" t="s">
        <v>5358</v>
      </c>
      <c r="EQK1" t="s">
        <v>5359</v>
      </c>
      <c r="EQL1" t="s">
        <v>5360</v>
      </c>
      <c r="EQM1" t="s">
        <v>5361</v>
      </c>
      <c r="EQN1" t="s">
        <v>5362</v>
      </c>
      <c r="EQO1" t="s">
        <v>5363</v>
      </c>
      <c r="EQP1" t="s">
        <v>5364</v>
      </c>
      <c r="EQQ1" t="s">
        <v>5365</v>
      </c>
      <c r="EQR1" t="s">
        <v>5366</v>
      </c>
      <c r="EQS1" t="s">
        <v>5367</v>
      </c>
      <c r="EQT1" t="s">
        <v>5368</v>
      </c>
      <c r="EQU1" t="s">
        <v>5369</v>
      </c>
      <c r="EQV1" t="s">
        <v>5370</v>
      </c>
      <c r="EQW1" t="s">
        <v>5371</v>
      </c>
      <c r="EQX1" t="s">
        <v>5372</v>
      </c>
      <c r="EQY1" t="s">
        <v>5373</v>
      </c>
      <c r="EQZ1" t="s">
        <v>5374</v>
      </c>
      <c r="ERA1" t="s">
        <v>5375</v>
      </c>
      <c r="ERB1" t="s">
        <v>5376</v>
      </c>
      <c r="ERC1" t="s">
        <v>5377</v>
      </c>
      <c r="ERD1" t="s">
        <v>5378</v>
      </c>
      <c r="ERE1" t="s">
        <v>5379</v>
      </c>
      <c r="ERF1" t="s">
        <v>5380</v>
      </c>
      <c r="ERG1" t="s">
        <v>5381</v>
      </c>
      <c r="ERH1" t="s">
        <v>5382</v>
      </c>
      <c r="ERI1" t="s">
        <v>5383</v>
      </c>
      <c r="ERJ1" t="s">
        <v>5384</v>
      </c>
      <c r="ERK1" t="s">
        <v>5385</v>
      </c>
      <c r="ERL1" t="s">
        <v>5386</v>
      </c>
      <c r="ERM1" t="s">
        <v>5387</v>
      </c>
      <c r="ERN1" t="s">
        <v>5388</v>
      </c>
      <c r="ERO1" t="s">
        <v>5389</v>
      </c>
      <c r="ERP1" t="s">
        <v>5390</v>
      </c>
      <c r="ERQ1" t="s">
        <v>5391</v>
      </c>
      <c r="ERR1" t="s">
        <v>5392</v>
      </c>
      <c r="ERS1" t="s">
        <v>5393</v>
      </c>
      <c r="ERT1" t="s">
        <v>5394</v>
      </c>
      <c r="ERU1" t="s">
        <v>5395</v>
      </c>
      <c r="ERV1" t="s">
        <v>5396</v>
      </c>
      <c r="ERW1" t="s">
        <v>5397</v>
      </c>
      <c r="ERX1" t="s">
        <v>5398</v>
      </c>
      <c r="ERY1" t="s">
        <v>5399</v>
      </c>
      <c r="ERZ1" t="s">
        <v>5400</v>
      </c>
      <c r="ESA1" t="s">
        <v>5401</v>
      </c>
      <c r="ESB1" t="s">
        <v>5402</v>
      </c>
      <c r="ESC1" t="s">
        <v>5403</v>
      </c>
      <c r="ESD1" t="s">
        <v>5404</v>
      </c>
      <c r="ESE1" t="s">
        <v>5405</v>
      </c>
      <c r="ESF1" t="s">
        <v>5406</v>
      </c>
      <c r="ESG1" t="s">
        <v>5407</v>
      </c>
      <c r="ESH1" t="s">
        <v>5408</v>
      </c>
      <c r="ESI1" t="s">
        <v>5409</v>
      </c>
      <c r="ESJ1" t="s">
        <v>5410</v>
      </c>
      <c r="ESK1" t="s">
        <v>5411</v>
      </c>
      <c r="ESL1" t="s">
        <v>5412</v>
      </c>
      <c r="ESM1" t="s">
        <v>5413</v>
      </c>
      <c r="ESN1" t="s">
        <v>5414</v>
      </c>
      <c r="ESO1" t="s">
        <v>5415</v>
      </c>
      <c r="ESP1" t="s">
        <v>5416</v>
      </c>
      <c r="ESQ1" t="s">
        <v>5417</v>
      </c>
      <c r="ESR1" t="s">
        <v>5418</v>
      </c>
      <c r="ESS1" t="s">
        <v>5419</v>
      </c>
      <c r="EST1" t="s">
        <v>5420</v>
      </c>
      <c r="ESU1" t="s">
        <v>5421</v>
      </c>
      <c r="ESV1" t="s">
        <v>5422</v>
      </c>
      <c r="ESW1" t="s">
        <v>5423</v>
      </c>
      <c r="ESX1" t="s">
        <v>5424</v>
      </c>
      <c r="ESY1" t="s">
        <v>5425</v>
      </c>
      <c r="ESZ1" t="s">
        <v>5426</v>
      </c>
      <c r="ETA1" t="s">
        <v>5427</v>
      </c>
      <c r="ETB1" t="s">
        <v>5428</v>
      </c>
      <c r="ETC1" t="s">
        <v>5429</v>
      </c>
      <c r="ETD1" t="s">
        <v>5430</v>
      </c>
      <c r="ETE1" t="s">
        <v>5431</v>
      </c>
      <c r="ETF1" t="s">
        <v>5432</v>
      </c>
      <c r="ETG1" t="s">
        <v>5433</v>
      </c>
      <c r="ETH1" t="s">
        <v>5434</v>
      </c>
      <c r="ETI1" t="s">
        <v>5435</v>
      </c>
      <c r="ETJ1" t="s">
        <v>5436</v>
      </c>
      <c r="ETK1" t="s">
        <v>5437</v>
      </c>
      <c r="ETL1" t="s">
        <v>5438</v>
      </c>
      <c r="ETM1" t="s">
        <v>5439</v>
      </c>
      <c r="ETN1" t="s">
        <v>5440</v>
      </c>
      <c r="ETO1" t="s">
        <v>5441</v>
      </c>
      <c r="ETP1" t="s">
        <v>5442</v>
      </c>
      <c r="ETQ1" t="s">
        <v>5443</v>
      </c>
      <c r="ETR1" t="s">
        <v>5444</v>
      </c>
      <c r="ETS1" t="s">
        <v>5445</v>
      </c>
      <c r="ETT1" t="s">
        <v>5446</v>
      </c>
      <c r="ETU1" t="s">
        <v>5447</v>
      </c>
      <c r="ETV1" t="s">
        <v>5448</v>
      </c>
      <c r="ETW1" t="s">
        <v>5449</v>
      </c>
      <c r="ETX1" t="s">
        <v>5450</v>
      </c>
      <c r="ETY1" t="s">
        <v>5451</v>
      </c>
      <c r="ETZ1" t="s">
        <v>5452</v>
      </c>
      <c r="EUA1" t="s">
        <v>5453</v>
      </c>
      <c r="EUB1" t="s">
        <v>5454</v>
      </c>
      <c r="EUC1" t="s">
        <v>5455</v>
      </c>
      <c r="EUD1" t="s">
        <v>5456</v>
      </c>
      <c r="EUE1" t="s">
        <v>5457</v>
      </c>
      <c r="EUF1" t="s">
        <v>5458</v>
      </c>
      <c r="EUG1" t="s">
        <v>5459</v>
      </c>
      <c r="EUH1" t="s">
        <v>5460</v>
      </c>
      <c r="EUI1" t="s">
        <v>5461</v>
      </c>
      <c r="EUJ1" t="s">
        <v>5462</v>
      </c>
      <c r="EUK1" t="s">
        <v>5463</v>
      </c>
      <c r="EUL1" t="s">
        <v>5464</v>
      </c>
      <c r="EUM1" t="s">
        <v>5465</v>
      </c>
      <c r="EUN1" t="s">
        <v>5466</v>
      </c>
      <c r="EUO1" t="s">
        <v>5467</v>
      </c>
      <c r="EUP1" t="s">
        <v>5468</v>
      </c>
      <c r="EUQ1" t="s">
        <v>5469</v>
      </c>
      <c r="EUR1" t="s">
        <v>5470</v>
      </c>
      <c r="EUS1" t="s">
        <v>5471</v>
      </c>
      <c r="EUT1" t="s">
        <v>5472</v>
      </c>
      <c r="EUU1" t="s">
        <v>5473</v>
      </c>
      <c r="EUV1" t="s">
        <v>5474</v>
      </c>
      <c r="EUW1" t="s">
        <v>5475</v>
      </c>
      <c r="EUX1" t="s">
        <v>5476</v>
      </c>
      <c r="EUY1" t="s">
        <v>5477</v>
      </c>
      <c r="EUZ1" t="s">
        <v>5478</v>
      </c>
      <c r="EVA1" t="s">
        <v>5479</v>
      </c>
      <c r="EVB1" t="s">
        <v>5480</v>
      </c>
      <c r="EVC1" t="s">
        <v>5481</v>
      </c>
      <c r="EVD1" t="s">
        <v>5482</v>
      </c>
      <c r="EVE1" t="s">
        <v>5483</v>
      </c>
      <c r="EVF1" t="s">
        <v>5484</v>
      </c>
      <c r="EVG1" t="s">
        <v>5485</v>
      </c>
      <c r="EVH1" t="s">
        <v>5486</v>
      </c>
      <c r="EVI1" t="s">
        <v>5487</v>
      </c>
      <c r="EVJ1" t="s">
        <v>5488</v>
      </c>
      <c r="EVK1" t="s">
        <v>5489</v>
      </c>
      <c r="EVL1" t="s">
        <v>5490</v>
      </c>
      <c r="EVM1" t="s">
        <v>5491</v>
      </c>
      <c r="EVN1" t="s">
        <v>5492</v>
      </c>
      <c r="EVO1" t="s">
        <v>5493</v>
      </c>
      <c r="EVP1" t="s">
        <v>5494</v>
      </c>
      <c r="EVQ1" t="s">
        <v>5495</v>
      </c>
      <c r="EVR1" t="s">
        <v>5496</v>
      </c>
      <c r="EVS1" t="s">
        <v>5497</v>
      </c>
      <c r="EVT1" t="s">
        <v>5498</v>
      </c>
      <c r="EVU1" t="s">
        <v>5499</v>
      </c>
      <c r="EVV1" t="s">
        <v>5500</v>
      </c>
      <c r="EVW1" t="s">
        <v>5501</v>
      </c>
      <c r="EVX1" t="s">
        <v>5502</v>
      </c>
      <c r="EVY1" t="s">
        <v>5503</v>
      </c>
      <c r="EVZ1" t="s">
        <v>5504</v>
      </c>
      <c r="EWA1" t="s">
        <v>5505</v>
      </c>
      <c r="EWB1" t="s">
        <v>5506</v>
      </c>
      <c r="EWC1" t="s">
        <v>5507</v>
      </c>
      <c r="EWD1" t="s">
        <v>5508</v>
      </c>
      <c r="EWE1" t="s">
        <v>5509</v>
      </c>
      <c r="EWF1" t="s">
        <v>5510</v>
      </c>
      <c r="EWG1" t="s">
        <v>5511</v>
      </c>
      <c r="EWH1" t="s">
        <v>5512</v>
      </c>
      <c r="EWI1" t="s">
        <v>5513</v>
      </c>
      <c r="EWJ1" t="s">
        <v>5514</v>
      </c>
      <c r="EWK1" t="s">
        <v>5515</v>
      </c>
      <c r="EWL1" t="s">
        <v>5516</v>
      </c>
      <c r="EWM1" t="s">
        <v>5517</v>
      </c>
      <c r="EWN1" t="s">
        <v>5518</v>
      </c>
      <c r="EWO1" t="s">
        <v>5519</v>
      </c>
      <c r="EWP1" t="s">
        <v>5520</v>
      </c>
      <c r="EWQ1" t="s">
        <v>5521</v>
      </c>
      <c r="EWR1" t="s">
        <v>5522</v>
      </c>
      <c r="EWS1" t="s">
        <v>5523</v>
      </c>
      <c r="EWT1" t="s">
        <v>5524</v>
      </c>
      <c r="EWU1" t="s">
        <v>5525</v>
      </c>
      <c r="EWV1" t="s">
        <v>5526</v>
      </c>
      <c r="EWW1" t="s">
        <v>5527</v>
      </c>
      <c r="EWX1" t="s">
        <v>5528</v>
      </c>
      <c r="EWY1" t="s">
        <v>5529</v>
      </c>
      <c r="EWZ1" t="s">
        <v>5530</v>
      </c>
      <c r="EXA1" t="s">
        <v>5531</v>
      </c>
      <c r="EXB1" t="s">
        <v>5532</v>
      </c>
      <c r="EXC1" t="s">
        <v>5533</v>
      </c>
      <c r="EXD1" t="s">
        <v>5534</v>
      </c>
      <c r="EXE1" t="s">
        <v>5535</v>
      </c>
      <c r="EXF1" t="s">
        <v>5536</v>
      </c>
      <c r="EXG1" t="s">
        <v>5537</v>
      </c>
      <c r="EXH1" t="s">
        <v>5538</v>
      </c>
      <c r="EXI1" t="s">
        <v>5539</v>
      </c>
      <c r="EXJ1" t="s">
        <v>5540</v>
      </c>
      <c r="EXK1" t="s">
        <v>5541</v>
      </c>
      <c r="EXL1" t="s">
        <v>5542</v>
      </c>
      <c r="EXM1" t="s">
        <v>5543</v>
      </c>
      <c r="EXN1" t="s">
        <v>5544</v>
      </c>
      <c r="EXO1" t="s">
        <v>5545</v>
      </c>
      <c r="EXP1" t="s">
        <v>5546</v>
      </c>
      <c r="EXQ1" t="s">
        <v>5547</v>
      </c>
      <c r="EXR1" t="s">
        <v>5548</v>
      </c>
      <c r="EXS1" t="s">
        <v>5549</v>
      </c>
      <c r="EXT1" t="s">
        <v>5550</v>
      </c>
      <c r="EXU1" t="s">
        <v>5551</v>
      </c>
      <c r="EXV1" t="s">
        <v>5552</v>
      </c>
      <c r="EXW1" t="s">
        <v>5553</v>
      </c>
      <c r="EXX1" t="s">
        <v>5554</v>
      </c>
      <c r="EXY1" t="s">
        <v>5555</v>
      </c>
      <c r="EXZ1" t="s">
        <v>5556</v>
      </c>
      <c r="EYA1" t="s">
        <v>5557</v>
      </c>
      <c r="EYB1" t="s">
        <v>5558</v>
      </c>
      <c r="EYC1" t="s">
        <v>5559</v>
      </c>
      <c r="EYD1" t="s">
        <v>5560</v>
      </c>
      <c r="EYE1" t="s">
        <v>5561</v>
      </c>
      <c r="EYF1" t="s">
        <v>5562</v>
      </c>
      <c r="EYG1" t="s">
        <v>5563</v>
      </c>
      <c r="EYH1" t="s">
        <v>5564</v>
      </c>
      <c r="EYI1" t="s">
        <v>5565</v>
      </c>
      <c r="EYJ1" t="s">
        <v>5566</v>
      </c>
      <c r="EYK1" t="s">
        <v>5567</v>
      </c>
      <c r="EYL1" t="s">
        <v>5568</v>
      </c>
      <c r="EYM1" t="s">
        <v>5569</v>
      </c>
      <c r="EYN1" t="s">
        <v>5570</v>
      </c>
      <c r="EYO1" t="s">
        <v>5571</v>
      </c>
      <c r="EYP1" t="s">
        <v>5572</v>
      </c>
      <c r="EYQ1" t="s">
        <v>5573</v>
      </c>
      <c r="EYR1" t="s">
        <v>5574</v>
      </c>
      <c r="EYS1" t="s">
        <v>5575</v>
      </c>
      <c r="EYT1" t="s">
        <v>5576</v>
      </c>
      <c r="EYU1" t="s">
        <v>5577</v>
      </c>
      <c r="EYV1" t="s">
        <v>5578</v>
      </c>
      <c r="EYW1" t="s">
        <v>5579</v>
      </c>
      <c r="EYX1" t="s">
        <v>5580</v>
      </c>
      <c r="EYY1" t="s">
        <v>5581</v>
      </c>
      <c r="EYZ1" t="s">
        <v>5582</v>
      </c>
      <c r="EZA1" t="s">
        <v>5583</v>
      </c>
      <c r="EZB1" t="s">
        <v>5584</v>
      </c>
      <c r="EZC1" t="s">
        <v>5585</v>
      </c>
      <c r="EZD1" t="s">
        <v>5586</v>
      </c>
      <c r="EZE1" t="s">
        <v>5587</v>
      </c>
      <c r="EZF1" t="s">
        <v>5588</v>
      </c>
      <c r="EZG1" t="s">
        <v>5589</v>
      </c>
      <c r="EZH1" t="s">
        <v>5590</v>
      </c>
      <c r="EZI1" t="s">
        <v>5591</v>
      </c>
      <c r="EZJ1" t="s">
        <v>5592</v>
      </c>
      <c r="EZK1" t="s">
        <v>5593</v>
      </c>
      <c r="EZL1" t="s">
        <v>5594</v>
      </c>
      <c r="EZM1" t="s">
        <v>5595</v>
      </c>
      <c r="EZN1" t="s">
        <v>5596</v>
      </c>
      <c r="EZO1" t="s">
        <v>5597</v>
      </c>
      <c r="EZP1" t="s">
        <v>5598</v>
      </c>
      <c r="EZQ1" t="s">
        <v>5599</v>
      </c>
      <c r="EZR1" t="s">
        <v>5600</v>
      </c>
      <c r="EZS1" t="s">
        <v>5601</v>
      </c>
      <c r="EZT1" t="s">
        <v>5602</v>
      </c>
      <c r="EZU1" t="s">
        <v>5603</v>
      </c>
      <c r="EZV1" t="s">
        <v>5604</v>
      </c>
      <c r="EZW1" t="s">
        <v>5605</v>
      </c>
      <c r="EZX1" t="s">
        <v>5606</v>
      </c>
      <c r="EZY1" t="s">
        <v>5607</v>
      </c>
      <c r="EZZ1" t="s">
        <v>5608</v>
      </c>
      <c r="FAA1" t="s">
        <v>5609</v>
      </c>
      <c r="FAB1" t="s">
        <v>5610</v>
      </c>
      <c r="FAC1" t="s">
        <v>5611</v>
      </c>
      <c r="FAD1" t="s">
        <v>5612</v>
      </c>
      <c r="FAE1" t="s">
        <v>5613</v>
      </c>
      <c r="FAF1" t="s">
        <v>5614</v>
      </c>
      <c r="FAG1" t="s">
        <v>5615</v>
      </c>
      <c r="FAH1" t="s">
        <v>5616</v>
      </c>
      <c r="FAI1" t="s">
        <v>5617</v>
      </c>
      <c r="FAJ1" t="s">
        <v>5618</v>
      </c>
      <c r="FAK1" t="s">
        <v>5619</v>
      </c>
      <c r="FAL1" t="s">
        <v>5620</v>
      </c>
      <c r="FAM1" t="s">
        <v>5621</v>
      </c>
      <c r="FAN1" t="s">
        <v>5622</v>
      </c>
      <c r="FAO1" t="s">
        <v>5623</v>
      </c>
      <c r="FAP1" t="s">
        <v>5624</v>
      </c>
      <c r="FAQ1" t="s">
        <v>5625</v>
      </c>
      <c r="FAR1" t="s">
        <v>5626</v>
      </c>
      <c r="FAS1" t="s">
        <v>5627</v>
      </c>
      <c r="FAT1" t="s">
        <v>5628</v>
      </c>
      <c r="FAU1" t="s">
        <v>5629</v>
      </c>
      <c r="FAV1" t="s">
        <v>5630</v>
      </c>
      <c r="FAW1" t="s">
        <v>5631</v>
      </c>
      <c r="FAX1" t="s">
        <v>5632</v>
      </c>
      <c r="FAY1" t="s">
        <v>5633</v>
      </c>
      <c r="FAZ1" t="s">
        <v>5634</v>
      </c>
      <c r="FBA1" t="s">
        <v>5635</v>
      </c>
      <c r="FBB1" t="s">
        <v>5636</v>
      </c>
      <c r="FBC1" t="s">
        <v>5637</v>
      </c>
      <c r="FBD1" t="s">
        <v>5638</v>
      </c>
      <c r="FBE1" t="s">
        <v>5639</v>
      </c>
      <c r="FBF1" t="s">
        <v>5640</v>
      </c>
      <c r="FBG1" t="s">
        <v>5641</v>
      </c>
      <c r="FBH1" t="s">
        <v>5642</v>
      </c>
      <c r="FBI1" t="s">
        <v>5643</v>
      </c>
      <c r="FBJ1" t="s">
        <v>5644</v>
      </c>
      <c r="FBK1" t="s">
        <v>5645</v>
      </c>
      <c r="FBL1" t="s">
        <v>5646</v>
      </c>
      <c r="FBM1" t="s">
        <v>5647</v>
      </c>
      <c r="FBN1" t="s">
        <v>5648</v>
      </c>
      <c r="FBO1" t="s">
        <v>5649</v>
      </c>
      <c r="FBP1" t="s">
        <v>5650</v>
      </c>
      <c r="FBQ1" t="s">
        <v>5651</v>
      </c>
      <c r="FBR1" t="s">
        <v>5652</v>
      </c>
      <c r="FBS1" t="s">
        <v>5653</v>
      </c>
      <c r="FBT1" t="s">
        <v>5654</v>
      </c>
      <c r="FBU1" t="s">
        <v>5655</v>
      </c>
      <c r="FBV1" t="s">
        <v>5656</v>
      </c>
      <c r="FBW1" t="s">
        <v>5657</v>
      </c>
      <c r="FBX1" t="s">
        <v>5658</v>
      </c>
      <c r="FBY1" t="s">
        <v>5659</v>
      </c>
      <c r="FBZ1" t="s">
        <v>5660</v>
      </c>
      <c r="FCA1" t="s">
        <v>5661</v>
      </c>
      <c r="FCB1" t="s">
        <v>5662</v>
      </c>
      <c r="FCC1" t="s">
        <v>5663</v>
      </c>
      <c r="FCD1" t="s">
        <v>5664</v>
      </c>
      <c r="FCE1" t="s">
        <v>5665</v>
      </c>
      <c r="FCF1" t="s">
        <v>5666</v>
      </c>
      <c r="FCG1" t="s">
        <v>5667</v>
      </c>
      <c r="FCH1" t="s">
        <v>5668</v>
      </c>
      <c r="FCI1" t="s">
        <v>5669</v>
      </c>
      <c r="FCJ1" t="s">
        <v>5670</v>
      </c>
      <c r="FCK1" t="s">
        <v>5671</v>
      </c>
      <c r="FCL1" t="s">
        <v>5672</v>
      </c>
      <c r="FCM1" t="s">
        <v>5673</v>
      </c>
      <c r="FCN1" t="s">
        <v>5674</v>
      </c>
      <c r="FCO1" t="s">
        <v>5675</v>
      </c>
      <c r="FCP1" t="s">
        <v>5676</v>
      </c>
      <c r="FCQ1" t="s">
        <v>5677</v>
      </c>
      <c r="FCR1" t="s">
        <v>5678</v>
      </c>
      <c r="FCS1" t="s">
        <v>5679</v>
      </c>
      <c r="FCT1" t="s">
        <v>5680</v>
      </c>
      <c r="FCU1" t="s">
        <v>5681</v>
      </c>
      <c r="FCV1" t="s">
        <v>5682</v>
      </c>
      <c r="FCW1" t="s">
        <v>5683</v>
      </c>
      <c r="FCX1" t="s">
        <v>5684</v>
      </c>
      <c r="FCY1" t="s">
        <v>5685</v>
      </c>
      <c r="FCZ1" t="s">
        <v>5686</v>
      </c>
      <c r="FDA1" t="s">
        <v>5687</v>
      </c>
      <c r="FDB1" t="s">
        <v>5688</v>
      </c>
      <c r="FDC1" t="s">
        <v>5689</v>
      </c>
      <c r="FDD1" t="s">
        <v>5690</v>
      </c>
      <c r="FDE1" t="s">
        <v>5691</v>
      </c>
      <c r="FDF1" t="s">
        <v>5692</v>
      </c>
      <c r="FDG1" t="s">
        <v>5693</v>
      </c>
      <c r="FDH1" t="s">
        <v>5694</v>
      </c>
      <c r="FDI1" t="s">
        <v>5695</v>
      </c>
      <c r="FDJ1" t="s">
        <v>5696</v>
      </c>
      <c r="FDK1" t="s">
        <v>5697</v>
      </c>
      <c r="FDL1" t="s">
        <v>5698</v>
      </c>
      <c r="FDM1" t="s">
        <v>5699</v>
      </c>
      <c r="FDN1" t="s">
        <v>5700</v>
      </c>
      <c r="FDO1" t="s">
        <v>5701</v>
      </c>
      <c r="FDP1" t="s">
        <v>5702</v>
      </c>
      <c r="FDQ1" t="s">
        <v>5703</v>
      </c>
      <c r="FDR1" t="s">
        <v>5704</v>
      </c>
      <c r="FDS1" t="s">
        <v>5705</v>
      </c>
      <c r="FDT1" t="s">
        <v>5706</v>
      </c>
      <c r="FDU1" t="s">
        <v>5707</v>
      </c>
      <c r="FDV1" t="s">
        <v>5708</v>
      </c>
      <c r="FDW1" t="s">
        <v>5709</v>
      </c>
      <c r="FDX1" t="s">
        <v>5710</v>
      </c>
      <c r="FDY1" t="s">
        <v>5711</v>
      </c>
      <c r="FDZ1" t="s">
        <v>5712</v>
      </c>
      <c r="FEA1" t="s">
        <v>5713</v>
      </c>
      <c r="FEB1" t="s">
        <v>5714</v>
      </c>
      <c r="FEC1" t="s">
        <v>5715</v>
      </c>
      <c r="FED1" t="s">
        <v>5716</v>
      </c>
      <c r="FEE1" t="s">
        <v>5717</v>
      </c>
      <c r="FEF1" t="s">
        <v>5718</v>
      </c>
      <c r="FEG1" t="s">
        <v>5719</v>
      </c>
      <c r="FEH1" t="s">
        <v>5720</v>
      </c>
      <c r="FEI1" t="s">
        <v>5721</v>
      </c>
      <c r="FEJ1" t="s">
        <v>5722</v>
      </c>
      <c r="FEK1" t="s">
        <v>5723</v>
      </c>
      <c r="FEL1" t="s">
        <v>5724</v>
      </c>
      <c r="FEM1" t="s">
        <v>5725</v>
      </c>
      <c r="FEN1" t="s">
        <v>5726</v>
      </c>
      <c r="FEO1" t="s">
        <v>5727</v>
      </c>
      <c r="FEP1" t="s">
        <v>5728</v>
      </c>
      <c r="FEQ1" t="s">
        <v>5729</v>
      </c>
      <c r="FER1" t="s">
        <v>5730</v>
      </c>
      <c r="FES1" t="s">
        <v>5731</v>
      </c>
      <c r="FET1" t="s">
        <v>5732</v>
      </c>
      <c r="FEU1" t="s">
        <v>5733</v>
      </c>
      <c r="FEV1" t="s">
        <v>5734</v>
      </c>
      <c r="FEW1" t="s">
        <v>5735</v>
      </c>
      <c r="FEX1" t="s">
        <v>5736</v>
      </c>
      <c r="FEY1" t="s">
        <v>5737</v>
      </c>
      <c r="FEZ1" t="s">
        <v>5738</v>
      </c>
      <c r="FFA1" t="s">
        <v>5739</v>
      </c>
      <c r="FFB1" t="s">
        <v>5740</v>
      </c>
      <c r="FFC1" t="s">
        <v>5741</v>
      </c>
      <c r="FFD1" t="s">
        <v>5742</v>
      </c>
      <c r="FFE1" t="s">
        <v>5743</v>
      </c>
      <c r="FFF1" t="s">
        <v>5744</v>
      </c>
      <c r="FFG1" t="s">
        <v>5745</v>
      </c>
      <c r="FFH1" t="s">
        <v>5746</v>
      </c>
      <c r="FFI1" t="s">
        <v>5747</v>
      </c>
      <c r="FFJ1" t="s">
        <v>5748</v>
      </c>
      <c r="FFK1" t="s">
        <v>5749</v>
      </c>
      <c r="FFL1" t="s">
        <v>5750</v>
      </c>
      <c r="FFM1" t="s">
        <v>5751</v>
      </c>
      <c r="FFN1" t="s">
        <v>5752</v>
      </c>
      <c r="FFO1" t="s">
        <v>5753</v>
      </c>
      <c r="FFP1" t="s">
        <v>5754</v>
      </c>
      <c r="FFQ1" t="s">
        <v>5755</v>
      </c>
      <c r="FFR1" t="s">
        <v>5756</v>
      </c>
      <c r="FFS1" t="s">
        <v>5757</v>
      </c>
      <c r="FFT1" t="s">
        <v>5758</v>
      </c>
      <c r="FFU1" t="s">
        <v>5759</v>
      </c>
      <c r="FFV1" t="s">
        <v>5760</v>
      </c>
      <c r="FFW1" t="s">
        <v>5761</v>
      </c>
      <c r="FFX1" t="s">
        <v>5762</v>
      </c>
      <c r="FFY1" t="s">
        <v>5763</v>
      </c>
      <c r="FFZ1" t="s">
        <v>5764</v>
      </c>
      <c r="FGA1" t="s">
        <v>5765</v>
      </c>
      <c r="FGB1" t="s">
        <v>5766</v>
      </c>
      <c r="FGC1" t="s">
        <v>5767</v>
      </c>
      <c r="FGD1" t="s">
        <v>5768</v>
      </c>
      <c r="FGE1" t="s">
        <v>5769</v>
      </c>
      <c r="FGF1" t="s">
        <v>5770</v>
      </c>
      <c r="FGG1" t="s">
        <v>5771</v>
      </c>
      <c r="FGH1" t="s">
        <v>5772</v>
      </c>
      <c r="FGI1" t="s">
        <v>5773</v>
      </c>
      <c r="FGJ1" t="s">
        <v>5774</v>
      </c>
      <c r="FGK1" t="s">
        <v>5775</v>
      </c>
      <c r="FGL1" t="s">
        <v>5776</v>
      </c>
      <c r="FGM1" t="s">
        <v>5777</v>
      </c>
      <c r="FGN1" t="s">
        <v>5778</v>
      </c>
      <c r="FGO1" t="s">
        <v>5779</v>
      </c>
      <c r="FGP1" t="s">
        <v>5780</v>
      </c>
      <c r="FGQ1" t="s">
        <v>5781</v>
      </c>
      <c r="FGR1" t="s">
        <v>5782</v>
      </c>
      <c r="FGS1" t="s">
        <v>5783</v>
      </c>
      <c r="FGT1" t="s">
        <v>5784</v>
      </c>
      <c r="FGU1" t="s">
        <v>5785</v>
      </c>
      <c r="FGV1" t="s">
        <v>5786</v>
      </c>
      <c r="FGW1" t="s">
        <v>5787</v>
      </c>
      <c r="FGX1" t="s">
        <v>5788</v>
      </c>
      <c r="FGY1" t="s">
        <v>5789</v>
      </c>
      <c r="FGZ1" t="s">
        <v>5790</v>
      </c>
      <c r="FHA1" t="s">
        <v>5791</v>
      </c>
      <c r="FHB1" t="s">
        <v>5792</v>
      </c>
      <c r="FHC1" t="s">
        <v>5793</v>
      </c>
      <c r="FHD1" t="s">
        <v>5794</v>
      </c>
      <c r="FHE1" t="s">
        <v>5795</v>
      </c>
      <c r="FHF1" t="s">
        <v>5796</v>
      </c>
      <c r="FHG1" t="s">
        <v>5797</v>
      </c>
      <c r="FHH1" t="s">
        <v>5798</v>
      </c>
      <c r="FHI1" t="s">
        <v>5799</v>
      </c>
      <c r="FHJ1" t="s">
        <v>5800</v>
      </c>
      <c r="FHK1" t="s">
        <v>5801</v>
      </c>
      <c r="FHL1" t="s">
        <v>5802</v>
      </c>
      <c r="FHM1" t="s">
        <v>5803</v>
      </c>
      <c r="FHN1" t="s">
        <v>5804</v>
      </c>
      <c r="FHO1" t="s">
        <v>5805</v>
      </c>
      <c r="FHP1" t="s">
        <v>5806</v>
      </c>
      <c r="FHQ1" t="s">
        <v>5807</v>
      </c>
      <c r="FHR1" t="s">
        <v>5808</v>
      </c>
      <c r="FHS1" t="s">
        <v>5809</v>
      </c>
      <c r="FHT1" t="s">
        <v>5810</v>
      </c>
      <c r="FHU1" t="s">
        <v>5811</v>
      </c>
      <c r="FHV1" t="s">
        <v>5812</v>
      </c>
      <c r="FHW1" t="s">
        <v>5813</v>
      </c>
      <c r="FHX1" t="s">
        <v>5814</v>
      </c>
      <c r="FHY1" t="s">
        <v>5815</v>
      </c>
      <c r="FHZ1" t="s">
        <v>5816</v>
      </c>
      <c r="FIA1" t="s">
        <v>5817</v>
      </c>
      <c r="FIB1" t="s">
        <v>5818</v>
      </c>
      <c r="FIC1" t="s">
        <v>5819</v>
      </c>
      <c r="FID1" t="s">
        <v>5820</v>
      </c>
      <c r="FIE1" t="s">
        <v>5821</v>
      </c>
      <c r="FIF1" t="s">
        <v>5822</v>
      </c>
      <c r="FIG1" t="s">
        <v>5823</v>
      </c>
      <c r="FIH1" t="s">
        <v>5824</v>
      </c>
      <c r="FII1" t="s">
        <v>5825</v>
      </c>
      <c r="FIJ1" t="s">
        <v>5826</v>
      </c>
      <c r="FIK1" t="s">
        <v>5827</v>
      </c>
      <c r="FIL1" t="s">
        <v>5828</v>
      </c>
      <c r="FIM1" t="s">
        <v>5829</v>
      </c>
      <c r="FIN1" t="s">
        <v>5830</v>
      </c>
      <c r="FIO1" t="s">
        <v>5831</v>
      </c>
      <c r="FIP1" t="s">
        <v>5832</v>
      </c>
      <c r="FIQ1" t="s">
        <v>5833</v>
      </c>
      <c r="FIR1" t="s">
        <v>5834</v>
      </c>
      <c r="FIS1" t="s">
        <v>5835</v>
      </c>
      <c r="FIT1" t="s">
        <v>5836</v>
      </c>
      <c r="FIU1" t="s">
        <v>5837</v>
      </c>
      <c r="FIV1" t="s">
        <v>5838</v>
      </c>
      <c r="FIW1" t="s">
        <v>5839</v>
      </c>
      <c r="FIX1" t="s">
        <v>5840</v>
      </c>
      <c r="FIY1" t="s">
        <v>5841</v>
      </c>
      <c r="FIZ1" t="s">
        <v>5842</v>
      </c>
      <c r="FJA1" t="s">
        <v>5843</v>
      </c>
      <c r="FJB1" t="s">
        <v>5844</v>
      </c>
      <c r="FJC1" t="s">
        <v>5845</v>
      </c>
      <c r="FJD1" t="s">
        <v>5846</v>
      </c>
      <c r="FJE1" t="s">
        <v>5847</v>
      </c>
      <c r="FJF1" t="s">
        <v>5848</v>
      </c>
      <c r="FJG1" t="s">
        <v>5849</v>
      </c>
      <c r="FJH1" t="s">
        <v>5850</v>
      </c>
      <c r="FJI1" t="s">
        <v>5851</v>
      </c>
      <c r="FJJ1" t="s">
        <v>5852</v>
      </c>
      <c r="FJK1" t="s">
        <v>5853</v>
      </c>
      <c r="FJL1" t="s">
        <v>5854</v>
      </c>
      <c r="FJM1" t="s">
        <v>5855</v>
      </c>
      <c r="FJN1" t="s">
        <v>5856</v>
      </c>
      <c r="FJO1" t="s">
        <v>5857</v>
      </c>
      <c r="FJP1" t="s">
        <v>5858</v>
      </c>
      <c r="FJQ1" t="s">
        <v>5859</v>
      </c>
      <c r="FJR1" t="s">
        <v>5860</v>
      </c>
      <c r="FJS1" t="s">
        <v>5861</v>
      </c>
      <c r="FJT1" t="s">
        <v>5862</v>
      </c>
      <c r="FJU1" t="s">
        <v>5863</v>
      </c>
      <c r="FJV1" t="s">
        <v>5864</v>
      </c>
      <c r="FJW1" t="s">
        <v>5865</v>
      </c>
      <c r="FJX1" t="s">
        <v>5866</v>
      </c>
      <c r="FJY1" t="s">
        <v>5867</v>
      </c>
      <c r="FJZ1" t="s">
        <v>5868</v>
      </c>
      <c r="FKA1" t="s">
        <v>5869</v>
      </c>
      <c r="FKB1" t="s">
        <v>5870</v>
      </c>
      <c r="FKC1" t="s">
        <v>5871</v>
      </c>
      <c r="FKD1" t="s">
        <v>5872</v>
      </c>
      <c r="FKE1" t="s">
        <v>5873</v>
      </c>
      <c r="FKF1" t="s">
        <v>5874</v>
      </c>
      <c r="FKG1" t="s">
        <v>5875</v>
      </c>
      <c r="FKH1" t="s">
        <v>5876</v>
      </c>
      <c r="FKI1" t="s">
        <v>5877</v>
      </c>
      <c r="FKJ1" t="s">
        <v>5878</v>
      </c>
      <c r="FKK1" t="s">
        <v>5879</v>
      </c>
      <c r="FKL1" t="s">
        <v>5880</v>
      </c>
      <c r="FKM1" t="s">
        <v>5881</v>
      </c>
      <c r="FKN1" t="s">
        <v>5882</v>
      </c>
      <c r="FKO1" t="s">
        <v>5883</v>
      </c>
      <c r="FKP1" t="s">
        <v>5884</v>
      </c>
      <c r="FKQ1" t="s">
        <v>5885</v>
      </c>
      <c r="FKR1" t="s">
        <v>5886</v>
      </c>
      <c r="FKS1" t="s">
        <v>5887</v>
      </c>
      <c r="FKT1" t="s">
        <v>5888</v>
      </c>
      <c r="FKU1" t="s">
        <v>5889</v>
      </c>
      <c r="FKV1" t="s">
        <v>5890</v>
      </c>
      <c r="FKW1" t="s">
        <v>5891</v>
      </c>
      <c r="FKX1" t="s">
        <v>5892</v>
      </c>
      <c r="FKY1" t="s">
        <v>5893</v>
      </c>
      <c r="FKZ1" t="s">
        <v>5894</v>
      </c>
      <c r="FLA1" t="s">
        <v>5895</v>
      </c>
      <c r="FLB1" t="s">
        <v>5896</v>
      </c>
      <c r="FLC1" t="s">
        <v>5897</v>
      </c>
      <c r="FLD1" t="s">
        <v>5898</v>
      </c>
      <c r="FLE1" t="s">
        <v>5899</v>
      </c>
      <c r="FLF1" t="s">
        <v>5900</v>
      </c>
      <c r="FLG1" t="s">
        <v>5901</v>
      </c>
      <c r="FLH1" t="s">
        <v>5902</v>
      </c>
      <c r="FLI1" t="s">
        <v>5903</v>
      </c>
      <c r="FLJ1" t="s">
        <v>5904</v>
      </c>
      <c r="FLK1" t="s">
        <v>5905</v>
      </c>
      <c r="FLL1" t="s">
        <v>5906</v>
      </c>
      <c r="FLM1" t="s">
        <v>5907</v>
      </c>
      <c r="FLN1" t="s">
        <v>5908</v>
      </c>
      <c r="FLO1" t="s">
        <v>5909</v>
      </c>
      <c r="FLP1" t="s">
        <v>5910</v>
      </c>
      <c r="FLQ1" t="s">
        <v>5911</v>
      </c>
      <c r="FLR1" t="s">
        <v>5912</v>
      </c>
      <c r="FLS1" t="s">
        <v>5913</v>
      </c>
      <c r="FLT1" t="s">
        <v>5914</v>
      </c>
      <c r="FLU1" t="s">
        <v>5915</v>
      </c>
      <c r="FLV1" t="s">
        <v>5916</v>
      </c>
      <c r="FLW1" t="s">
        <v>5917</v>
      </c>
      <c r="FLX1" t="s">
        <v>5918</v>
      </c>
      <c r="FLY1" t="s">
        <v>5919</v>
      </c>
      <c r="FLZ1" t="s">
        <v>5920</v>
      </c>
      <c r="FMA1" t="s">
        <v>5921</v>
      </c>
      <c r="FMB1" t="s">
        <v>5922</v>
      </c>
      <c r="FMC1" t="s">
        <v>5923</v>
      </c>
      <c r="FMD1" t="s">
        <v>5924</v>
      </c>
      <c r="FME1" t="s">
        <v>5925</v>
      </c>
      <c r="FMF1" t="s">
        <v>5926</v>
      </c>
      <c r="FMG1" t="s">
        <v>5927</v>
      </c>
      <c r="FMH1" t="s">
        <v>5928</v>
      </c>
      <c r="FMI1" t="s">
        <v>5929</v>
      </c>
      <c r="FMJ1" t="s">
        <v>5930</v>
      </c>
      <c r="FMK1" t="s">
        <v>5931</v>
      </c>
      <c r="FML1" t="s">
        <v>5932</v>
      </c>
      <c r="FMM1" t="s">
        <v>5933</v>
      </c>
      <c r="FMN1" t="s">
        <v>5934</v>
      </c>
      <c r="FMO1" t="s">
        <v>5935</v>
      </c>
      <c r="FMP1" t="s">
        <v>5936</v>
      </c>
      <c r="FMQ1" t="s">
        <v>5937</v>
      </c>
      <c r="FMR1" t="s">
        <v>5938</v>
      </c>
      <c r="FMS1" t="s">
        <v>5939</v>
      </c>
      <c r="FMT1" t="s">
        <v>5940</v>
      </c>
      <c r="FMU1" t="s">
        <v>5941</v>
      </c>
      <c r="FMV1" t="s">
        <v>5942</v>
      </c>
      <c r="FMW1" t="s">
        <v>5943</v>
      </c>
      <c r="FMX1" t="s">
        <v>5944</v>
      </c>
      <c r="FMY1" t="s">
        <v>5945</v>
      </c>
      <c r="FMZ1" t="s">
        <v>5946</v>
      </c>
      <c r="FNA1" t="s">
        <v>5947</v>
      </c>
      <c r="FNB1" t="s">
        <v>5948</v>
      </c>
      <c r="FNC1" t="s">
        <v>5949</v>
      </c>
      <c r="FND1" t="s">
        <v>5950</v>
      </c>
      <c r="FNE1" t="s">
        <v>5951</v>
      </c>
      <c r="FNF1" t="s">
        <v>5952</v>
      </c>
      <c r="FNG1" t="s">
        <v>5953</v>
      </c>
      <c r="FNH1" t="s">
        <v>5954</v>
      </c>
      <c r="FNI1" t="s">
        <v>5955</v>
      </c>
      <c r="FNJ1" t="s">
        <v>5956</v>
      </c>
      <c r="FNK1" t="s">
        <v>5957</v>
      </c>
      <c r="FNL1" t="s">
        <v>5958</v>
      </c>
      <c r="FNM1" t="s">
        <v>5959</v>
      </c>
      <c r="FNN1" t="s">
        <v>5960</v>
      </c>
      <c r="FNO1" t="s">
        <v>5961</v>
      </c>
      <c r="FNP1" t="s">
        <v>5962</v>
      </c>
      <c r="FNQ1" t="s">
        <v>5963</v>
      </c>
      <c r="FNR1" t="s">
        <v>5964</v>
      </c>
      <c r="FNS1" t="s">
        <v>5965</v>
      </c>
      <c r="FNT1" t="s">
        <v>5966</v>
      </c>
      <c r="FNU1" t="s">
        <v>5967</v>
      </c>
      <c r="FNV1" t="s">
        <v>5968</v>
      </c>
      <c r="FNW1" t="s">
        <v>5969</v>
      </c>
      <c r="FNX1" t="s">
        <v>5970</v>
      </c>
      <c r="FNY1" t="s">
        <v>5971</v>
      </c>
      <c r="FNZ1" t="s">
        <v>5972</v>
      </c>
      <c r="FOA1" t="s">
        <v>5973</v>
      </c>
      <c r="FOB1" t="s">
        <v>5974</v>
      </c>
      <c r="FOC1" t="s">
        <v>5975</v>
      </c>
      <c r="FOD1" t="s">
        <v>5976</v>
      </c>
      <c r="FOE1" t="s">
        <v>5977</v>
      </c>
      <c r="FOF1" t="s">
        <v>5978</v>
      </c>
      <c r="FOG1" t="s">
        <v>5979</v>
      </c>
      <c r="FOH1" t="s">
        <v>5980</v>
      </c>
      <c r="FOI1" t="s">
        <v>5981</v>
      </c>
      <c r="FOJ1" t="s">
        <v>5982</v>
      </c>
      <c r="FOK1" t="s">
        <v>5983</v>
      </c>
      <c r="FOL1" t="s">
        <v>5984</v>
      </c>
      <c r="FOM1" t="s">
        <v>5985</v>
      </c>
      <c r="FON1" t="s">
        <v>5986</v>
      </c>
      <c r="FOO1" t="s">
        <v>5987</v>
      </c>
      <c r="FOP1" t="s">
        <v>5988</v>
      </c>
      <c r="FOQ1" t="s">
        <v>5989</v>
      </c>
      <c r="FOR1" t="s">
        <v>5990</v>
      </c>
      <c r="FOS1" t="s">
        <v>5991</v>
      </c>
      <c r="FOT1" t="s">
        <v>5992</v>
      </c>
      <c r="FOU1" t="s">
        <v>5993</v>
      </c>
      <c r="FOV1" t="s">
        <v>5994</v>
      </c>
      <c r="FOW1" t="s">
        <v>5995</v>
      </c>
      <c r="FOX1" t="s">
        <v>5996</v>
      </c>
      <c r="FOY1" t="s">
        <v>5997</v>
      </c>
      <c r="FOZ1" t="s">
        <v>5998</v>
      </c>
      <c r="FPA1" t="s">
        <v>5999</v>
      </c>
      <c r="FPB1" t="s">
        <v>6000</v>
      </c>
      <c r="FPC1" t="s">
        <v>6001</v>
      </c>
      <c r="FPD1" t="s">
        <v>6002</v>
      </c>
      <c r="FPE1" t="s">
        <v>6003</v>
      </c>
      <c r="FPF1" t="s">
        <v>6004</v>
      </c>
      <c r="FPG1" t="s">
        <v>6005</v>
      </c>
      <c r="FPH1" t="s">
        <v>6006</v>
      </c>
      <c r="FPI1" t="s">
        <v>6007</v>
      </c>
      <c r="FPJ1" t="s">
        <v>6008</v>
      </c>
      <c r="FPK1" t="s">
        <v>6009</v>
      </c>
      <c r="FPL1" t="s">
        <v>6010</v>
      </c>
      <c r="FPM1" t="s">
        <v>6011</v>
      </c>
      <c r="FPN1" t="s">
        <v>6012</v>
      </c>
      <c r="FPO1" t="s">
        <v>6013</v>
      </c>
      <c r="FPP1" t="s">
        <v>6014</v>
      </c>
      <c r="FPQ1" t="s">
        <v>6015</v>
      </c>
      <c r="FPR1" t="s">
        <v>6016</v>
      </c>
      <c r="FPS1" t="s">
        <v>6017</v>
      </c>
      <c r="FPT1" t="s">
        <v>6018</v>
      </c>
      <c r="FPU1" t="s">
        <v>6019</v>
      </c>
      <c r="FPV1" t="s">
        <v>6020</v>
      </c>
      <c r="FPW1" t="s">
        <v>6021</v>
      </c>
      <c r="FPX1" t="s">
        <v>6022</v>
      </c>
      <c r="FPY1" t="s">
        <v>6023</v>
      </c>
      <c r="FPZ1" t="s">
        <v>6024</v>
      </c>
      <c r="FQA1" t="s">
        <v>6025</v>
      </c>
      <c r="FQB1" t="s">
        <v>6026</v>
      </c>
      <c r="FQC1" t="s">
        <v>6027</v>
      </c>
      <c r="FQD1" t="s">
        <v>6028</v>
      </c>
      <c r="FQE1" t="s">
        <v>6029</v>
      </c>
      <c r="FQF1" t="s">
        <v>6030</v>
      </c>
      <c r="FQG1" t="s">
        <v>6031</v>
      </c>
      <c r="FQH1" t="s">
        <v>6032</v>
      </c>
      <c r="FQI1" t="s">
        <v>6033</v>
      </c>
      <c r="FQJ1" t="s">
        <v>6034</v>
      </c>
      <c r="FQK1" t="s">
        <v>6035</v>
      </c>
      <c r="FQL1" t="s">
        <v>6036</v>
      </c>
      <c r="FQM1" t="s">
        <v>6037</v>
      </c>
      <c r="FQN1" t="s">
        <v>6038</v>
      </c>
      <c r="FQO1" t="s">
        <v>6039</v>
      </c>
      <c r="FQP1" t="s">
        <v>6040</v>
      </c>
      <c r="FQQ1" t="s">
        <v>6041</v>
      </c>
      <c r="FQR1" t="s">
        <v>6042</v>
      </c>
      <c r="FQS1" t="s">
        <v>6043</v>
      </c>
      <c r="FQT1" t="s">
        <v>6044</v>
      </c>
      <c r="FQU1" t="s">
        <v>6045</v>
      </c>
      <c r="FQV1" t="s">
        <v>6046</v>
      </c>
      <c r="FQW1" t="s">
        <v>6047</v>
      </c>
      <c r="FQX1" t="s">
        <v>6048</v>
      </c>
      <c r="FQY1" t="s">
        <v>6049</v>
      </c>
      <c r="FQZ1" t="s">
        <v>6050</v>
      </c>
      <c r="FRA1" t="s">
        <v>6051</v>
      </c>
      <c r="FRB1" t="s">
        <v>6052</v>
      </c>
      <c r="FRC1" t="s">
        <v>6053</v>
      </c>
      <c r="FRD1" t="s">
        <v>6054</v>
      </c>
      <c r="FRE1" t="s">
        <v>6055</v>
      </c>
      <c r="FRF1" t="s">
        <v>6056</v>
      </c>
      <c r="FRG1" t="s">
        <v>6057</v>
      </c>
      <c r="FRH1" t="s">
        <v>6058</v>
      </c>
      <c r="FRI1" t="s">
        <v>6059</v>
      </c>
      <c r="FRJ1" t="s">
        <v>6060</v>
      </c>
      <c r="FRK1" t="s">
        <v>6061</v>
      </c>
      <c r="FRL1" t="s">
        <v>6062</v>
      </c>
      <c r="FRM1" t="s">
        <v>6063</v>
      </c>
      <c r="FRN1" t="s">
        <v>6064</v>
      </c>
      <c r="FRO1" t="s">
        <v>6065</v>
      </c>
      <c r="FRP1" t="s">
        <v>6066</v>
      </c>
      <c r="FRQ1" t="s">
        <v>6067</v>
      </c>
      <c r="FRR1" t="s">
        <v>6068</v>
      </c>
      <c r="FRS1" t="s">
        <v>6069</v>
      </c>
      <c r="FRT1" t="s">
        <v>6070</v>
      </c>
      <c r="FRU1" t="s">
        <v>6071</v>
      </c>
      <c r="FRV1" t="s">
        <v>6072</v>
      </c>
      <c r="FRW1" t="s">
        <v>6073</v>
      </c>
      <c r="FRX1" t="s">
        <v>6074</v>
      </c>
      <c r="FRY1" t="s">
        <v>6075</v>
      </c>
      <c r="FRZ1" t="s">
        <v>6076</v>
      </c>
      <c r="FSA1" t="s">
        <v>6077</v>
      </c>
      <c r="FSB1" t="s">
        <v>6078</v>
      </c>
      <c r="FSC1" t="s">
        <v>6079</v>
      </c>
      <c r="FSD1" t="s">
        <v>6080</v>
      </c>
      <c r="FSE1" t="s">
        <v>6081</v>
      </c>
      <c r="FSF1" t="s">
        <v>6082</v>
      </c>
      <c r="FSG1" t="s">
        <v>6083</v>
      </c>
      <c r="FSH1" t="s">
        <v>6084</v>
      </c>
      <c r="FSI1" t="s">
        <v>6085</v>
      </c>
      <c r="FSJ1" t="s">
        <v>6086</v>
      </c>
      <c r="FSK1" t="s">
        <v>6087</v>
      </c>
      <c r="FSL1" t="s">
        <v>6088</v>
      </c>
      <c r="FSM1" t="s">
        <v>6089</v>
      </c>
      <c r="FSN1" t="s">
        <v>6090</v>
      </c>
      <c r="FSO1" t="s">
        <v>6091</v>
      </c>
      <c r="FSP1" t="s">
        <v>6092</v>
      </c>
      <c r="FSQ1" t="s">
        <v>6093</v>
      </c>
      <c r="FSR1" t="s">
        <v>6094</v>
      </c>
      <c r="FSS1" t="s">
        <v>6095</v>
      </c>
      <c r="FST1" t="s">
        <v>6096</v>
      </c>
      <c r="FSU1" t="s">
        <v>6097</v>
      </c>
      <c r="FSV1" t="s">
        <v>6098</v>
      </c>
      <c r="FSW1" t="s">
        <v>6099</v>
      </c>
      <c r="FSX1" t="s">
        <v>6100</v>
      </c>
      <c r="FSY1" t="s">
        <v>6101</v>
      </c>
      <c r="FSZ1" t="s">
        <v>6102</v>
      </c>
      <c r="FTA1" t="s">
        <v>6103</v>
      </c>
      <c r="FTB1" t="s">
        <v>6104</v>
      </c>
      <c r="FTC1" t="s">
        <v>6105</v>
      </c>
      <c r="FTD1" t="s">
        <v>6106</v>
      </c>
      <c r="FTE1" t="s">
        <v>6107</v>
      </c>
      <c r="FTF1" t="s">
        <v>6108</v>
      </c>
      <c r="FTG1" t="s">
        <v>6109</v>
      </c>
      <c r="FTH1" t="s">
        <v>6110</v>
      </c>
      <c r="FTI1" t="s">
        <v>6111</v>
      </c>
      <c r="FTJ1" t="s">
        <v>6112</v>
      </c>
      <c r="FTK1" t="s">
        <v>6113</v>
      </c>
      <c r="FTL1" t="s">
        <v>6114</v>
      </c>
      <c r="FTM1" t="s">
        <v>6115</v>
      </c>
      <c r="FTN1" t="s">
        <v>6116</v>
      </c>
      <c r="FTO1" t="s">
        <v>6117</v>
      </c>
      <c r="FTP1" t="s">
        <v>6118</v>
      </c>
      <c r="FTQ1" t="s">
        <v>6119</v>
      </c>
      <c r="FTR1" t="s">
        <v>6120</v>
      </c>
      <c r="FTS1" t="s">
        <v>6121</v>
      </c>
      <c r="FTT1" t="s">
        <v>6122</v>
      </c>
      <c r="FTU1" t="s">
        <v>6123</v>
      </c>
      <c r="FTV1" t="s">
        <v>6124</v>
      </c>
      <c r="FTW1" t="s">
        <v>6125</v>
      </c>
      <c r="FTX1" t="s">
        <v>6126</v>
      </c>
      <c r="FTY1" t="s">
        <v>6127</v>
      </c>
      <c r="FTZ1" t="s">
        <v>6128</v>
      </c>
      <c r="FUA1" t="s">
        <v>6129</v>
      </c>
      <c r="FUB1" t="s">
        <v>6130</v>
      </c>
      <c r="FUC1" t="s">
        <v>6131</v>
      </c>
      <c r="FUD1" t="s">
        <v>6132</v>
      </c>
      <c r="FUE1" t="s">
        <v>6133</v>
      </c>
      <c r="FUF1" t="s">
        <v>6134</v>
      </c>
      <c r="FUG1" t="s">
        <v>6135</v>
      </c>
      <c r="FUH1" t="s">
        <v>6136</v>
      </c>
      <c r="FUI1" t="s">
        <v>6137</v>
      </c>
      <c r="FUJ1" t="s">
        <v>6138</v>
      </c>
      <c r="FUK1" t="s">
        <v>6139</v>
      </c>
      <c r="FUL1" t="s">
        <v>6140</v>
      </c>
      <c r="FUM1" t="s">
        <v>6141</v>
      </c>
      <c r="FUN1" t="s">
        <v>6142</v>
      </c>
      <c r="FUO1" t="s">
        <v>6143</v>
      </c>
      <c r="FUP1" t="s">
        <v>6144</v>
      </c>
      <c r="FUQ1" t="s">
        <v>6145</v>
      </c>
      <c r="FUR1" t="s">
        <v>6146</v>
      </c>
      <c r="FUS1" t="s">
        <v>6147</v>
      </c>
      <c r="FUT1" t="s">
        <v>6148</v>
      </c>
      <c r="FUU1" t="s">
        <v>6149</v>
      </c>
      <c r="FUV1" t="s">
        <v>6150</v>
      </c>
      <c r="FUW1" t="s">
        <v>6151</v>
      </c>
      <c r="FUX1" t="s">
        <v>6152</v>
      </c>
      <c r="FUY1" t="s">
        <v>6153</v>
      </c>
      <c r="FUZ1" t="s">
        <v>6154</v>
      </c>
      <c r="FVA1" t="s">
        <v>6155</v>
      </c>
      <c r="FVB1" t="s">
        <v>6156</v>
      </c>
      <c r="FVC1" t="s">
        <v>6157</v>
      </c>
      <c r="FVD1" t="s">
        <v>6158</v>
      </c>
      <c r="FVE1" t="s">
        <v>6159</v>
      </c>
      <c r="FVF1" t="s">
        <v>6160</v>
      </c>
      <c r="FVG1" t="s">
        <v>6161</v>
      </c>
      <c r="FVH1" t="s">
        <v>6162</v>
      </c>
      <c r="FVI1" t="s">
        <v>6163</v>
      </c>
      <c r="FVJ1" t="s">
        <v>6164</v>
      </c>
      <c r="FVK1" t="s">
        <v>6165</v>
      </c>
      <c r="FVL1" t="s">
        <v>6166</v>
      </c>
      <c r="FVM1" t="s">
        <v>6167</v>
      </c>
      <c r="FVN1" t="s">
        <v>6168</v>
      </c>
      <c r="FVO1" t="s">
        <v>6169</v>
      </c>
      <c r="FVP1" t="s">
        <v>6170</v>
      </c>
      <c r="FVQ1" t="s">
        <v>6171</v>
      </c>
      <c r="FVR1" t="s">
        <v>6172</v>
      </c>
      <c r="FVS1" t="s">
        <v>6173</v>
      </c>
      <c r="FVT1" t="s">
        <v>6174</v>
      </c>
      <c r="FVU1" t="s">
        <v>6175</v>
      </c>
      <c r="FVV1" t="s">
        <v>6176</v>
      </c>
      <c r="FVW1" t="s">
        <v>6177</v>
      </c>
      <c r="FVX1" t="s">
        <v>6178</v>
      </c>
      <c r="FVY1" t="s">
        <v>6179</v>
      </c>
      <c r="FVZ1" t="s">
        <v>6180</v>
      </c>
      <c r="FWA1" t="s">
        <v>6181</v>
      </c>
      <c r="FWB1" t="s">
        <v>6182</v>
      </c>
      <c r="FWC1" t="s">
        <v>6183</v>
      </c>
      <c r="FWD1" t="s">
        <v>6184</v>
      </c>
      <c r="FWE1" t="s">
        <v>6185</v>
      </c>
      <c r="FWF1" t="s">
        <v>6186</v>
      </c>
      <c r="FWG1" t="s">
        <v>6187</v>
      </c>
      <c r="FWH1" t="s">
        <v>6188</v>
      </c>
      <c r="FWI1" t="s">
        <v>6189</v>
      </c>
      <c r="FWJ1" t="s">
        <v>6190</v>
      </c>
      <c r="FWK1" t="s">
        <v>6191</v>
      </c>
      <c r="FWL1" t="s">
        <v>6192</v>
      </c>
      <c r="FWM1" t="s">
        <v>6193</v>
      </c>
      <c r="FWN1" t="s">
        <v>6194</v>
      </c>
      <c r="FWO1" t="s">
        <v>6195</v>
      </c>
      <c r="FWP1" t="s">
        <v>6196</v>
      </c>
      <c r="FWQ1" t="s">
        <v>6197</v>
      </c>
      <c r="FWR1" t="s">
        <v>6198</v>
      </c>
      <c r="FWS1" t="s">
        <v>6199</v>
      </c>
      <c r="FWT1" t="s">
        <v>6200</v>
      </c>
      <c r="FWU1" t="s">
        <v>6201</v>
      </c>
      <c r="FWV1" t="s">
        <v>6202</v>
      </c>
      <c r="FWW1" t="s">
        <v>6203</v>
      </c>
      <c r="FWX1" t="s">
        <v>6204</v>
      </c>
      <c r="FWY1" t="s">
        <v>6205</v>
      </c>
      <c r="FWZ1" t="s">
        <v>6206</v>
      </c>
      <c r="FXA1" t="s">
        <v>6207</v>
      </c>
      <c r="FXB1" t="s">
        <v>6208</v>
      </c>
      <c r="FXC1" t="s">
        <v>6209</v>
      </c>
      <c r="FXD1" t="s">
        <v>6210</v>
      </c>
      <c r="FXE1" t="s">
        <v>6211</v>
      </c>
      <c r="FXF1" t="s">
        <v>6212</v>
      </c>
      <c r="FXG1" t="s">
        <v>6213</v>
      </c>
      <c r="FXH1" t="s">
        <v>6214</v>
      </c>
      <c r="FXI1" t="s">
        <v>6215</v>
      </c>
      <c r="FXJ1" t="s">
        <v>6216</v>
      </c>
      <c r="FXK1" t="s">
        <v>6217</v>
      </c>
      <c r="FXL1" t="s">
        <v>6218</v>
      </c>
      <c r="FXM1" t="s">
        <v>6219</v>
      </c>
      <c r="FXN1" t="s">
        <v>6220</v>
      </c>
      <c r="FXO1" t="s">
        <v>6221</v>
      </c>
      <c r="FXP1" t="s">
        <v>6222</v>
      </c>
      <c r="FXQ1" t="s">
        <v>6223</v>
      </c>
      <c r="FXR1" t="s">
        <v>6224</v>
      </c>
      <c r="FXS1" t="s">
        <v>6225</v>
      </c>
      <c r="FXT1" t="s">
        <v>6226</v>
      </c>
      <c r="FXU1" t="s">
        <v>6227</v>
      </c>
      <c r="FXV1" t="s">
        <v>6228</v>
      </c>
      <c r="FXW1" t="s">
        <v>6229</v>
      </c>
      <c r="FXX1" t="s">
        <v>6230</v>
      </c>
      <c r="FXY1" t="s">
        <v>6231</v>
      </c>
      <c r="FXZ1" t="s">
        <v>6232</v>
      </c>
      <c r="FYA1" t="s">
        <v>6233</v>
      </c>
      <c r="FYB1" t="s">
        <v>6234</v>
      </c>
      <c r="FYC1" t="s">
        <v>6235</v>
      </c>
      <c r="FYD1" t="s">
        <v>6236</v>
      </c>
      <c r="FYE1" t="s">
        <v>6237</v>
      </c>
      <c r="FYF1" t="s">
        <v>6238</v>
      </c>
      <c r="FYG1" t="s">
        <v>6239</v>
      </c>
      <c r="FYH1" t="s">
        <v>6240</v>
      </c>
      <c r="FYI1" t="s">
        <v>6241</v>
      </c>
      <c r="FYJ1" t="s">
        <v>6242</v>
      </c>
      <c r="FYK1" t="s">
        <v>6243</v>
      </c>
      <c r="FYL1" t="s">
        <v>6244</v>
      </c>
      <c r="FYM1" t="s">
        <v>6245</v>
      </c>
      <c r="FYN1" t="s">
        <v>6246</v>
      </c>
      <c r="FYO1" t="s">
        <v>6247</v>
      </c>
      <c r="FYP1" t="s">
        <v>6248</v>
      </c>
      <c r="FYQ1" t="s">
        <v>6249</v>
      </c>
      <c r="FYR1" t="s">
        <v>6250</v>
      </c>
      <c r="FYS1" t="s">
        <v>6251</v>
      </c>
      <c r="FYT1" t="s">
        <v>6252</v>
      </c>
      <c r="FYU1" t="s">
        <v>6253</v>
      </c>
      <c r="FYV1" t="s">
        <v>6254</v>
      </c>
      <c r="FYW1" t="s">
        <v>6255</v>
      </c>
      <c r="FYX1" t="s">
        <v>6256</v>
      </c>
      <c r="FYY1" t="s">
        <v>6257</v>
      </c>
      <c r="FYZ1" t="s">
        <v>6258</v>
      </c>
      <c r="FZA1" t="s">
        <v>6259</v>
      </c>
      <c r="FZB1" t="s">
        <v>6260</v>
      </c>
      <c r="FZC1" t="s">
        <v>6261</v>
      </c>
      <c r="FZD1" t="s">
        <v>6262</v>
      </c>
      <c r="FZE1" t="s">
        <v>6263</v>
      </c>
      <c r="FZF1" t="s">
        <v>6264</v>
      </c>
      <c r="FZG1" t="s">
        <v>6265</v>
      </c>
      <c r="FZH1" t="s">
        <v>6266</v>
      </c>
      <c r="FZI1" t="s">
        <v>6267</v>
      </c>
      <c r="FZJ1" t="s">
        <v>6268</v>
      </c>
      <c r="FZK1" t="s">
        <v>6269</v>
      </c>
      <c r="FZL1" t="s">
        <v>6270</v>
      </c>
      <c r="FZM1" t="s">
        <v>6271</v>
      </c>
      <c r="FZN1" t="s">
        <v>6272</v>
      </c>
      <c r="FZO1" t="s">
        <v>6273</v>
      </c>
      <c r="FZP1" t="s">
        <v>6274</v>
      </c>
      <c r="FZQ1" t="s">
        <v>6275</v>
      </c>
      <c r="FZR1" t="s">
        <v>6276</v>
      </c>
      <c r="FZS1" t="s">
        <v>6277</v>
      </c>
      <c r="FZT1" t="s">
        <v>6278</v>
      </c>
      <c r="FZU1" t="s">
        <v>6279</v>
      </c>
      <c r="FZV1" t="s">
        <v>6280</v>
      </c>
      <c r="FZW1" t="s">
        <v>6281</v>
      </c>
      <c r="FZX1" t="s">
        <v>6282</v>
      </c>
      <c r="FZY1" t="s">
        <v>6283</v>
      </c>
      <c r="FZZ1" t="s">
        <v>6284</v>
      </c>
      <c r="GAA1" t="s">
        <v>6285</v>
      </c>
      <c r="GAB1" t="s">
        <v>6286</v>
      </c>
      <c r="GAC1" t="s">
        <v>6287</v>
      </c>
      <c r="GAD1" t="s">
        <v>6288</v>
      </c>
      <c r="GAE1" t="s">
        <v>6289</v>
      </c>
      <c r="GAF1" t="s">
        <v>6290</v>
      </c>
      <c r="GAG1" t="s">
        <v>6291</v>
      </c>
      <c r="GAH1" t="s">
        <v>6292</v>
      </c>
      <c r="GAI1" t="s">
        <v>6293</v>
      </c>
      <c r="GAJ1" t="s">
        <v>6294</v>
      </c>
      <c r="GAK1" t="s">
        <v>6295</v>
      </c>
      <c r="GAL1" t="s">
        <v>6296</v>
      </c>
      <c r="GAM1" t="s">
        <v>6297</v>
      </c>
      <c r="GAN1" t="s">
        <v>6298</v>
      </c>
      <c r="GAO1" t="s">
        <v>6299</v>
      </c>
      <c r="GAP1" t="s">
        <v>6300</v>
      </c>
      <c r="GAQ1" t="s">
        <v>6301</v>
      </c>
      <c r="GAR1" t="s">
        <v>6302</v>
      </c>
      <c r="GAS1" t="s">
        <v>6303</v>
      </c>
      <c r="GAT1" t="s">
        <v>6304</v>
      </c>
      <c r="GAU1" t="s">
        <v>6305</v>
      </c>
      <c r="GAV1" t="s">
        <v>6306</v>
      </c>
      <c r="GAW1" t="s">
        <v>6307</v>
      </c>
      <c r="GAX1" t="s">
        <v>6308</v>
      </c>
      <c r="GAY1" t="s">
        <v>6309</v>
      </c>
      <c r="GAZ1" t="s">
        <v>6310</v>
      </c>
      <c r="GBA1" t="s">
        <v>6311</v>
      </c>
      <c r="GBB1" t="s">
        <v>6312</v>
      </c>
      <c r="GBC1" t="s">
        <v>6313</v>
      </c>
      <c r="GBD1" t="s">
        <v>6314</v>
      </c>
      <c r="GBE1" t="s">
        <v>6315</v>
      </c>
      <c r="GBF1" t="s">
        <v>6316</v>
      </c>
      <c r="GBG1" t="s">
        <v>6317</v>
      </c>
      <c r="GBH1" t="s">
        <v>6318</v>
      </c>
      <c r="GBI1" t="s">
        <v>6319</v>
      </c>
      <c r="GBJ1" t="s">
        <v>6320</v>
      </c>
      <c r="GBK1" t="s">
        <v>6321</v>
      </c>
      <c r="GBL1" t="s">
        <v>6322</v>
      </c>
      <c r="GBM1" t="s">
        <v>6323</v>
      </c>
      <c r="GBN1" t="s">
        <v>6324</v>
      </c>
      <c r="GBO1" t="s">
        <v>6325</v>
      </c>
      <c r="GBP1" t="s">
        <v>6326</v>
      </c>
      <c r="GBQ1" t="s">
        <v>6327</v>
      </c>
      <c r="GBR1" t="s">
        <v>6328</v>
      </c>
      <c r="GBS1" t="s">
        <v>6329</v>
      </c>
      <c r="GBT1" t="s">
        <v>6330</v>
      </c>
      <c r="GBU1" t="s">
        <v>6331</v>
      </c>
      <c r="GBV1" t="s">
        <v>6332</v>
      </c>
      <c r="GBW1" t="s">
        <v>6333</v>
      </c>
      <c r="GBX1" t="s">
        <v>6334</v>
      </c>
      <c r="GBY1" t="s">
        <v>6335</v>
      </c>
      <c r="GBZ1" t="s">
        <v>6336</v>
      </c>
      <c r="GCA1" t="s">
        <v>6337</v>
      </c>
      <c r="GCB1" t="s">
        <v>6338</v>
      </c>
      <c r="GCC1" t="s">
        <v>6339</v>
      </c>
      <c r="GCD1" t="s">
        <v>6340</v>
      </c>
      <c r="GCE1" t="s">
        <v>6341</v>
      </c>
      <c r="GCF1" t="s">
        <v>6342</v>
      </c>
      <c r="GCG1" t="s">
        <v>6343</v>
      </c>
      <c r="GCH1" t="s">
        <v>6344</v>
      </c>
      <c r="GCI1" t="s">
        <v>6345</v>
      </c>
      <c r="GCJ1" t="s">
        <v>6346</v>
      </c>
      <c r="GCK1" t="s">
        <v>6347</v>
      </c>
      <c r="GCL1" t="s">
        <v>6348</v>
      </c>
      <c r="GCM1" t="s">
        <v>6349</v>
      </c>
      <c r="GCN1" t="s">
        <v>6350</v>
      </c>
      <c r="GCO1" t="s">
        <v>6351</v>
      </c>
      <c r="GCP1" t="s">
        <v>6352</v>
      </c>
      <c r="GCQ1" t="s">
        <v>6353</v>
      </c>
      <c r="GCR1" t="s">
        <v>6354</v>
      </c>
      <c r="GCS1" t="s">
        <v>6355</v>
      </c>
      <c r="GCT1" t="s">
        <v>6356</v>
      </c>
      <c r="GCU1" t="s">
        <v>6357</v>
      </c>
      <c r="GCV1" t="s">
        <v>6358</v>
      </c>
      <c r="GCW1" t="s">
        <v>6359</v>
      </c>
      <c r="GCX1" t="s">
        <v>6360</v>
      </c>
      <c r="GCY1" t="s">
        <v>6361</v>
      </c>
      <c r="GCZ1" t="s">
        <v>6362</v>
      </c>
      <c r="GDA1" t="s">
        <v>6363</v>
      </c>
      <c r="GDB1" t="s">
        <v>6364</v>
      </c>
      <c r="GDC1" t="s">
        <v>6365</v>
      </c>
      <c r="GDD1" t="s">
        <v>6366</v>
      </c>
      <c r="GDE1" t="s">
        <v>6367</v>
      </c>
      <c r="GDF1" t="s">
        <v>6368</v>
      </c>
      <c r="GDG1" t="s">
        <v>6369</v>
      </c>
      <c r="GDH1" t="s">
        <v>6370</v>
      </c>
      <c r="GDI1" t="s">
        <v>6371</v>
      </c>
      <c r="GDJ1" t="s">
        <v>6372</v>
      </c>
      <c r="GDK1" t="s">
        <v>6373</v>
      </c>
      <c r="GDL1" t="s">
        <v>6374</v>
      </c>
      <c r="GDM1" t="s">
        <v>6375</v>
      </c>
      <c r="GDN1" t="s">
        <v>6376</v>
      </c>
      <c r="GDO1" t="s">
        <v>6377</v>
      </c>
      <c r="GDP1" t="s">
        <v>6378</v>
      </c>
      <c r="GDQ1" t="s">
        <v>6379</v>
      </c>
      <c r="GDR1" t="s">
        <v>6380</v>
      </c>
      <c r="GDS1" t="s">
        <v>6381</v>
      </c>
      <c r="GDT1" t="s">
        <v>6382</v>
      </c>
      <c r="GDU1" t="s">
        <v>6383</v>
      </c>
      <c r="GDV1" t="s">
        <v>6384</v>
      </c>
      <c r="GDW1" t="s">
        <v>6385</v>
      </c>
      <c r="GDX1" t="s">
        <v>6386</v>
      </c>
      <c r="GDY1" t="s">
        <v>6387</v>
      </c>
      <c r="GDZ1" t="s">
        <v>6388</v>
      </c>
      <c r="GEA1" t="s">
        <v>6389</v>
      </c>
      <c r="GEB1" t="s">
        <v>6390</v>
      </c>
      <c r="GEC1" t="s">
        <v>6391</v>
      </c>
      <c r="GED1" t="s">
        <v>6392</v>
      </c>
      <c r="GEE1" t="s">
        <v>6393</v>
      </c>
      <c r="GEF1" t="s">
        <v>6394</v>
      </c>
      <c r="GEG1" t="s">
        <v>6395</v>
      </c>
      <c r="GEH1" t="s">
        <v>6396</v>
      </c>
      <c r="GEI1" t="s">
        <v>6397</v>
      </c>
      <c r="GEJ1" t="s">
        <v>6398</v>
      </c>
      <c r="GEK1" t="s">
        <v>6399</v>
      </c>
      <c r="GEL1" t="s">
        <v>6400</v>
      </c>
      <c r="GEM1" t="s">
        <v>6401</v>
      </c>
      <c r="GEN1" t="s">
        <v>6402</v>
      </c>
      <c r="GEO1" t="s">
        <v>6403</v>
      </c>
      <c r="GEP1" t="s">
        <v>6404</v>
      </c>
      <c r="GEQ1" t="s">
        <v>6405</v>
      </c>
      <c r="GER1" t="s">
        <v>6406</v>
      </c>
      <c r="GES1" t="s">
        <v>6407</v>
      </c>
      <c r="GET1" t="s">
        <v>6408</v>
      </c>
      <c r="GEU1" t="s">
        <v>6409</v>
      </c>
      <c r="GEV1" t="s">
        <v>6410</v>
      </c>
      <c r="GEW1" t="s">
        <v>6411</v>
      </c>
      <c r="GEX1" t="s">
        <v>6412</v>
      </c>
      <c r="GEY1" t="s">
        <v>6413</v>
      </c>
      <c r="GEZ1" t="s">
        <v>6414</v>
      </c>
      <c r="GFA1" t="s">
        <v>6415</v>
      </c>
      <c r="GFB1" t="s">
        <v>6416</v>
      </c>
      <c r="GFC1" t="s">
        <v>6417</v>
      </c>
      <c r="GFD1" t="s">
        <v>6418</v>
      </c>
      <c r="GFE1" t="s">
        <v>6419</v>
      </c>
      <c r="GFF1" t="s">
        <v>6420</v>
      </c>
      <c r="GFG1" t="s">
        <v>6421</v>
      </c>
      <c r="GFH1" t="s">
        <v>6422</v>
      </c>
      <c r="GFI1" t="s">
        <v>6423</v>
      </c>
      <c r="GFJ1" t="s">
        <v>6424</v>
      </c>
      <c r="GFK1" t="s">
        <v>6425</v>
      </c>
      <c r="GFL1" t="s">
        <v>6426</v>
      </c>
      <c r="GFM1" t="s">
        <v>6427</v>
      </c>
      <c r="GFN1" t="s">
        <v>6428</v>
      </c>
      <c r="GFO1" t="s">
        <v>6429</v>
      </c>
      <c r="GFP1" t="s">
        <v>6430</v>
      </c>
      <c r="GFQ1" t="s">
        <v>6431</v>
      </c>
      <c r="GFR1" t="s">
        <v>6432</v>
      </c>
      <c r="GFS1" t="s">
        <v>6433</v>
      </c>
      <c r="GFT1" t="s">
        <v>6434</v>
      </c>
      <c r="GFU1" t="s">
        <v>6435</v>
      </c>
      <c r="GFV1" t="s">
        <v>6436</v>
      </c>
      <c r="GFW1" t="s">
        <v>6437</v>
      </c>
      <c r="GFX1" t="s">
        <v>6438</v>
      </c>
      <c r="GFY1" t="s">
        <v>6439</v>
      </c>
      <c r="GFZ1" t="s">
        <v>6440</v>
      </c>
      <c r="GGA1" t="s">
        <v>6441</v>
      </c>
      <c r="GGB1" t="s">
        <v>6442</v>
      </c>
      <c r="GGC1" t="s">
        <v>6443</v>
      </c>
      <c r="GGD1" t="s">
        <v>6444</v>
      </c>
      <c r="GGE1" t="s">
        <v>6445</v>
      </c>
      <c r="GGF1" t="s">
        <v>6446</v>
      </c>
      <c r="GGG1" t="s">
        <v>6447</v>
      </c>
      <c r="GGH1" t="s">
        <v>6448</v>
      </c>
      <c r="GGI1" t="s">
        <v>6449</v>
      </c>
      <c r="GGJ1" t="s">
        <v>6450</v>
      </c>
      <c r="GGK1" t="s">
        <v>6451</v>
      </c>
      <c r="GGL1" t="s">
        <v>6452</v>
      </c>
      <c r="GGM1" t="s">
        <v>6453</v>
      </c>
      <c r="GGN1" t="s">
        <v>6454</v>
      </c>
      <c r="GGO1" t="s">
        <v>6455</v>
      </c>
      <c r="GGP1" t="s">
        <v>6456</v>
      </c>
      <c r="GGQ1" t="s">
        <v>6457</v>
      </c>
      <c r="GGR1" t="s">
        <v>6458</v>
      </c>
      <c r="GGS1" t="s">
        <v>6459</v>
      </c>
      <c r="GGT1" t="s">
        <v>6460</v>
      </c>
      <c r="GGU1" t="s">
        <v>6461</v>
      </c>
      <c r="GGV1" t="s">
        <v>6462</v>
      </c>
      <c r="GGW1" t="s">
        <v>6463</v>
      </c>
      <c r="GGX1" t="s">
        <v>6464</v>
      </c>
      <c r="GGY1" t="s">
        <v>6465</v>
      </c>
      <c r="GGZ1" t="s">
        <v>6466</v>
      </c>
      <c r="GHA1" t="s">
        <v>6467</v>
      </c>
      <c r="GHB1" t="s">
        <v>6468</v>
      </c>
      <c r="GHC1" t="s">
        <v>6469</v>
      </c>
      <c r="GHD1" t="s">
        <v>6470</v>
      </c>
      <c r="GHE1" t="s">
        <v>6471</v>
      </c>
      <c r="GHF1" t="s">
        <v>6472</v>
      </c>
      <c r="GHG1" t="s">
        <v>6473</v>
      </c>
      <c r="GHH1" t="s">
        <v>6474</v>
      </c>
      <c r="GHI1" t="s">
        <v>6475</v>
      </c>
      <c r="GHJ1" t="s">
        <v>6476</v>
      </c>
      <c r="GHK1" t="s">
        <v>6477</v>
      </c>
      <c r="GHL1" t="s">
        <v>6478</v>
      </c>
      <c r="GHM1" t="s">
        <v>6479</v>
      </c>
      <c r="GHN1" t="s">
        <v>6480</v>
      </c>
      <c r="GHO1" t="s">
        <v>6481</v>
      </c>
      <c r="GHP1" t="s">
        <v>6482</v>
      </c>
      <c r="GHQ1" t="s">
        <v>6483</v>
      </c>
      <c r="GHR1" t="s">
        <v>6484</v>
      </c>
      <c r="GHS1" t="s">
        <v>6485</v>
      </c>
      <c r="GHT1" t="s">
        <v>6486</v>
      </c>
      <c r="GHU1" t="s">
        <v>6487</v>
      </c>
      <c r="GHV1" t="s">
        <v>6488</v>
      </c>
      <c r="GHW1" t="s">
        <v>6489</v>
      </c>
      <c r="GHX1" t="s">
        <v>6490</v>
      </c>
      <c r="GHY1" t="s">
        <v>6491</v>
      </c>
      <c r="GHZ1" t="s">
        <v>6492</v>
      </c>
      <c r="GIA1" t="s">
        <v>6493</v>
      </c>
      <c r="GIB1" t="s">
        <v>6494</v>
      </c>
      <c r="GIC1" t="s">
        <v>6495</v>
      </c>
      <c r="GID1" t="s">
        <v>6496</v>
      </c>
      <c r="GIE1" t="s">
        <v>6497</v>
      </c>
      <c r="GIF1" t="s">
        <v>6498</v>
      </c>
      <c r="GIG1" t="s">
        <v>6499</v>
      </c>
      <c r="GIH1" t="s">
        <v>6500</v>
      </c>
      <c r="GII1" t="s">
        <v>6501</v>
      </c>
      <c r="GIJ1" t="s">
        <v>6502</v>
      </c>
      <c r="GIK1" t="s">
        <v>6503</v>
      </c>
      <c r="GIL1" t="s">
        <v>6504</v>
      </c>
      <c r="GIM1" t="s">
        <v>6505</v>
      </c>
      <c r="GIN1" t="s">
        <v>6506</v>
      </c>
      <c r="GIO1" t="s">
        <v>6507</v>
      </c>
      <c r="GIP1" t="s">
        <v>6508</v>
      </c>
      <c r="GIQ1" t="s">
        <v>6509</v>
      </c>
      <c r="GIR1" t="s">
        <v>6510</v>
      </c>
      <c r="GIS1" t="s">
        <v>6511</v>
      </c>
      <c r="GIT1" t="s">
        <v>6512</v>
      </c>
      <c r="GIU1" t="s">
        <v>6513</v>
      </c>
      <c r="GIV1" t="s">
        <v>6514</v>
      </c>
      <c r="GIW1" t="s">
        <v>6515</v>
      </c>
      <c r="GIX1" t="s">
        <v>6516</v>
      </c>
      <c r="GIY1" t="s">
        <v>6517</v>
      </c>
      <c r="GIZ1" t="s">
        <v>6518</v>
      </c>
      <c r="GJA1" t="s">
        <v>6519</v>
      </c>
      <c r="GJB1" t="s">
        <v>6520</v>
      </c>
      <c r="GJC1" t="s">
        <v>6521</v>
      </c>
      <c r="GJD1" t="s">
        <v>6522</v>
      </c>
      <c r="GJE1" t="s">
        <v>6523</v>
      </c>
      <c r="GJF1" t="s">
        <v>6524</v>
      </c>
      <c r="GJG1" t="s">
        <v>6525</v>
      </c>
      <c r="GJH1" t="s">
        <v>6526</v>
      </c>
      <c r="GJI1" t="s">
        <v>6527</v>
      </c>
      <c r="GJJ1" t="s">
        <v>6528</v>
      </c>
      <c r="GJK1" t="s">
        <v>6529</v>
      </c>
      <c r="GJL1" t="s">
        <v>6530</v>
      </c>
      <c r="GJM1" t="s">
        <v>6531</v>
      </c>
      <c r="GJN1" t="s">
        <v>6532</v>
      </c>
      <c r="GJO1" t="s">
        <v>6533</v>
      </c>
      <c r="GJP1" t="s">
        <v>6534</v>
      </c>
      <c r="GJQ1" t="s">
        <v>6535</v>
      </c>
      <c r="GJR1" t="s">
        <v>6536</v>
      </c>
      <c r="GJS1" t="s">
        <v>6537</v>
      </c>
      <c r="GJT1" t="s">
        <v>6538</v>
      </c>
      <c r="GJU1" t="s">
        <v>6539</v>
      </c>
      <c r="GJV1" t="s">
        <v>6540</v>
      </c>
      <c r="GJW1" t="s">
        <v>6541</v>
      </c>
      <c r="GJX1" t="s">
        <v>6542</v>
      </c>
      <c r="GJY1" t="s">
        <v>6543</v>
      </c>
      <c r="GJZ1" t="s">
        <v>6544</v>
      </c>
      <c r="GKA1" t="s">
        <v>6545</v>
      </c>
      <c r="GKB1" t="s">
        <v>6546</v>
      </c>
      <c r="GKC1" t="s">
        <v>6547</v>
      </c>
      <c r="GKD1" t="s">
        <v>6548</v>
      </c>
      <c r="GKE1" t="s">
        <v>6549</v>
      </c>
      <c r="GKF1" t="s">
        <v>6550</v>
      </c>
      <c r="GKG1" t="s">
        <v>6551</v>
      </c>
      <c r="GKH1" t="s">
        <v>6552</v>
      </c>
      <c r="GKI1" t="s">
        <v>6553</v>
      </c>
      <c r="GKJ1" t="s">
        <v>6554</v>
      </c>
      <c r="GKK1" t="s">
        <v>6555</v>
      </c>
      <c r="GKL1" t="s">
        <v>6556</v>
      </c>
      <c r="GKM1" t="s">
        <v>6557</v>
      </c>
      <c r="GKN1" t="s">
        <v>6558</v>
      </c>
      <c r="GKO1" t="s">
        <v>6559</v>
      </c>
      <c r="GKP1" t="s">
        <v>6560</v>
      </c>
      <c r="GKQ1" t="s">
        <v>6561</v>
      </c>
      <c r="GKR1" t="s">
        <v>6562</v>
      </c>
      <c r="GKS1" t="s">
        <v>6563</v>
      </c>
      <c r="GKT1" t="s">
        <v>6564</v>
      </c>
      <c r="GKU1" t="s">
        <v>6565</v>
      </c>
      <c r="GKV1" t="s">
        <v>6566</v>
      </c>
      <c r="GKW1" t="s">
        <v>6567</v>
      </c>
      <c r="GKX1" t="s">
        <v>6568</v>
      </c>
      <c r="GKY1" t="s">
        <v>6569</v>
      </c>
      <c r="GKZ1" t="s">
        <v>6570</v>
      </c>
      <c r="GLA1" t="s">
        <v>6571</v>
      </c>
      <c r="GLB1" t="s">
        <v>6572</v>
      </c>
      <c r="GLC1" t="s">
        <v>6573</v>
      </c>
      <c r="GLD1" t="s">
        <v>6574</v>
      </c>
      <c r="GLE1" t="s">
        <v>6575</v>
      </c>
      <c r="GLF1" t="s">
        <v>6576</v>
      </c>
      <c r="GLG1" t="s">
        <v>6577</v>
      </c>
      <c r="GLH1" t="s">
        <v>6578</v>
      </c>
      <c r="GLI1" t="s">
        <v>6579</v>
      </c>
      <c r="GLJ1" t="s">
        <v>6580</v>
      </c>
      <c r="GLK1" t="s">
        <v>6581</v>
      </c>
      <c r="GLL1" t="s">
        <v>6582</v>
      </c>
      <c r="GLM1" t="s">
        <v>6583</v>
      </c>
      <c r="GLN1" t="s">
        <v>6584</v>
      </c>
      <c r="GLO1" t="s">
        <v>6585</v>
      </c>
      <c r="GLP1" t="s">
        <v>6586</v>
      </c>
      <c r="GLQ1" t="s">
        <v>6587</v>
      </c>
      <c r="GLR1" t="s">
        <v>6588</v>
      </c>
      <c r="GLS1" t="s">
        <v>6589</v>
      </c>
      <c r="GLT1" t="s">
        <v>6590</v>
      </c>
      <c r="GLU1" t="s">
        <v>6591</v>
      </c>
      <c r="GLV1" t="s">
        <v>6592</v>
      </c>
      <c r="GLW1" t="s">
        <v>6593</v>
      </c>
      <c r="GLX1" t="s">
        <v>6594</v>
      </c>
      <c r="GLY1" t="s">
        <v>6595</v>
      </c>
      <c r="GLZ1" t="s">
        <v>6596</v>
      </c>
      <c r="GMA1" t="s">
        <v>6597</v>
      </c>
      <c r="GMB1" t="s">
        <v>6598</v>
      </c>
      <c r="GMC1" t="s">
        <v>6599</v>
      </c>
      <c r="GMD1" t="s">
        <v>6600</v>
      </c>
      <c r="GME1" t="s">
        <v>6601</v>
      </c>
      <c r="GMF1" t="s">
        <v>6602</v>
      </c>
      <c r="GMG1" t="s">
        <v>6603</v>
      </c>
      <c r="GMH1" t="s">
        <v>6604</v>
      </c>
      <c r="GMI1" t="s">
        <v>6605</v>
      </c>
      <c r="GMJ1" t="s">
        <v>6606</v>
      </c>
      <c r="GMK1" t="s">
        <v>6607</v>
      </c>
      <c r="GML1" t="s">
        <v>6608</v>
      </c>
      <c r="GMM1" t="s">
        <v>6609</v>
      </c>
      <c r="GMN1" t="s">
        <v>6610</v>
      </c>
      <c r="GMO1" t="s">
        <v>6611</v>
      </c>
      <c r="GMP1" t="s">
        <v>6612</v>
      </c>
      <c r="GMQ1" t="s">
        <v>6613</v>
      </c>
      <c r="GMR1" t="s">
        <v>6614</v>
      </c>
      <c r="GMS1" t="s">
        <v>6615</v>
      </c>
      <c r="GMT1" t="s">
        <v>6616</v>
      </c>
      <c r="GMU1" t="s">
        <v>6617</v>
      </c>
      <c r="GMV1" t="s">
        <v>6618</v>
      </c>
      <c r="GMW1" t="s">
        <v>6619</v>
      </c>
      <c r="GMX1" t="s">
        <v>6620</v>
      </c>
      <c r="GMY1" t="s">
        <v>6621</v>
      </c>
      <c r="GMZ1" t="s">
        <v>6622</v>
      </c>
      <c r="GNA1" t="s">
        <v>6623</v>
      </c>
      <c r="GNB1" t="s">
        <v>6624</v>
      </c>
      <c r="GNC1" t="s">
        <v>6625</v>
      </c>
      <c r="GND1" t="s">
        <v>6626</v>
      </c>
      <c r="GNE1" t="s">
        <v>6627</v>
      </c>
      <c r="GNF1" t="s">
        <v>6628</v>
      </c>
      <c r="GNG1" t="s">
        <v>6629</v>
      </c>
      <c r="GNH1" t="s">
        <v>6630</v>
      </c>
      <c r="GNI1" t="s">
        <v>6631</v>
      </c>
      <c r="GNJ1" t="s">
        <v>6632</v>
      </c>
      <c r="GNK1" t="s">
        <v>6633</v>
      </c>
      <c r="GNL1" t="s">
        <v>6634</v>
      </c>
      <c r="GNM1" t="s">
        <v>6635</v>
      </c>
      <c r="GNN1" t="s">
        <v>6636</v>
      </c>
      <c r="GNO1" t="s">
        <v>6637</v>
      </c>
      <c r="GNP1" t="s">
        <v>6638</v>
      </c>
      <c r="GNQ1" t="s">
        <v>6639</v>
      </c>
      <c r="GNR1" t="s">
        <v>6640</v>
      </c>
      <c r="GNS1" t="s">
        <v>6641</v>
      </c>
      <c r="GNT1" t="s">
        <v>6642</v>
      </c>
      <c r="GNU1" t="s">
        <v>6643</v>
      </c>
      <c r="GNV1" t="s">
        <v>6644</v>
      </c>
      <c r="GNW1" t="s">
        <v>6645</v>
      </c>
      <c r="GNX1" t="s">
        <v>6646</v>
      </c>
      <c r="GNY1" t="s">
        <v>6647</v>
      </c>
      <c r="GNZ1" t="s">
        <v>6648</v>
      </c>
      <c r="GOA1" t="s">
        <v>6649</v>
      </c>
      <c r="GOB1" t="s">
        <v>6650</v>
      </c>
      <c r="GOC1" t="s">
        <v>6651</v>
      </c>
      <c r="GOD1" t="s">
        <v>6652</v>
      </c>
      <c r="GOE1" t="s">
        <v>6653</v>
      </c>
      <c r="GOF1" t="s">
        <v>6654</v>
      </c>
      <c r="GOG1" t="s">
        <v>6655</v>
      </c>
      <c r="GOH1" t="s">
        <v>6656</v>
      </c>
      <c r="GOI1" t="s">
        <v>6657</v>
      </c>
      <c r="GOJ1" t="s">
        <v>6658</v>
      </c>
      <c r="GOK1" t="s">
        <v>6659</v>
      </c>
      <c r="GOL1" t="s">
        <v>6660</v>
      </c>
      <c r="GOM1" t="s">
        <v>6661</v>
      </c>
      <c r="GON1" t="s">
        <v>6662</v>
      </c>
      <c r="GOO1" t="s">
        <v>6663</v>
      </c>
      <c r="GOP1" t="s">
        <v>6664</v>
      </c>
      <c r="GOQ1" t="s">
        <v>6665</v>
      </c>
      <c r="GOR1" t="s">
        <v>6666</v>
      </c>
      <c r="GOS1" t="s">
        <v>6667</v>
      </c>
      <c r="GOT1" t="s">
        <v>6668</v>
      </c>
      <c r="GOU1" t="s">
        <v>6669</v>
      </c>
      <c r="GOV1" t="s">
        <v>6670</v>
      </c>
      <c r="GOW1" t="s">
        <v>6671</v>
      </c>
      <c r="GOX1" t="s">
        <v>6672</v>
      </c>
      <c r="GOY1" t="s">
        <v>6673</v>
      </c>
      <c r="GOZ1" t="s">
        <v>6674</v>
      </c>
      <c r="GPA1" t="s">
        <v>6675</v>
      </c>
      <c r="GPB1" t="s">
        <v>6676</v>
      </c>
      <c r="GPC1" t="s">
        <v>6677</v>
      </c>
      <c r="GPD1" t="s">
        <v>6678</v>
      </c>
      <c r="GPE1" t="s">
        <v>6679</v>
      </c>
      <c r="GPF1" t="s">
        <v>6680</v>
      </c>
      <c r="GPG1" t="s">
        <v>6681</v>
      </c>
      <c r="GPH1" t="s">
        <v>6682</v>
      </c>
      <c r="GPI1" t="s">
        <v>6683</v>
      </c>
      <c r="GPJ1" t="s">
        <v>6684</v>
      </c>
      <c r="GPK1" t="s">
        <v>6685</v>
      </c>
      <c r="GPL1" t="s">
        <v>6686</v>
      </c>
      <c r="GPM1" t="s">
        <v>6687</v>
      </c>
      <c r="GPN1" t="s">
        <v>6688</v>
      </c>
      <c r="GPO1" t="s">
        <v>6689</v>
      </c>
      <c r="GPP1" t="s">
        <v>6690</v>
      </c>
      <c r="GPQ1" t="s">
        <v>6691</v>
      </c>
      <c r="GPR1" t="s">
        <v>6692</v>
      </c>
      <c r="GPS1" t="s">
        <v>6693</v>
      </c>
      <c r="GPT1" t="s">
        <v>6694</v>
      </c>
      <c r="GPU1" t="s">
        <v>6695</v>
      </c>
      <c r="GPV1" t="s">
        <v>6696</v>
      </c>
      <c r="GPW1" t="s">
        <v>6697</v>
      </c>
      <c r="GPX1" t="s">
        <v>6698</v>
      </c>
      <c r="GPY1" t="s">
        <v>6699</v>
      </c>
      <c r="GPZ1" t="s">
        <v>6700</v>
      </c>
      <c r="GQA1" t="s">
        <v>6701</v>
      </c>
      <c r="GQB1" t="s">
        <v>6702</v>
      </c>
      <c r="GQC1" t="s">
        <v>6703</v>
      </c>
      <c r="GQD1" t="s">
        <v>6704</v>
      </c>
      <c r="GQE1" t="s">
        <v>6705</v>
      </c>
      <c r="GQF1" t="s">
        <v>6706</v>
      </c>
      <c r="GQG1" t="s">
        <v>6707</v>
      </c>
      <c r="GQH1" t="s">
        <v>6708</v>
      </c>
      <c r="GQI1" t="s">
        <v>6709</v>
      </c>
      <c r="GQJ1" t="s">
        <v>6710</v>
      </c>
      <c r="GQK1" t="s">
        <v>6711</v>
      </c>
      <c r="GQL1" t="s">
        <v>6712</v>
      </c>
      <c r="GQM1" t="s">
        <v>6713</v>
      </c>
      <c r="GQN1" t="s">
        <v>6714</v>
      </c>
      <c r="GQO1" t="s">
        <v>6715</v>
      </c>
      <c r="GQP1" t="s">
        <v>6716</v>
      </c>
      <c r="GQQ1" t="s">
        <v>6717</v>
      </c>
      <c r="GQR1" t="s">
        <v>6718</v>
      </c>
      <c r="GQS1" t="s">
        <v>6719</v>
      </c>
      <c r="GQT1" t="s">
        <v>6720</v>
      </c>
      <c r="GQU1" t="s">
        <v>6721</v>
      </c>
      <c r="GQV1" t="s">
        <v>6722</v>
      </c>
      <c r="GQW1" t="s">
        <v>6723</v>
      </c>
      <c r="GQX1" t="s">
        <v>6724</v>
      </c>
      <c r="GQY1" t="s">
        <v>6725</v>
      </c>
      <c r="GQZ1" t="s">
        <v>6726</v>
      </c>
      <c r="GRA1" t="s">
        <v>6727</v>
      </c>
      <c r="GRB1" t="s">
        <v>6728</v>
      </c>
      <c r="GRC1" t="s">
        <v>6729</v>
      </c>
      <c r="GRD1" t="s">
        <v>6730</v>
      </c>
      <c r="GRE1" t="s">
        <v>6731</v>
      </c>
      <c r="GRF1" t="s">
        <v>6732</v>
      </c>
      <c r="GRG1" t="s">
        <v>6733</v>
      </c>
      <c r="GRH1" t="s">
        <v>6734</v>
      </c>
      <c r="GRI1" t="s">
        <v>6735</v>
      </c>
      <c r="GRJ1" t="s">
        <v>6736</v>
      </c>
      <c r="GRK1" t="s">
        <v>6737</v>
      </c>
      <c r="GRL1" t="s">
        <v>6738</v>
      </c>
      <c r="GRM1" t="s">
        <v>6739</v>
      </c>
      <c r="GRN1" t="s">
        <v>6740</v>
      </c>
      <c r="GRO1" t="s">
        <v>6741</v>
      </c>
      <c r="GRP1" t="s">
        <v>6742</v>
      </c>
      <c r="GRQ1" t="s">
        <v>6743</v>
      </c>
      <c r="GRR1" t="s">
        <v>6744</v>
      </c>
      <c r="GRS1" t="s">
        <v>6745</v>
      </c>
      <c r="GRT1" t="s">
        <v>6746</v>
      </c>
      <c r="GRU1" t="s">
        <v>6747</v>
      </c>
      <c r="GRV1" t="s">
        <v>6748</v>
      </c>
      <c r="GRW1" t="s">
        <v>6749</v>
      </c>
      <c r="GRX1" t="s">
        <v>6750</v>
      </c>
      <c r="GRY1" t="s">
        <v>6751</v>
      </c>
      <c r="GRZ1" t="s">
        <v>6752</v>
      </c>
      <c r="GSA1" t="s">
        <v>6753</v>
      </c>
      <c r="GSB1" t="s">
        <v>6754</v>
      </c>
      <c r="GSC1" t="s">
        <v>6755</v>
      </c>
      <c r="GSD1" t="s">
        <v>6756</v>
      </c>
      <c r="GSE1" t="s">
        <v>6757</v>
      </c>
      <c r="GSF1" t="s">
        <v>6758</v>
      </c>
      <c r="GSG1" t="s">
        <v>6759</v>
      </c>
      <c r="GSH1" t="s">
        <v>6760</v>
      </c>
      <c r="GSI1" t="s">
        <v>6761</v>
      </c>
      <c r="GSJ1" t="s">
        <v>6762</v>
      </c>
      <c r="GSK1" t="s">
        <v>6763</v>
      </c>
      <c r="GSL1" t="s">
        <v>6764</v>
      </c>
      <c r="GSM1" t="s">
        <v>6765</v>
      </c>
      <c r="GSN1" t="s">
        <v>6766</v>
      </c>
      <c r="GSO1" t="s">
        <v>6767</v>
      </c>
      <c r="GSP1" t="s">
        <v>6768</v>
      </c>
      <c r="GSQ1" t="s">
        <v>6769</v>
      </c>
      <c r="GSR1" t="s">
        <v>6770</v>
      </c>
      <c r="GSS1" t="s">
        <v>6771</v>
      </c>
      <c r="GST1" t="s">
        <v>6772</v>
      </c>
      <c r="GSU1" t="s">
        <v>6773</v>
      </c>
      <c r="GSV1" t="s">
        <v>6774</v>
      </c>
      <c r="GSW1" t="s">
        <v>6775</v>
      </c>
      <c r="GSX1" t="s">
        <v>6776</v>
      </c>
      <c r="GSY1" t="s">
        <v>6777</v>
      </c>
      <c r="GSZ1" t="s">
        <v>6778</v>
      </c>
      <c r="GTA1" t="s">
        <v>6779</v>
      </c>
      <c r="GTB1" t="s">
        <v>6780</v>
      </c>
      <c r="GTC1" t="s">
        <v>6781</v>
      </c>
      <c r="GTD1" t="s">
        <v>6782</v>
      </c>
      <c r="GTE1" t="s">
        <v>6783</v>
      </c>
      <c r="GTF1" t="s">
        <v>6784</v>
      </c>
      <c r="GTG1" t="s">
        <v>6785</v>
      </c>
      <c r="GTH1" t="s">
        <v>6786</v>
      </c>
      <c r="GTI1" t="s">
        <v>6787</v>
      </c>
      <c r="GTJ1" t="s">
        <v>6788</v>
      </c>
      <c r="GTK1" t="s">
        <v>6789</v>
      </c>
      <c r="GTL1" t="s">
        <v>6790</v>
      </c>
      <c r="GTM1" t="s">
        <v>6791</v>
      </c>
      <c r="GTN1" t="s">
        <v>6792</v>
      </c>
      <c r="GTO1" t="s">
        <v>6793</v>
      </c>
      <c r="GTP1" t="s">
        <v>6794</v>
      </c>
      <c r="GTQ1" t="s">
        <v>6795</v>
      </c>
      <c r="GTR1" t="s">
        <v>6796</v>
      </c>
      <c r="GTS1" t="s">
        <v>6797</v>
      </c>
      <c r="GTT1" t="s">
        <v>6798</v>
      </c>
      <c r="GTU1" t="s">
        <v>6799</v>
      </c>
      <c r="GTV1" t="s">
        <v>6800</v>
      </c>
      <c r="GTW1" t="s">
        <v>6801</v>
      </c>
      <c r="GTX1" t="s">
        <v>6802</v>
      </c>
      <c r="GTY1" t="s">
        <v>6803</v>
      </c>
      <c r="GTZ1" t="s">
        <v>6804</v>
      </c>
      <c r="GUA1" t="s">
        <v>6805</v>
      </c>
      <c r="GUB1" t="s">
        <v>6806</v>
      </c>
      <c r="GUC1" t="s">
        <v>6807</v>
      </c>
      <c r="GUD1" t="s">
        <v>6808</v>
      </c>
      <c r="GUE1" t="s">
        <v>6809</v>
      </c>
      <c r="GUF1" t="s">
        <v>6810</v>
      </c>
      <c r="GUG1" t="s">
        <v>6811</v>
      </c>
      <c r="GUH1" t="s">
        <v>6812</v>
      </c>
      <c r="GUI1" t="s">
        <v>6813</v>
      </c>
      <c r="GUJ1" t="s">
        <v>6814</v>
      </c>
      <c r="GUK1" t="s">
        <v>6815</v>
      </c>
      <c r="GUL1" t="s">
        <v>6816</v>
      </c>
      <c r="GUM1" t="s">
        <v>6817</v>
      </c>
      <c r="GUN1" t="s">
        <v>6818</v>
      </c>
      <c r="GUO1" t="s">
        <v>6819</v>
      </c>
      <c r="GUP1" t="s">
        <v>6820</v>
      </c>
      <c r="GUQ1" t="s">
        <v>6821</v>
      </c>
      <c r="GUR1" t="s">
        <v>6822</v>
      </c>
      <c r="GUS1" t="s">
        <v>6823</v>
      </c>
      <c r="GUT1" t="s">
        <v>6824</v>
      </c>
      <c r="GUU1" t="s">
        <v>6825</v>
      </c>
      <c r="GUV1" t="s">
        <v>6826</v>
      </c>
      <c r="GUW1" t="s">
        <v>6827</v>
      </c>
      <c r="GUX1" t="s">
        <v>6828</v>
      </c>
      <c r="GUY1" t="s">
        <v>6829</v>
      </c>
      <c r="GUZ1" t="s">
        <v>6830</v>
      </c>
      <c r="GVA1" t="s">
        <v>6831</v>
      </c>
      <c r="GVB1" t="s">
        <v>6832</v>
      </c>
      <c r="GVC1" t="s">
        <v>6833</v>
      </c>
      <c r="GVD1" t="s">
        <v>6834</v>
      </c>
      <c r="GVE1" t="s">
        <v>6835</v>
      </c>
      <c r="GVF1" t="s">
        <v>6836</v>
      </c>
      <c r="GVG1" t="s">
        <v>6837</v>
      </c>
      <c r="GVH1" t="s">
        <v>6838</v>
      </c>
      <c r="GVI1" t="s">
        <v>6839</v>
      </c>
      <c r="GVJ1" t="s">
        <v>6840</v>
      </c>
      <c r="GVK1" t="s">
        <v>6841</v>
      </c>
      <c r="GVL1" t="s">
        <v>6842</v>
      </c>
      <c r="GVM1" t="s">
        <v>6843</v>
      </c>
      <c r="GVN1" t="s">
        <v>6844</v>
      </c>
      <c r="GVO1" t="s">
        <v>6845</v>
      </c>
      <c r="GVP1" t="s">
        <v>6846</v>
      </c>
      <c r="GVQ1" t="s">
        <v>6847</v>
      </c>
      <c r="GVR1" t="s">
        <v>6848</v>
      </c>
      <c r="GVS1" t="s">
        <v>6849</v>
      </c>
      <c r="GVT1" t="s">
        <v>6850</v>
      </c>
      <c r="GVU1" t="s">
        <v>6851</v>
      </c>
      <c r="GVV1" t="s">
        <v>6852</v>
      </c>
      <c r="GVW1" t="s">
        <v>6853</v>
      </c>
      <c r="GVX1" t="s">
        <v>6854</v>
      </c>
      <c r="GVY1" t="s">
        <v>6855</v>
      </c>
      <c r="GVZ1" t="s">
        <v>6856</v>
      </c>
      <c r="GWA1" t="s">
        <v>6857</v>
      </c>
      <c r="GWB1" t="s">
        <v>6858</v>
      </c>
      <c r="GWC1" t="s">
        <v>6859</v>
      </c>
      <c r="GWD1" t="s">
        <v>6860</v>
      </c>
      <c r="GWE1" t="s">
        <v>6861</v>
      </c>
      <c r="GWF1" t="s">
        <v>6862</v>
      </c>
      <c r="GWG1" t="s">
        <v>6863</v>
      </c>
      <c r="GWH1" t="s">
        <v>6864</v>
      </c>
      <c r="GWI1" t="s">
        <v>6865</v>
      </c>
      <c r="GWJ1" t="s">
        <v>6866</v>
      </c>
      <c r="GWK1" t="s">
        <v>6867</v>
      </c>
      <c r="GWL1" t="s">
        <v>6868</v>
      </c>
      <c r="GWM1" t="s">
        <v>6869</v>
      </c>
      <c r="GWN1" t="s">
        <v>6870</v>
      </c>
      <c r="GWO1" t="s">
        <v>6871</v>
      </c>
      <c r="GWP1" t="s">
        <v>6872</v>
      </c>
      <c r="GWQ1" t="s">
        <v>6873</v>
      </c>
      <c r="GWR1" t="s">
        <v>6874</v>
      </c>
      <c r="GWS1" t="s">
        <v>6875</v>
      </c>
      <c r="GWT1" t="s">
        <v>6876</v>
      </c>
      <c r="GWU1" t="s">
        <v>6877</v>
      </c>
      <c r="GWV1" t="s">
        <v>6878</v>
      </c>
      <c r="GWW1" t="s">
        <v>6879</v>
      </c>
      <c r="GWX1" t="s">
        <v>6880</v>
      </c>
      <c r="GWY1" t="s">
        <v>6881</v>
      </c>
      <c r="GWZ1" t="s">
        <v>6882</v>
      </c>
      <c r="GXA1" t="s">
        <v>6883</v>
      </c>
      <c r="GXB1" t="s">
        <v>6884</v>
      </c>
      <c r="GXC1" t="s">
        <v>6885</v>
      </c>
      <c r="GXD1" t="s">
        <v>6886</v>
      </c>
      <c r="GXE1" t="s">
        <v>6887</v>
      </c>
      <c r="GXF1" t="s">
        <v>6888</v>
      </c>
      <c r="GXG1" t="s">
        <v>6889</v>
      </c>
      <c r="GXH1" t="s">
        <v>6890</v>
      </c>
      <c r="GXI1" t="s">
        <v>6891</v>
      </c>
      <c r="GXJ1" t="s">
        <v>6892</v>
      </c>
      <c r="GXK1" t="s">
        <v>6893</v>
      </c>
      <c r="GXL1" t="s">
        <v>6894</v>
      </c>
      <c r="GXM1" t="s">
        <v>6895</v>
      </c>
      <c r="GXN1" t="s">
        <v>6896</v>
      </c>
      <c r="GXO1" t="s">
        <v>6897</v>
      </c>
      <c r="GXP1" t="s">
        <v>6898</v>
      </c>
      <c r="GXQ1" t="s">
        <v>6899</v>
      </c>
      <c r="GXR1" t="s">
        <v>6900</v>
      </c>
      <c r="GXS1" t="s">
        <v>6901</v>
      </c>
      <c r="GXT1" t="s">
        <v>6902</v>
      </c>
      <c r="GXU1" t="s">
        <v>6903</v>
      </c>
      <c r="GXV1" t="s">
        <v>6904</v>
      </c>
      <c r="GXW1" t="s">
        <v>6905</v>
      </c>
      <c r="GXX1" t="s">
        <v>6906</v>
      </c>
      <c r="GXY1" t="s">
        <v>6907</v>
      </c>
      <c r="GXZ1" t="s">
        <v>6908</v>
      </c>
      <c r="GYA1" t="s">
        <v>6909</v>
      </c>
      <c r="GYB1" t="s">
        <v>6910</v>
      </c>
      <c r="GYC1" t="s">
        <v>6911</v>
      </c>
      <c r="GYD1" t="s">
        <v>6912</v>
      </c>
      <c r="GYE1" t="s">
        <v>6913</v>
      </c>
      <c r="GYF1" t="s">
        <v>6914</v>
      </c>
      <c r="GYG1" t="s">
        <v>6915</v>
      </c>
      <c r="GYH1" t="s">
        <v>6916</v>
      </c>
      <c r="GYI1" t="s">
        <v>6917</v>
      </c>
      <c r="GYJ1" t="s">
        <v>6918</v>
      </c>
      <c r="GYK1" t="s">
        <v>6919</v>
      </c>
      <c r="GYL1" t="s">
        <v>6920</v>
      </c>
      <c r="GYM1" t="s">
        <v>6921</v>
      </c>
      <c r="GYN1" t="s">
        <v>6922</v>
      </c>
      <c r="GYO1" t="s">
        <v>6923</v>
      </c>
      <c r="GYP1" t="s">
        <v>6924</v>
      </c>
      <c r="GYQ1" t="s">
        <v>6925</v>
      </c>
      <c r="GYR1" t="s">
        <v>6926</v>
      </c>
      <c r="GYS1" t="s">
        <v>6927</v>
      </c>
      <c r="GYT1" t="s">
        <v>6928</v>
      </c>
      <c r="GYU1" t="s">
        <v>6929</v>
      </c>
      <c r="GYV1" t="s">
        <v>6930</v>
      </c>
      <c r="GYW1" t="s">
        <v>6931</v>
      </c>
      <c r="GYX1" t="s">
        <v>6932</v>
      </c>
      <c r="GYY1" t="s">
        <v>6933</v>
      </c>
      <c r="GYZ1" t="s">
        <v>6934</v>
      </c>
      <c r="GZA1" t="s">
        <v>6935</v>
      </c>
      <c r="GZB1" t="s">
        <v>6936</v>
      </c>
      <c r="GZC1" t="s">
        <v>6937</v>
      </c>
      <c r="GZD1" t="s">
        <v>6938</v>
      </c>
      <c r="GZE1" t="s">
        <v>6939</v>
      </c>
      <c r="GZF1" t="s">
        <v>6940</v>
      </c>
      <c r="GZG1" t="s">
        <v>6941</v>
      </c>
      <c r="GZH1" t="s">
        <v>6942</v>
      </c>
      <c r="GZI1" t="s">
        <v>6943</v>
      </c>
      <c r="GZJ1" t="s">
        <v>6944</v>
      </c>
      <c r="GZK1" t="s">
        <v>6945</v>
      </c>
      <c r="GZL1" t="s">
        <v>6946</v>
      </c>
      <c r="GZM1" t="s">
        <v>6947</v>
      </c>
      <c r="GZN1" t="s">
        <v>6948</v>
      </c>
      <c r="GZO1" t="s">
        <v>6949</v>
      </c>
      <c r="GZP1" t="s">
        <v>6950</v>
      </c>
      <c r="GZQ1" t="s">
        <v>6951</v>
      </c>
      <c r="GZR1" t="s">
        <v>6952</v>
      </c>
      <c r="GZS1" t="s">
        <v>6953</v>
      </c>
      <c r="GZT1" t="s">
        <v>6954</v>
      </c>
      <c r="GZU1" t="s">
        <v>6955</v>
      </c>
      <c r="GZV1" t="s">
        <v>6956</v>
      </c>
      <c r="GZW1" t="s">
        <v>6957</v>
      </c>
      <c r="GZX1" t="s">
        <v>6958</v>
      </c>
      <c r="GZY1" t="s">
        <v>6959</v>
      </c>
      <c r="GZZ1" t="s">
        <v>6960</v>
      </c>
      <c r="HAA1" t="s">
        <v>6961</v>
      </c>
      <c r="HAB1" t="s">
        <v>6962</v>
      </c>
      <c r="HAC1" t="s">
        <v>6963</v>
      </c>
      <c r="HAD1" t="s">
        <v>6964</v>
      </c>
      <c r="HAE1" t="s">
        <v>6965</v>
      </c>
      <c r="HAF1" t="s">
        <v>6966</v>
      </c>
      <c r="HAG1" t="s">
        <v>6967</v>
      </c>
      <c r="HAH1" t="s">
        <v>6968</v>
      </c>
      <c r="HAI1" t="s">
        <v>6969</v>
      </c>
      <c r="HAJ1" t="s">
        <v>6970</v>
      </c>
      <c r="HAK1" t="s">
        <v>6971</v>
      </c>
      <c r="HAL1" t="s">
        <v>6972</v>
      </c>
      <c r="HAM1" t="s">
        <v>6973</v>
      </c>
      <c r="HAN1" t="s">
        <v>6974</v>
      </c>
      <c r="HAO1" t="s">
        <v>6975</v>
      </c>
      <c r="HAP1" t="s">
        <v>6976</v>
      </c>
      <c r="HAQ1" t="s">
        <v>6977</v>
      </c>
      <c r="HAR1" t="s">
        <v>6978</v>
      </c>
      <c r="HAS1" t="s">
        <v>6979</v>
      </c>
      <c r="HAT1" t="s">
        <v>6980</v>
      </c>
      <c r="HAU1" t="s">
        <v>6981</v>
      </c>
      <c r="HAV1" t="s">
        <v>6982</v>
      </c>
      <c r="HAW1" t="s">
        <v>6983</v>
      </c>
      <c r="HAX1" t="s">
        <v>6984</v>
      </c>
      <c r="HAY1" t="s">
        <v>6985</v>
      </c>
      <c r="HAZ1" t="s">
        <v>6986</v>
      </c>
      <c r="HBA1" t="s">
        <v>6987</v>
      </c>
      <c r="HBB1" t="s">
        <v>6988</v>
      </c>
      <c r="HBC1" t="s">
        <v>6989</v>
      </c>
      <c r="HBD1" t="s">
        <v>6990</v>
      </c>
      <c r="HBE1" t="s">
        <v>6991</v>
      </c>
      <c r="HBF1" t="s">
        <v>6992</v>
      </c>
      <c r="HBG1" t="s">
        <v>6993</v>
      </c>
      <c r="HBH1" t="s">
        <v>6994</v>
      </c>
      <c r="HBI1" t="s">
        <v>6995</v>
      </c>
      <c r="HBJ1" t="s">
        <v>6996</v>
      </c>
      <c r="HBK1" t="s">
        <v>6997</v>
      </c>
      <c r="HBL1" t="s">
        <v>6998</v>
      </c>
      <c r="HBM1" t="s">
        <v>6999</v>
      </c>
      <c r="HBN1" t="s">
        <v>7000</v>
      </c>
      <c r="HBO1" t="s">
        <v>7001</v>
      </c>
      <c r="HBP1" t="s">
        <v>7002</v>
      </c>
      <c r="HBQ1" t="s">
        <v>7003</v>
      </c>
      <c r="HBR1" t="s">
        <v>7004</v>
      </c>
      <c r="HBS1" t="s">
        <v>7005</v>
      </c>
      <c r="HBT1" t="s">
        <v>7006</v>
      </c>
      <c r="HBU1" t="s">
        <v>7007</v>
      </c>
      <c r="HBV1" t="s">
        <v>7008</v>
      </c>
      <c r="HBW1" t="s">
        <v>7009</v>
      </c>
      <c r="HBX1" t="s">
        <v>7010</v>
      </c>
      <c r="HBY1" t="s">
        <v>7011</v>
      </c>
      <c r="HBZ1" t="s">
        <v>7012</v>
      </c>
      <c r="HCA1" t="s">
        <v>7013</v>
      </c>
      <c r="HCB1" t="s">
        <v>7014</v>
      </c>
      <c r="HCC1" t="s">
        <v>7015</v>
      </c>
      <c r="HCD1" t="s">
        <v>7016</v>
      </c>
      <c r="HCE1" t="s">
        <v>7017</v>
      </c>
      <c r="HCF1" t="s">
        <v>7018</v>
      </c>
      <c r="HCG1" t="s">
        <v>7019</v>
      </c>
      <c r="HCH1" t="s">
        <v>7020</v>
      </c>
      <c r="HCI1" t="s">
        <v>7021</v>
      </c>
      <c r="HCJ1" t="s">
        <v>7022</v>
      </c>
      <c r="HCK1" t="s">
        <v>7023</v>
      </c>
      <c r="HCL1" t="s">
        <v>7024</v>
      </c>
      <c r="HCM1" t="s">
        <v>7025</v>
      </c>
      <c r="HCN1" t="s">
        <v>7026</v>
      </c>
      <c r="HCO1" t="s">
        <v>7027</v>
      </c>
      <c r="HCP1" t="s">
        <v>7028</v>
      </c>
      <c r="HCQ1" t="s">
        <v>7029</v>
      </c>
      <c r="HCR1" t="s">
        <v>7030</v>
      </c>
      <c r="HCS1" t="s">
        <v>7031</v>
      </c>
      <c r="HCT1" t="s">
        <v>7032</v>
      </c>
      <c r="HCU1" t="s">
        <v>7033</v>
      </c>
      <c r="HCV1" t="s">
        <v>7034</v>
      </c>
      <c r="HCW1" t="s">
        <v>7035</v>
      </c>
      <c r="HCX1" t="s">
        <v>7036</v>
      </c>
      <c r="HCY1" t="s">
        <v>7037</v>
      </c>
      <c r="HCZ1" t="s">
        <v>7038</v>
      </c>
      <c r="HDA1" t="s">
        <v>7039</v>
      </c>
      <c r="HDB1" t="s">
        <v>7040</v>
      </c>
      <c r="HDC1" t="s">
        <v>7041</v>
      </c>
      <c r="HDD1" t="s">
        <v>7042</v>
      </c>
      <c r="HDE1" t="s">
        <v>7043</v>
      </c>
      <c r="HDF1" t="s">
        <v>7044</v>
      </c>
      <c r="HDG1" t="s">
        <v>7045</v>
      </c>
      <c r="HDH1" t="s">
        <v>7046</v>
      </c>
      <c r="HDI1" t="s">
        <v>7047</v>
      </c>
      <c r="HDJ1" t="s">
        <v>7048</v>
      </c>
      <c r="HDK1" t="s">
        <v>7049</v>
      </c>
      <c r="HDL1" t="s">
        <v>7050</v>
      </c>
      <c r="HDM1" t="s">
        <v>7051</v>
      </c>
      <c r="HDN1" t="s">
        <v>7052</v>
      </c>
      <c r="HDO1" t="s">
        <v>7053</v>
      </c>
      <c r="HDP1" t="s">
        <v>7054</v>
      </c>
      <c r="HDQ1" t="s">
        <v>7055</v>
      </c>
      <c r="HDR1" t="s">
        <v>7056</v>
      </c>
      <c r="HDS1" t="s">
        <v>7057</v>
      </c>
      <c r="HDT1" t="s">
        <v>7058</v>
      </c>
      <c r="HDU1" t="s">
        <v>7059</v>
      </c>
      <c r="HDV1" t="s">
        <v>7060</v>
      </c>
      <c r="HDW1" t="s">
        <v>7061</v>
      </c>
      <c r="HDX1" t="s">
        <v>7062</v>
      </c>
      <c r="HDY1" t="s">
        <v>7063</v>
      </c>
      <c r="HDZ1" t="s">
        <v>7064</v>
      </c>
      <c r="HEA1" t="s">
        <v>7065</v>
      </c>
      <c r="HEB1" t="s">
        <v>7066</v>
      </c>
      <c r="HEC1" t="s">
        <v>7067</v>
      </c>
      <c r="HED1" t="s">
        <v>7068</v>
      </c>
      <c r="HEE1" t="s">
        <v>7069</v>
      </c>
      <c r="HEF1" t="s">
        <v>7070</v>
      </c>
      <c r="HEG1" t="s">
        <v>7071</v>
      </c>
      <c r="HEH1" t="s">
        <v>7072</v>
      </c>
      <c r="HEI1" t="s">
        <v>7073</v>
      </c>
      <c r="HEJ1" t="s">
        <v>7074</v>
      </c>
      <c r="HEK1" t="s">
        <v>7075</v>
      </c>
      <c r="HEL1" t="s">
        <v>7076</v>
      </c>
      <c r="HEM1" t="s">
        <v>7077</v>
      </c>
      <c r="HEN1" t="s">
        <v>7078</v>
      </c>
      <c r="HEO1" t="s">
        <v>7079</v>
      </c>
      <c r="HEP1" t="s">
        <v>7080</v>
      </c>
      <c r="HEQ1" t="s">
        <v>7081</v>
      </c>
      <c r="HER1" t="s">
        <v>7082</v>
      </c>
      <c r="HES1" t="s">
        <v>7083</v>
      </c>
      <c r="HET1" t="s">
        <v>7084</v>
      </c>
      <c r="HEU1" t="s">
        <v>7085</v>
      </c>
      <c r="HEV1" t="s">
        <v>7086</v>
      </c>
      <c r="HEW1" t="s">
        <v>7087</v>
      </c>
      <c r="HEX1" t="s">
        <v>7088</v>
      </c>
      <c r="HEY1" t="s">
        <v>7089</v>
      </c>
      <c r="HEZ1" t="s">
        <v>7090</v>
      </c>
      <c r="HFA1" t="s">
        <v>7091</v>
      </c>
      <c r="HFB1" t="s">
        <v>7092</v>
      </c>
      <c r="HFC1" t="s">
        <v>7093</v>
      </c>
      <c r="HFD1" t="s">
        <v>7094</v>
      </c>
      <c r="HFE1" t="s">
        <v>7095</v>
      </c>
      <c r="HFF1" t="s">
        <v>7096</v>
      </c>
      <c r="HFG1" t="s">
        <v>7097</v>
      </c>
      <c r="HFH1" t="s">
        <v>7098</v>
      </c>
      <c r="HFI1" t="s">
        <v>7099</v>
      </c>
      <c r="HFJ1" t="s">
        <v>7100</v>
      </c>
      <c r="HFK1" t="s">
        <v>7101</v>
      </c>
      <c r="HFL1" t="s">
        <v>7102</v>
      </c>
      <c r="HFM1" t="s">
        <v>7103</v>
      </c>
      <c r="HFN1" t="s">
        <v>7104</v>
      </c>
      <c r="HFO1" t="s">
        <v>7105</v>
      </c>
      <c r="HFP1" t="s">
        <v>7106</v>
      </c>
      <c r="HFQ1" t="s">
        <v>7107</v>
      </c>
      <c r="HFR1" t="s">
        <v>7108</v>
      </c>
      <c r="HFS1" t="s">
        <v>7109</v>
      </c>
      <c r="HFT1" t="s">
        <v>7110</v>
      </c>
      <c r="HFU1" t="s">
        <v>7111</v>
      </c>
      <c r="HFV1" t="s">
        <v>7112</v>
      </c>
      <c r="HFW1" t="s">
        <v>7113</v>
      </c>
      <c r="HFX1" t="s">
        <v>7114</v>
      </c>
      <c r="HFY1" t="s">
        <v>7115</v>
      </c>
      <c r="HFZ1" t="s">
        <v>7116</v>
      </c>
      <c r="HGA1" t="s">
        <v>7117</v>
      </c>
      <c r="HGB1" t="s">
        <v>7118</v>
      </c>
      <c r="HGC1" t="s">
        <v>7119</v>
      </c>
      <c r="HGD1" t="s">
        <v>7120</v>
      </c>
      <c r="HGE1" t="s">
        <v>7121</v>
      </c>
      <c r="HGF1" t="s">
        <v>7122</v>
      </c>
      <c r="HGG1" t="s">
        <v>7123</v>
      </c>
      <c r="HGH1" t="s">
        <v>7124</v>
      </c>
      <c r="HGI1" t="s">
        <v>7125</v>
      </c>
      <c r="HGJ1" t="s">
        <v>7126</v>
      </c>
      <c r="HGK1" t="s">
        <v>7127</v>
      </c>
      <c r="HGL1" t="s">
        <v>7128</v>
      </c>
      <c r="HGM1" t="s">
        <v>7129</v>
      </c>
      <c r="HGN1" t="s">
        <v>7130</v>
      </c>
      <c r="HGO1" t="s">
        <v>7131</v>
      </c>
      <c r="HGP1" t="s">
        <v>7132</v>
      </c>
      <c r="HGQ1" t="s">
        <v>7133</v>
      </c>
      <c r="HGR1" t="s">
        <v>7134</v>
      </c>
      <c r="HGS1" t="s">
        <v>7135</v>
      </c>
      <c r="HGT1" t="s">
        <v>7136</v>
      </c>
      <c r="HGU1" t="s">
        <v>7137</v>
      </c>
      <c r="HGV1" t="s">
        <v>7138</v>
      </c>
      <c r="HGW1" t="s">
        <v>7139</v>
      </c>
      <c r="HGX1" t="s">
        <v>7140</v>
      </c>
      <c r="HGY1" t="s">
        <v>7141</v>
      </c>
      <c r="HGZ1" t="s">
        <v>7142</v>
      </c>
      <c r="HHA1" t="s">
        <v>7143</v>
      </c>
      <c r="HHB1" t="s">
        <v>7144</v>
      </c>
      <c r="HHC1" t="s">
        <v>7145</v>
      </c>
      <c r="HHD1" t="s">
        <v>7146</v>
      </c>
      <c r="HHE1" t="s">
        <v>7147</v>
      </c>
      <c r="HHF1" t="s">
        <v>7148</v>
      </c>
      <c r="HHG1" t="s">
        <v>7149</v>
      </c>
      <c r="HHH1" t="s">
        <v>7150</v>
      </c>
      <c r="HHI1" t="s">
        <v>7151</v>
      </c>
      <c r="HHJ1" t="s">
        <v>7152</v>
      </c>
      <c r="HHK1" t="s">
        <v>7153</v>
      </c>
      <c r="HHL1" t="s">
        <v>7154</v>
      </c>
      <c r="HHM1" t="s">
        <v>7155</v>
      </c>
      <c r="HHN1" t="s">
        <v>7156</v>
      </c>
      <c r="HHO1" t="s">
        <v>7157</v>
      </c>
      <c r="HHP1" t="s">
        <v>7158</v>
      </c>
      <c r="HHQ1" t="s">
        <v>7159</v>
      </c>
      <c r="HHR1" t="s">
        <v>7160</v>
      </c>
      <c r="HHS1" t="s">
        <v>7161</v>
      </c>
      <c r="HHT1" t="s">
        <v>7162</v>
      </c>
      <c r="HHU1" t="s">
        <v>7163</v>
      </c>
      <c r="HHV1" t="s">
        <v>7164</v>
      </c>
      <c r="HHW1" t="s">
        <v>7165</v>
      </c>
      <c r="HHX1" t="s">
        <v>7166</v>
      </c>
      <c r="HHY1" t="s">
        <v>7167</v>
      </c>
      <c r="HHZ1" t="s">
        <v>7168</v>
      </c>
      <c r="HIA1" t="s">
        <v>7169</v>
      </c>
      <c r="HIB1" t="s">
        <v>7170</v>
      </c>
      <c r="HIC1" t="s">
        <v>7171</v>
      </c>
      <c r="HID1" t="s">
        <v>7172</v>
      </c>
      <c r="HIE1" t="s">
        <v>7173</v>
      </c>
      <c r="HIF1" t="s">
        <v>7174</v>
      </c>
      <c r="HIG1" t="s">
        <v>7175</v>
      </c>
      <c r="HIH1" t="s">
        <v>7176</v>
      </c>
      <c r="HII1" t="s">
        <v>7177</v>
      </c>
      <c r="HIJ1" t="s">
        <v>7178</v>
      </c>
      <c r="HIK1" t="s">
        <v>7179</v>
      </c>
      <c r="HIL1" t="s">
        <v>7180</v>
      </c>
      <c r="HIM1" t="s">
        <v>7181</v>
      </c>
      <c r="HIN1" t="s">
        <v>7182</v>
      </c>
      <c r="HIO1" t="s">
        <v>7183</v>
      </c>
      <c r="HIP1" t="s">
        <v>7184</v>
      </c>
      <c r="HIQ1" t="s">
        <v>7185</v>
      </c>
      <c r="HIR1" t="s">
        <v>7186</v>
      </c>
      <c r="HIS1" t="s">
        <v>7187</v>
      </c>
      <c r="HIT1" t="s">
        <v>7188</v>
      </c>
      <c r="HIU1" t="s">
        <v>7189</v>
      </c>
      <c r="HIV1" t="s">
        <v>7190</v>
      </c>
      <c r="HIW1" t="s">
        <v>7191</v>
      </c>
      <c r="HIX1" t="s">
        <v>7192</v>
      </c>
      <c r="HIY1" t="s">
        <v>7193</v>
      </c>
      <c r="HIZ1" t="s">
        <v>7194</v>
      </c>
      <c r="HJA1" t="s">
        <v>7195</v>
      </c>
      <c r="HJB1" t="s">
        <v>7196</v>
      </c>
      <c r="HJC1" t="s">
        <v>7197</v>
      </c>
      <c r="HJD1" t="s">
        <v>7198</v>
      </c>
      <c r="HJE1" t="s">
        <v>7199</v>
      </c>
      <c r="HJF1" t="s">
        <v>7200</v>
      </c>
      <c r="HJG1" t="s">
        <v>7201</v>
      </c>
      <c r="HJH1" t="s">
        <v>7202</v>
      </c>
      <c r="HJI1" t="s">
        <v>7203</v>
      </c>
      <c r="HJJ1" t="s">
        <v>7204</v>
      </c>
      <c r="HJK1" t="s">
        <v>7205</v>
      </c>
      <c r="HJL1" t="s">
        <v>7206</v>
      </c>
      <c r="HJM1" t="s">
        <v>7207</v>
      </c>
      <c r="HJN1" t="s">
        <v>7208</v>
      </c>
      <c r="HJO1" t="s">
        <v>7209</v>
      </c>
      <c r="HJP1" t="s">
        <v>7210</v>
      </c>
      <c r="HJQ1" t="s">
        <v>7211</v>
      </c>
      <c r="HJR1" t="s">
        <v>7212</v>
      </c>
      <c r="HJS1" t="s">
        <v>7213</v>
      </c>
      <c r="HJT1" t="s">
        <v>7214</v>
      </c>
      <c r="HJU1" t="s">
        <v>7215</v>
      </c>
      <c r="HJV1" t="s">
        <v>7216</v>
      </c>
      <c r="HJW1" t="s">
        <v>7217</v>
      </c>
      <c r="HJX1" t="s">
        <v>7218</v>
      </c>
      <c r="HJY1" t="s">
        <v>7219</v>
      </c>
      <c r="HJZ1" t="s">
        <v>7220</v>
      </c>
      <c r="HKA1" t="s">
        <v>7221</v>
      </c>
      <c r="HKB1" t="s">
        <v>7222</v>
      </c>
      <c r="HKC1" t="s">
        <v>7223</v>
      </c>
      <c r="HKD1" t="s">
        <v>7224</v>
      </c>
      <c r="HKE1" t="s">
        <v>7225</v>
      </c>
      <c r="HKF1" t="s">
        <v>7226</v>
      </c>
      <c r="HKG1" t="s">
        <v>7227</v>
      </c>
      <c r="HKH1" t="s">
        <v>7228</v>
      </c>
      <c r="HKI1" t="s">
        <v>7229</v>
      </c>
      <c r="HKJ1" t="s">
        <v>7230</v>
      </c>
      <c r="HKK1" t="s">
        <v>7231</v>
      </c>
      <c r="HKL1" t="s">
        <v>7232</v>
      </c>
      <c r="HKM1" t="s">
        <v>7233</v>
      </c>
      <c r="HKN1" t="s">
        <v>7234</v>
      </c>
      <c r="HKO1" t="s">
        <v>7235</v>
      </c>
      <c r="HKP1" t="s">
        <v>7236</v>
      </c>
      <c r="HKQ1" t="s">
        <v>7237</v>
      </c>
      <c r="HKR1" t="s">
        <v>7238</v>
      </c>
      <c r="HKS1" t="s">
        <v>7239</v>
      </c>
      <c r="HKT1" t="s">
        <v>7240</v>
      </c>
      <c r="HKU1" t="s">
        <v>7241</v>
      </c>
      <c r="HKV1" t="s">
        <v>7242</v>
      </c>
      <c r="HKW1" t="s">
        <v>7243</v>
      </c>
      <c r="HKX1" t="s">
        <v>7244</v>
      </c>
      <c r="HKY1" t="s">
        <v>7245</v>
      </c>
      <c r="HKZ1" t="s">
        <v>7246</v>
      </c>
      <c r="HLA1" t="s">
        <v>7247</v>
      </c>
      <c r="HLB1" t="s">
        <v>7248</v>
      </c>
      <c r="HLC1" t="s">
        <v>7249</v>
      </c>
      <c r="HLD1" t="s">
        <v>7250</v>
      </c>
      <c r="HLE1" t="s">
        <v>7251</v>
      </c>
      <c r="HLF1" t="s">
        <v>7252</v>
      </c>
      <c r="HLG1" t="s">
        <v>7253</v>
      </c>
      <c r="HLH1" t="s">
        <v>7254</v>
      </c>
      <c r="HLI1" t="s">
        <v>7255</v>
      </c>
      <c r="HLJ1" t="s">
        <v>7256</v>
      </c>
      <c r="HLK1" t="s">
        <v>7257</v>
      </c>
      <c r="HLL1" t="s">
        <v>7258</v>
      </c>
      <c r="HLM1" t="s">
        <v>7259</v>
      </c>
      <c r="HLN1" t="s">
        <v>7260</v>
      </c>
      <c r="HLO1" t="s">
        <v>7261</v>
      </c>
      <c r="HLP1" t="s">
        <v>7262</v>
      </c>
      <c r="HLQ1" t="s">
        <v>7263</v>
      </c>
      <c r="HLR1" t="s">
        <v>7264</v>
      </c>
      <c r="HLS1" t="s">
        <v>7265</v>
      </c>
      <c r="HLT1" t="s">
        <v>7266</v>
      </c>
      <c r="HLU1" t="s">
        <v>7267</v>
      </c>
      <c r="HLV1" t="s">
        <v>7268</v>
      </c>
      <c r="HLW1" t="s">
        <v>7269</v>
      </c>
      <c r="HLX1" t="s">
        <v>7270</v>
      </c>
      <c r="HLY1" t="s">
        <v>7271</v>
      </c>
      <c r="HLZ1" t="s">
        <v>7272</v>
      </c>
      <c r="HMA1" t="s">
        <v>7273</v>
      </c>
      <c r="HMB1" t="s">
        <v>7274</v>
      </c>
      <c r="HMC1" t="s">
        <v>7275</v>
      </c>
      <c r="HMD1" t="s">
        <v>7276</v>
      </c>
      <c r="HME1" t="s">
        <v>7277</v>
      </c>
      <c r="HMF1" t="s">
        <v>7278</v>
      </c>
      <c r="HMG1" t="s">
        <v>7279</v>
      </c>
      <c r="HMH1" t="s">
        <v>7280</v>
      </c>
      <c r="HMI1" t="s">
        <v>7281</v>
      </c>
      <c r="HMJ1" t="s">
        <v>7282</v>
      </c>
      <c r="HMK1" t="s">
        <v>7283</v>
      </c>
      <c r="HML1" t="s">
        <v>7284</v>
      </c>
      <c r="HMM1" t="s">
        <v>7285</v>
      </c>
      <c r="HMN1" t="s">
        <v>7286</v>
      </c>
      <c r="HMO1" t="s">
        <v>7287</v>
      </c>
      <c r="HMP1" t="s">
        <v>7288</v>
      </c>
      <c r="HMQ1" t="s">
        <v>7289</v>
      </c>
      <c r="HMR1" t="s">
        <v>7290</v>
      </c>
      <c r="HMS1" t="s">
        <v>7291</v>
      </c>
      <c r="HMT1" t="s">
        <v>7292</v>
      </c>
      <c r="HMU1" t="s">
        <v>7293</v>
      </c>
      <c r="HMV1" t="s">
        <v>7294</v>
      </c>
      <c r="HMW1" t="s">
        <v>7295</v>
      </c>
      <c r="HMX1" t="s">
        <v>7296</v>
      </c>
      <c r="HMY1" t="s">
        <v>7297</v>
      </c>
      <c r="HMZ1" t="s">
        <v>7298</v>
      </c>
      <c r="HNA1" t="s">
        <v>7299</v>
      </c>
      <c r="HNB1" t="s">
        <v>7300</v>
      </c>
      <c r="HNC1" t="s">
        <v>7301</v>
      </c>
      <c r="HND1" t="s">
        <v>7302</v>
      </c>
      <c r="HNE1" t="s">
        <v>7303</v>
      </c>
      <c r="HNF1" t="s">
        <v>7304</v>
      </c>
      <c r="HNG1" t="s">
        <v>7305</v>
      </c>
      <c r="HNH1" t="s">
        <v>7306</v>
      </c>
      <c r="HNI1" t="s">
        <v>7307</v>
      </c>
      <c r="HNJ1" t="s">
        <v>7308</v>
      </c>
      <c r="HNK1" t="s">
        <v>7309</v>
      </c>
      <c r="HNL1" t="s">
        <v>7310</v>
      </c>
      <c r="HNM1" t="s">
        <v>7311</v>
      </c>
      <c r="HNN1" t="s">
        <v>7312</v>
      </c>
      <c r="HNO1" t="s">
        <v>7313</v>
      </c>
      <c r="HNP1" t="s">
        <v>7314</v>
      </c>
      <c r="HNQ1" t="s">
        <v>7315</v>
      </c>
      <c r="HNR1" t="s">
        <v>7316</v>
      </c>
      <c r="HNS1" t="s">
        <v>7317</v>
      </c>
      <c r="HNT1" t="s">
        <v>7318</v>
      </c>
      <c r="HNU1" t="s">
        <v>7319</v>
      </c>
      <c r="HNV1" t="s">
        <v>7320</v>
      </c>
      <c r="HNW1" t="s">
        <v>7321</v>
      </c>
      <c r="HNX1" t="s">
        <v>7322</v>
      </c>
      <c r="HNY1" t="s">
        <v>7323</v>
      </c>
      <c r="HNZ1" t="s">
        <v>7324</v>
      </c>
      <c r="HOA1" t="s">
        <v>7325</v>
      </c>
      <c r="HOB1" t="s">
        <v>7326</v>
      </c>
      <c r="HOC1" t="s">
        <v>7327</v>
      </c>
      <c r="HOD1" t="s">
        <v>7328</v>
      </c>
      <c r="HOE1" t="s">
        <v>7329</v>
      </c>
      <c r="HOF1" t="s">
        <v>7330</v>
      </c>
      <c r="HOG1" t="s">
        <v>7331</v>
      </c>
      <c r="HOH1" t="s">
        <v>7332</v>
      </c>
      <c r="HOI1" t="s">
        <v>7333</v>
      </c>
      <c r="HOJ1" t="s">
        <v>7334</v>
      </c>
      <c r="HOK1" t="s">
        <v>7335</v>
      </c>
      <c r="HOL1" t="s">
        <v>7336</v>
      </c>
      <c r="HOM1" t="s">
        <v>7337</v>
      </c>
      <c r="HON1" t="s">
        <v>7338</v>
      </c>
      <c r="HOO1" t="s">
        <v>7339</v>
      </c>
      <c r="HOP1" t="s">
        <v>7340</v>
      </c>
      <c r="HOQ1" t="s">
        <v>7341</v>
      </c>
      <c r="HOR1" t="s">
        <v>7342</v>
      </c>
      <c r="HOS1" t="s">
        <v>7343</v>
      </c>
      <c r="HOT1" t="s">
        <v>7344</v>
      </c>
      <c r="HOU1" t="s">
        <v>7345</v>
      </c>
      <c r="HOV1" t="s">
        <v>7346</v>
      </c>
      <c r="HOW1" t="s">
        <v>7347</v>
      </c>
      <c r="HOX1" t="s">
        <v>7348</v>
      </c>
      <c r="HOY1" t="s">
        <v>7349</v>
      </c>
      <c r="HOZ1" t="s">
        <v>7350</v>
      </c>
      <c r="HPA1" t="s">
        <v>7351</v>
      </c>
      <c r="HPB1" t="s">
        <v>7352</v>
      </c>
      <c r="HPC1" t="s">
        <v>7353</v>
      </c>
      <c r="HPD1" t="s">
        <v>7354</v>
      </c>
      <c r="HPE1" t="s">
        <v>7355</v>
      </c>
      <c r="HPF1" t="s">
        <v>7356</v>
      </c>
      <c r="HPG1" t="s">
        <v>7357</v>
      </c>
      <c r="HPH1" t="s">
        <v>7358</v>
      </c>
      <c r="HPI1" t="s">
        <v>7359</v>
      </c>
      <c r="HPJ1" t="s">
        <v>7360</v>
      </c>
      <c r="HPK1" t="s">
        <v>7361</v>
      </c>
      <c r="HPL1" t="s">
        <v>7362</v>
      </c>
      <c r="HPM1" t="s">
        <v>7363</v>
      </c>
      <c r="HPN1" t="s">
        <v>7364</v>
      </c>
      <c r="HPO1" t="s">
        <v>7365</v>
      </c>
      <c r="HPP1" t="s">
        <v>7366</v>
      </c>
      <c r="HPQ1" t="s">
        <v>7367</v>
      </c>
      <c r="HPR1" t="s">
        <v>7368</v>
      </c>
      <c r="HPS1" t="s">
        <v>7369</v>
      </c>
      <c r="HPT1" t="s">
        <v>7370</v>
      </c>
      <c r="HPU1" t="s">
        <v>7371</v>
      </c>
      <c r="HPV1" t="s">
        <v>7372</v>
      </c>
      <c r="HPW1" t="s">
        <v>7373</v>
      </c>
      <c r="HPX1" t="s">
        <v>7374</v>
      </c>
      <c r="HPY1" t="s">
        <v>7375</v>
      </c>
      <c r="HPZ1" t="s">
        <v>7376</v>
      </c>
      <c r="HQA1" t="s">
        <v>7377</v>
      </c>
      <c r="HQB1" t="s">
        <v>7378</v>
      </c>
      <c r="HQC1" t="s">
        <v>7379</v>
      </c>
      <c r="HQD1" t="s">
        <v>7380</v>
      </c>
      <c r="HQE1" t="s">
        <v>7381</v>
      </c>
      <c r="HQF1" t="s">
        <v>7382</v>
      </c>
      <c r="HQG1" t="s">
        <v>7383</v>
      </c>
      <c r="HQH1" t="s">
        <v>7384</v>
      </c>
      <c r="HQI1" t="s">
        <v>7385</v>
      </c>
      <c r="HQJ1" t="s">
        <v>7386</v>
      </c>
      <c r="HQK1" t="s">
        <v>7387</v>
      </c>
      <c r="HQL1" t="s">
        <v>7388</v>
      </c>
      <c r="HQM1" t="s">
        <v>7389</v>
      </c>
      <c r="HQN1" t="s">
        <v>7390</v>
      </c>
      <c r="HQO1" t="s">
        <v>7391</v>
      </c>
      <c r="HQP1" t="s">
        <v>7392</v>
      </c>
      <c r="HQQ1" t="s">
        <v>7393</v>
      </c>
      <c r="HQR1" t="s">
        <v>7394</v>
      </c>
      <c r="HQS1" t="s">
        <v>7395</v>
      </c>
      <c r="HQT1" t="s">
        <v>7396</v>
      </c>
      <c r="HQU1" t="s">
        <v>7397</v>
      </c>
      <c r="HQV1" t="s">
        <v>7398</v>
      </c>
      <c r="HQW1" t="s">
        <v>7399</v>
      </c>
      <c r="HQX1" t="s">
        <v>7400</v>
      </c>
      <c r="HQY1" t="s">
        <v>7401</v>
      </c>
      <c r="HQZ1" t="s">
        <v>7402</v>
      </c>
      <c r="HRA1" t="s">
        <v>7403</v>
      </c>
      <c r="HRB1" t="s">
        <v>7404</v>
      </c>
      <c r="HRC1" t="s">
        <v>7405</v>
      </c>
      <c r="HRD1" t="s">
        <v>7406</v>
      </c>
      <c r="HRE1" t="s">
        <v>7407</v>
      </c>
      <c r="HRF1" t="s">
        <v>7408</v>
      </c>
      <c r="HRG1" t="s">
        <v>7409</v>
      </c>
      <c r="HRH1" t="s">
        <v>7410</v>
      </c>
      <c r="HRI1" t="s">
        <v>7411</v>
      </c>
      <c r="HRJ1" t="s">
        <v>7412</v>
      </c>
      <c r="HRK1" t="s">
        <v>7413</v>
      </c>
      <c r="HRL1" t="s">
        <v>7414</v>
      </c>
      <c r="HRM1" t="s">
        <v>7415</v>
      </c>
      <c r="HRN1" t="s">
        <v>7416</v>
      </c>
      <c r="HRO1" t="s">
        <v>7417</v>
      </c>
      <c r="HRP1" t="s">
        <v>7418</v>
      </c>
      <c r="HRQ1" t="s">
        <v>7419</v>
      </c>
      <c r="HRR1" t="s">
        <v>7420</v>
      </c>
      <c r="HRS1" t="s">
        <v>7421</v>
      </c>
      <c r="HRT1" t="s">
        <v>7422</v>
      </c>
      <c r="HRU1" t="s">
        <v>7423</v>
      </c>
      <c r="HRV1" t="s">
        <v>7424</v>
      </c>
      <c r="HRW1" t="s">
        <v>7425</v>
      </c>
      <c r="HRX1" t="s">
        <v>7426</v>
      </c>
      <c r="HRY1" t="s">
        <v>7427</v>
      </c>
      <c r="HRZ1" t="s">
        <v>7428</v>
      </c>
      <c r="HSA1" t="s">
        <v>7429</v>
      </c>
      <c r="HSB1" t="s">
        <v>7430</v>
      </c>
      <c r="HSC1" t="s">
        <v>7431</v>
      </c>
      <c r="HSD1" t="s">
        <v>7432</v>
      </c>
      <c r="HSE1" t="s">
        <v>7433</v>
      </c>
      <c r="HSF1" t="s">
        <v>7434</v>
      </c>
      <c r="HSG1" t="s">
        <v>7435</v>
      </c>
      <c r="HSH1" t="s">
        <v>7436</v>
      </c>
      <c r="HSI1" t="s">
        <v>7437</v>
      </c>
      <c r="HSJ1" t="s">
        <v>7438</v>
      </c>
      <c r="HSK1" t="s">
        <v>7439</v>
      </c>
      <c r="HSL1" t="s">
        <v>7440</v>
      </c>
      <c r="HSM1" t="s">
        <v>7441</v>
      </c>
      <c r="HSN1" t="s">
        <v>7442</v>
      </c>
      <c r="HSO1" t="s">
        <v>7443</v>
      </c>
      <c r="HSP1" t="s">
        <v>7444</v>
      </c>
      <c r="HSQ1" t="s">
        <v>7445</v>
      </c>
      <c r="HSR1" t="s">
        <v>7446</v>
      </c>
      <c r="HSS1" t="s">
        <v>7447</v>
      </c>
      <c r="HST1" t="s">
        <v>7448</v>
      </c>
      <c r="HSU1" t="s">
        <v>7449</v>
      </c>
      <c r="HSV1" t="s">
        <v>7450</v>
      </c>
      <c r="HSW1" t="s">
        <v>7451</v>
      </c>
      <c r="HSX1" t="s">
        <v>7452</v>
      </c>
      <c r="HSY1" t="s">
        <v>7453</v>
      </c>
      <c r="HSZ1" t="s">
        <v>7454</v>
      </c>
      <c r="HTA1" t="s">
        <v>7455</v>
      </c>
      <c r="HTB1" t="s">
        <v>7456</v>
      </c>
      <c r="HTC1" t="s">
        <v>7457</v>
      </c>
      <c r="HTD1" t="s">
        <v>7458</v>
      </c>
      <c r="HTE1" t="s">
        <v>7459</v>
      </c>
      <c r="HTF1" t="s">
        <v>7460</v>
      </c>
      <c r="HTG1" t="s">
        <v>7461</v>
      </c>
      <c r="HTH1" t="s">
        <v>7462</v>
      </c>
      <c r="HTI1" t="s">
        <v>7463</v>
      </c>
      <c r="HTJ1" t="s">
        <v>7464</v>
      </c>
      <c r="HTK1" t="s">
        <v>7465</v>
      </c>
      <c r="HTL1" t="s">
        <v>7466</v>
      </c>
      <c r="HTM1" t="s">
        <v>7467</v>
      </c>
      <c r="HTN1" t="s">
        <v>7468</v>
      </c>
      <c r="HTO1" t="s">
        <v>7469</v>
      </c>
      <c r="HTP1" t="s">
        <v>7470</v>
      </c>
      <c r="HTQ1" t="s">
        <v>7471</v>
      </c>
      <c r="HTR1" t="s">
        <v>7472</v>
      </c>
      <c r="HTS1" t="s">
        <v>7473</v>
      </c>
      <c r="HTT1" t="s">
        <v>7474</v>
      </c>
      <c r="HTU1" t="s">
        <v>7475</v>
      </c>
      <c r="HTV1" t="s">
        <v>7476</v>
      </c>
      <c r="HTW1" t="s">
        <v>7477</v>
      </c>
      <c r="HTX1" t="s">
        <v>7478</v>
      </c>
      <c r="HTY1" t="s">
        <v>7479</v>
      </c>
      <c r="HTZ1" t="s">
        <v>7480</v>
      </c>
      <c r="HUA1" t="s">
        <v>7481</v>
      </c>
      <c r="HUB1" t="s">
        <v>7482</v>
      </c>
      <c r="HUC1" t="s">
        <v>7483</v>
      </c>
      <c r="HUD1" t="s">
        <v>7484</v>
      </c>
      <c r="HUE1" t="s">
        <v>7485</v>
      </c>
      <c r="HUF1" t="s">
        <v>7486</v>
      </c>
      <c r="HUG1" t="s">
        <v>7487</v>
      </c>
      <c r="HUH1" t="s">
        <v>7488</v>
      </c>
      <c r="HUI1" t="s">
        <v>7489</v>
      </c>
      <c r="HUJ1" t="s">
        <v>7490</v>
      </c>
      <c r="HUK1" t="s">
        <v>7491</v>
      </c>
      <c r="HUL1" t="s">
        <v>7492</v>
      </c>
      <c r="HUM1" t="s">
        <v>7493</v>
      </c>
      <c r="HUN1" t="s">
        <v>7494</v>
      </c>
      <c r="HUO1" t="s">
        <v>7495</v>
      </c>
      <c r="HUP1" t="s">
        <v>7496</v>
      </c>
      <c r="HUQ1" t="s">
        <v>7497</v>
      </c>
      <c r="HUR1" t="s">
        <v>7498</v>
      </c>
      <c r="HUS1" t="s">
        <v>7499</v>
      </c>
      <c r="HUT1" t="s">
        <v>7500</v>
      </c>
      <c r="HUU1" t="s">
        <v>7501</v>
      </c>
      <c r="HUV1" t="s">
        <v>7502</v>
      </c>
      <c r="HUW1" t="s">
        <v>7503</v>
      </c>
      <c r="HUX1" t="s">
        <v>7504</v>
      </c>
      <c r="HUY1" t="s">
        <v>7505</v>
      </c>
      <c r="HUZ1" t="s">
        <v>7506</v>
      </c>
      <c r="HVA1" t="s">
        <v>7507</v>
      </c>
      <c r="HVB1" t="s">
        <v>7508</v>
      </c>
      <c r="HVC1" t="s">
        <v>7509</v>
      </c>
      <c r="HVD1" t="s">
        <v>7510</v>
      </c>
      <c r="HVE1" t="s">
        <v>7511</v>
      </c>
      <c r="HVF1" t="s">
        <v>7512</v>
      </c>
      <c r="HVG1" t="s">
        <v>7513</v>
      </c>
      <c r="HVH1" t="s">
        <v>7514</v>
      </c>
      <c r="HVI1" t="s">
        <v>7515</v>
      </c>
      <c r="HVJ1" t="s">
        <v>7516</v>
      </c>
      <c r="HVK1" t="s">
        <v>7517</v>
      </c>
      <c r="HVL1" t="s">
        <v>7518</v>
      </c>
      <c r="HVM1" t="s">
        <v>7519</v>
      </c>
      <c r="HVN1" t="s">
        <v>7520</v>
      </c>
      <c r="HVO1" t="s">
        <v>7521</v>
      </c>
      <c r="HVP1" t="s">
        <v>7522</v>
      </c>
      <c r="HVQ1" t="s">
        <v>7523</v>
      </c>
      <c r="HVR1" t="s">
        <v>7524</v>
      </c>
      <c r="HVS1" t="s">
        <v>7525</v>
      </c>
      <c r="HVT1" t="s">
        <v>7526</v>
      </c>
      <c r="HVU1" t="s">
        <v>7527</v>
      </c>
      <c r="HVV1" t="s">
        <v>7528</v>
      </c>
      <c r="HVW1" t="s">
        <v>7529</v>
      </c>
      <c r="HVX1" t="s">
        <v>7530</v>
      </c>
      <c r="HVY1" t="s">
        <v>7531</v>
      </c>
      <c r="HVZ1" t="s">
        <v>7532</v>
      </c>
      <c r="HWA1" t="s">
        <v>7533</v>
      </c>
      <c r="HWB1" t="s">
        <v>7534</v>
      </c>
      <c r="HWC1" t="s">
        <v>7535</v>
      </c>
      <c r="HWD1" t="s">
        <v>7536</v>
      </c>
      <c r="HWE1" t="s">
        <v>7537</v>
      </c>
      <c r="HWF1" t="s">
        <v>7538</v>
      </c>
      <c r="HWG1" t="s">
        <v>7539</v>
      </c>
      <c r="HWH1" t="s">
        <v>7540</v>
      </c>
      <c r="HWI1" t="s">
        <v>7541</v>
      </c>
      <c r="HWJ1" t="s">
        <v>7542</v>
      </c>
      <c r="HWK1" t="s">
        <v>7543</v>
      </c>
      <c r="HWL1" t="s">
        <v>7544</v>
      </c>
      <c r="HWM1" t="s">
        <v>7545</v>
      </c>
      <c r="HWN1" t="s">
        <v>7546</v>
      </c>
      <c r="HWO1" t="s">
        <v>7547</v>
      </c>
      <c r="HWP1" t="s">
        <v>7548</v>
      </c>
      <c r="HWQ1" t="s">
        <v>7549</v>
      </c>
      <c r="HWR1" t="s">
        <v>7550</v>
      </c>
      <c r="HWS1" t="s">
        <v>7551</v>
      </c>
      <c r="HWT1" t="s">
        <v>7552</v>
      </c>
      <c r="HWU1" t="s">
        <v>7553</v>
      </c>
      <c r="HWV1" t="s">
        <v>7554</v>
      </c>
      <c r="HWW1" t="s">
        <v>7555</v>
      </c>
      <c r="HWX1" t="s">
        <v>7556</v>
      </c>
      <c r="HWY1" t="s">
        <v>7557</v>
      </c>
      <c r="HWZ1" t="s">
        <v>7558</v>
      </c>
      <c r="HXA1" t="s">
        <v>7559</v>
      </c>
      <c r="HXB1" t="s">
        <v>7560</v>
      </c>
      <c r="HXC1" t="s">
        <v>7561</v>
      </c>
      <c r="HXD1" t="s">
        <v>7562</v>
      </c>
      <c r="HXE1" t="s">
        <v>7563</v>
      </c>
      <c r="HXF1" t="s">
        <v>7564</v>
      </c>
      <c r="HXG1" t="s">
        <v>7565</v>
      </c>
      <c r="HXH1" t="s">
        <v>7566</v>
      </c>
      <c r="HXI1" t="s">
        <v>7567</v>
      </c>
      <c r="HXJ1" t="s">
        <v>7568</v>
      </c>
      <c r="HXK1" t="s">
        <v>7569</v>
      </c>
      <c r="HXL1" t="s">
        <v>7570</v>
      </c>
      <c r="HXM1" t="s">
        <v>7571</v>
      </c>
      <c r="HXN1" t="s">
        <v>7572</v>
      </c>
      <c r="HXO1" t="s">
        <v>7573</v>
      </c>
      <c r="HXP1" t="s">
        <v>7574</v>
      </c>
      <c r="HXQ1" t="s">
        <v>7575</v>
      </c>
      <c r="HXR1" t="s">
        <v>7576</v>
      </c>
      <c r="HXS1" t="s">
        <v>7577</v>
      </c>
      <c r="HXT1" t="s">
        <v>7578</v>
      </c>
      <c r="HXU1" t="s">
        <v>7579</v>
      </c>
      <c r="HXV1" t="s">
        <v>7580</v>
      </c>
      <c r="HXW1" t="s">
        <v>7581</v>
      </c>
      <c r="HXX1" t="s">
        <v>7582</v>
      </c>
      <c r="HXY1" t="s">
        <v>7583</v>
      </c>
      <c r="HXZ1" t="s">
        <v>7584</v>
      </c>
      <c r="HYA1" t="s">
        <v>7585</v>
      </c>
      <c r="HYB1" t="s">
        <v>7586</v>
      </c>
      <c r="HYC1" t="s">
        <v>7587</v>
      </c>
      <c r="HYD1" t="s">
        <v>7588</v>
      </c>
      <c r="HYE1" t="s">
        <v>7589</v>
      </c>
      <c r="HYF1" t="s">
        <v>7590</v>
      </c>
      <c r="HYG1" t="s">
        <v>7591</v>
      </c>
      <c r="HYH1" t="s">
        <v>7592</v>
      </c>
      <c r="HYI1" t="s">
        <v>7593</v>
      </c>
      <c r="HYJ1" t="s">
        <v>7594</v>
      </c>
      <c r="HYK1" t="s">
        <v>7595</v>
      </c>
      <c r="HYL1" t="s">
        <v>7596</v>
      </c>
      <c r="HYM1" t="s">
        <v>7597</v>
      </c>
      <c r="HYN1" t="s">
        <v>7598</v>
      </c>
      <c r="HYO1" t="s">
        <v>7599</v>
      </c>
      <c r="HYP1" t="s">
        <v>7600</v>
      </c>
      <c r="HYQ1" t="s">
        <v>7601</v>
      </c>
      <c r="HYR1" t="s">
        <v>7602</v>
      </c>
      <c r="HYS1" t="s">
        <v>7603</v>
      </c>
      <c r="HYT1" t="s">
        <v>7604</v>
      </c>
      <c r="HYU1" t="s">
        <v>7605</v>
      </c>
      <c r="HYV1" t="s">
        <v>7606</v>
      </c>
      <c r="HYW1" t="s">
        <v>7607</v>
      </c>
      <c r="HYX1" t="s">
        <v>7608</v>
      </c>
      <c r="HYY1" t="s">
        <v>7609</v>
      </c>
      <c r="HYZ1" t="s">
        <v>7610</v>
      </c>
      <c r="HZA1" t="s">
        <v>7611</v>
      </c>
      <c r="HZB1" t="s">
        <v>7612</v>
      </c>
      <c r="HZC1" t="s">
        <v>7613</v>
      </c>
      <c r="HZD1" t="s">
        <v>7614</v>
      </c>
      <c r="HZE1" t="s">
        <v>7615</v>
      </c>
      <c r="HZF1" t="s">
        <v>7616</v>
      </c>
      <c r="HZG1" t="s">
        <v>7617</v>
      </c>
      <c r="HZH1" t="s">
        <v>7618</v>
      </c>
      <c r="HZI1" t="s">
        <v>7619</v>
      </c>
      <c r="HZJ1" t="s">
        <v>7620</v>
      </c>
      <c r="HZK1" t="s">
        <v>7621</v>
      </c>
      <c r="HZL1" t="s">
        <v>7622</v>
      </c>
      <c r="HZM1" t="s">
        <v>7623</v>
      </c>
      <c r="HZN1" t="s">
        <v>7624</v>
      </c>
      <c r="HZO1" t="s">
        <v>7625</v>
      </c>
      <c r="HZP1" t="s">
        <v>7626</v>
      </c>
      <c r="HZQ1" t="s">
        <v>7627</v>
      </c>
      <c r="HZR1" t="s">
        <v>7628</v>
      </c>
      <c r="HZS1" t="s">
        <v>7629</v>
      </c>
      <c r="HZT1" t="s">
        <v>7630</v>
      </c>
      <c r="HZU1" t="s">
        <v>7631</v>
      </c>
      <c r="HZV1" t="s">
        <v>7632</v>
      </c>
      <c r="HZW1" t="s">
        <v>7633</v>
      </c>
      <c r="HZX1" t="s">
        <v>7634</v>
      </c>
      <c r="HZY1" t="s">
        <v>7635</v>
      </c>
      <c r="HZZ1" t="s">
        <v>7636</v>
      </c>
      <c r="IAA1" t="s">
        <v>7637</v>
      </c>
      <c r="IAB1" t="s">
        <v>7638</v>
      </c>
      <c r="IAC1" t="s">
        <v>7639</v>
      </c>
      <c r="IAD1" t="s">
        <v>7640</v>
      </c>
      <c r="IAE1" t="s">
        <v>7641</v>
      </c>
      <c r="IAF1" t="s">
        <v>7642</v>
      </c>
      <c r="IAG1" t="s">
        <v>7643</v>
      </c>
      <c r="IAH1" t="s">
        <v>7644</v>
      </c>
      <c r="IAI1" t="s">
        <v>7645</v>
      </c>
      <c r="IAJ1" t="s">
        <v>7646</v>
      </c>
      <c r="IAK1" t="s">
        <v>7647</v>
      </c>
      <c r="IAL1" t="s">
        <v>7648</v>
      </c>
      <c r="IAM1" t="s">
        <v>7649</v>
      </c>
      <c r="IAN1" t="s">
        <v>7650</v>
      </c>
      <c r="IAO1" t="s">
        <v>7651</v>
      </c>
      <c r="IAP1" t="s">
        <v>7652</v>
      </c>
      <c r="IAQ1" t="s">
        <v>7653</v>
      </c>
      <c r="IAR1" t="s">
        <v>7654</v>
      </c>
      <c r="IAS1" t="s">
        <v>7655</v>
      </c>
      <c r="IAT1" t="s">
        <v>7656</v>
      </c>
      <c r="IAU1" t="s">
        <v>7657</v>
      </c>
      <c r="IAV1" t="s">
        <v>7658</v>
      </c>
      <c r="IAW1" t="s">
        <v>7659</v>
      </c>
      <c r="IAX1" t="s">
        <v>7660</v>
      </c>
      <c r="IAY1" t="s">
        <v>7661</v>
      </c>
      <c r="IAZ1" t="s">
        <v>7662</v>
      </c>
      <c r="IBA1" t="s">
        <v>7663</v>
      </c>
      <c r="IBB1" t="s">
        <v>7664</v>
      </c>
      <c r="IBC1" t="s">
        <v>7665</v>
      </c>
      <c r="IBD1" t="s">
        <v>7666</v>
      </c>
      <c r="IBE1" t="s">
        <v>7667</v>
      </c>
      <c r="IBF1" t="s">
        <v>7668</v>
      </c>
      <c r="IBG1" t="s">
        <v>7669</v>
      </c>
      <c r="IBH1" t="s">
        <v>7670</v>
      </c>
      <c r="IBI1" t="s">
        <v>7671</v>
      </c>
      <c r="IBJ1" t="s">
        <v>7672</v>
      </c>
      <c r="IBK1" t="s">
        <v>7673</v>
      </c>
      <c r="IBL1" t="s">
        <v>7674</v>
      </c>
      <c r="IBM1" t="s">
        <v>7675</v>
      </c>
      <c r="IBN1" t="s">
        <v>7676</v>
      </c>
      <c r="IBO1" t="s">
        <v>7677</v>
      </c>
      <c r="IBP1" t="s">
        <v>7678</v>
      </c>
      <c r="IBQ1" t="s">
        <v>7679</v>
      </c>
      <c r="IBR1" t="s">
        <v>7680</v>
      </c>
      <c r="IBS1" t="s">
        <v>7681</v>
      </c>
      <c r="IBT1" t="s">
        <v>7682</v>
      </c>
      <c r="IBU1" t="s">
        <v>7683</v>
      </c>
      <c r="IBV1" t="s">
        <v>7684</v>
      </c>
      <c r="IBW1" t="s">
        <v>7685</v>
      </c>
      <c r="IBX1" t="s">
        <v>7686</v>
      </c>
      <c r="IBY1" t="s">
        <v>7687</v>
      </c>
      <c r="IBZ1" t="s">
        <v>7688</v>
      </c>
      <c r="ICA1" t="s">
        <v>7689</v>
      </c>
      <c r="ICB1" t="s">
        <v>7690</v>
      </c>
      <c r="ICC1" t="s">
        <v>7691</v>
      </c>
      <c r="ICD1" t="s">
        <v>7692</v>
      </c>
      <c r="ICE1" t="s">
        <v>7693</v>
      </c>
      <c r="ICF1" t="s">
        <v>7694</v>
      </c>
      <c r="ICG1" t="s">
        <v>7695</v>
      </c>
      <c r="ICH1" t="s">
        <v>7696</v>
      </c>
      <c r="ICI1" t="s">
        <v>7697</v>
      </c>
      <c r="ICJ1" t="s">
        <v>7698</v>
      </c>
      <c r="ICK1" t="s">
        <v>7699</v>
      </c>
      <c r="ICL1" t="s">
        <v>7700</v>
      </c>
      <c r="ICM1" t="s">
        <v>7701</v>
      </c>
      <c r="ICN1" t="s">
        <v>7702</v>
      </c>
      <c r="ICO1" t="s">
        <v>7703</v>
      </c>
      <c r="ICP1" t="s">
        <v>7704</v>
      </c>
      <c r="ICQ1" t="s">
        <v>7705</v>
      </c>
      <c r="ICR1" t="s">
        <v>7706</v>
      </c>
      <c r="ICS1" t="s">
        <v>7707</v>
      </c>
      <c r="ICT1" t="s">
        <v>7708</v>
      </c>
      <c r="ICU1" t="s">
        <v>7709</v>
      </c>
      <c r="ICV1" t="s">
        <v>7710</v>
      </c>
      <c r="ICW1" t="s">
        <v>7711</v>
      </c>
      <c r="ICX1" t="s">
        <v>7712</v>
      </c>
      <c r="ICY1" t="s">
        <v>7713</v>
      </c>
      <c r="ICZ1" t="s">
        <v>7714</v>
      </c>
      <c r="IDA1" t="s">
        <v>7715</v>
      </c>
      <c r="IDB1" t="s">
        <v>7716</v>
      </c>
      <c r="IDC1" t="s">
        <v>7717</v>
      </c>
      <c r="IDD1" t="s">
        <v>7718</v>
      </c>
      <c r="IDE1" t="s">
        <v>7719</v>
      </c>
      <c r="IDF1" t="s">
        <v>7720</v>
      </c>
      <c r="IDG1" t="s">
        <v>7721</v>
      </c>
      <c r="IDH1" t="s">
        <v>7722</v>
      </c>
      <c r="IDI1" t="s">
        <v>7723</v>
      </c>
      <c r="IDJ1" t="s">
        <v>7724</v>
      </c>
      <c r="IDK1" t="s">
        <v>7725</v>
      </c>
      <c r="IDL1" t="s">
        <v>7726</v>
      </c>
      <c r="IDM1" t="s">
        <v>7727</v>
      </c>
      <c r="IDN1" t="s">
        <v>7728</v>
      </c>
      <c r="IDO1" t="s">
        <v>7729</v>
      </c>
      <c r="IDP1" t="s">
        <v>7730</v>
      </c>
      <c r="IDQ1" t="s">
        <v>7731</v>
      </c>
      <c r="IDR1" t="s">
        <v>7732</v>
      </c>
      <c r="IDS1" t="s">
        <v>7733</v>
      </c>
      <c r="IDT1" t="s">
        <v>7734</v>
      </c>
      <c r="IDU1" t="s">
        <v>7735</v>
      </c>
      <c r="IDV1" t="s">
        <v>7736</v>
      </c>
      <c r="IDW1" t="s">
        <v>7737</v>
      </c>
      <c r="IDX1" t="s">
        <v>7738</v>
      </c>
      <c r="IDY1" t="s">
        <v>7739</v>
      </c>
      <c r="IDZ1" t="s">
        <v>7740</v>
      </c>
      <c r="IEA1" t="s">
        <v>7741</v>
      </c>
      <c r="IEB1" t="s">
        <v>7742</v>
      </c>
      <c r="IEC1" t="s">
        <v>7743</v>
      </c>
      <c r="IED1" t="s">
        <v>7744</v>
      </c>
      <c r="IEE1" t="s">
        <v>7745</v>
      </c>
      <c r="IEF1" t="s">
        <v>7746</v>
      </c>
      <c r="IEG1" t="s">
        <v>7747</v>
      </c>
      <c r="IEH1" t="s">
        <v>7748</v>
      </c>
      <c r="IEI1" t="s">
        <v>7749</v>
      </c>
      <c r="IEJ1" t="s">
        <v>7750</v>
      </c>
      <c r="IEK1" t="s">
        <v>7751</v>
      </c>
      <c r="IEL1" t="s">
        <v>7752</v>
      </c>
      <c r="IEM1" t="s">
        <v>7753</v>
      </c>
      <c r="IEN1" t="s">
        <v>7754</v>
      </c>
      <c r="IEO1" t="s">
        <v>7755</v>
      </c>
      <c r="IEP1" t="s">
        <v>7756</v>
      </c>
      <c r="IEQ1" t="s">
        <v>7757</v>
      </c>
      <c r="IER1" t="s">
        <v>7758</v>
      </c>
      <c r="IES1" t="s">
        <v>7759</v>
      </c>
      <c r="IET1" t="s">
        <v>7760</v>
      </c>
      <c r="IEU1" t="s">
        <v>7761</v>
      </c>
      <c r="IEV1" t="s">
        <v>7762</v>
      </c>
      <c r="IEW1" t="s">
        <v>7763</v>
      </c>
      <c r="IEX1" t="s">
        <v>7764</v>
      </c>
      <c r="IEY1" t="s">
        <v>7765</v>
      </c>
      <c r="IEZ1" t="s">
        <v>7766</v>
      </c>
      <c r="IFA1" t="s">
        <v>7767</v>
      </c>
      <c r="IFB1" t="s">
        <v>7768</v>
      </c>
      <c r="IFC1" t="s">
        <v>7769</v>
      </c>
      <c r="IFD1" t="s">
        <v>7770</v>
      </c>
      <c r="IFE1" t="s">
        <v>7771</v>
      </c>
      <c r="IFF1" t="s">
        <v>7772</v>
      </c>
      <c r="IFG1" t="s">
        <v>7773</v>
      </c>
      <c r="IFH1" t="s">
        <v>7774</v>
      </c>
      <c r="IFI1" t="s">
        <v>7775</v>
      </c>
      <c r="IFJ1" t="s">
        <v>7776</v>
      </c>
      <c r="IFK1" t="s">
        <v>7777</v>
      </c>
      <c r="IFL1" t="s">
        <v>7778</v>
      </c>
      <c r="IFM1" t="s">
        <v>7779</v>
      </c>
      <c r="IFN1" t="s">
        <v>7780</v>
      </c>
      <c r="IFO1" t="s">
        <v>7781</v>
      </c>
      <c r="IFP1" t="s">
        <v>7782</v>
      </c>
      <c r="IFQ1" t="s">
        <v>7783</v>
      </c>
      <c r="IFR1" t="s">
        <v>7784</v>
      </c>
      <c r="IFS1" t="s">
        <v>7785</v>
      </c>
      <c r="IFT1" t="s">
        <v>7786</v>
      </c>
      <c r="IFU1" t="s">
        <v>7787</v>
      </c>
      <c r="IFV1" t="s">
        <v>7788</v>
      </c>
      <c r="IFW1" t="s">
        <v>7789</v>
      </c>
      <c r="IFX1" t="s">
        <v>7790</v>
      </c>
      <c r="IFY1" t="s">
        <v>7791</v>
      </c>
      <c r="IFZ1" t="s">
        <v>7792</v>
      </c>
      <c r="IGA1" t="s">
        <v>7793</v>
      </c>
      <c r="IGB1" t="s">
        <v>7794</v>
      </c>
      <c r="IGC1" t="s">
        <v>7795</v>
      </c>
      <c r="IGD1" t="s">
        <v>7796</v>
      </c>
      <c r="IGE1" t="s">
        <v>7797</v>
      </c>
      <c r="IGF1" t="s">
        <v>7798</v>
      </c>
      <c r="IGG1" t="s">
        <v>7799</v>
      </c>
      <c r="IGH1" t="s">
        <v>7800</v>
      </c>
      <c r="IGI1" t="s">
        <v>7801</v>
      </c>
      <c r="IGJ1" t="s">
        <v>7802</v>
      </c>
      <c r="IGK1" t="s">
        <v>7803</v>
      </c>
      <c r="IGL1" t="s">
        <v>7804</v>
      </c>
      <c r="IGM1" t="s">
        <v>7805</v>
      </c>
      <c r="IGN1" t="s">
        <v>7806</v>
      </c>
      <c r="IGO1" t="s">
        <v>7807</v>
      </c>
      <c r="IGP1" t="s">
        <v>7808</v>
      </c>
      <c r="IGQ1" t="s">
        <v>7809</v>
      </c>
      <c r="IGR1" t="s">
        <v>7810</v>
      </c>
      <c r="IGS1" t="s">
        <v>7811</v>
      </c>
      <c r="IGT1" t="s">
        <v>7812</v>
      </c>
      <c r="IGU1" t="s">
        <v>7813</v>
      </c>
      <c r="IGV1" t="s">
        <v>7814</v>
      </c>
      <c r="IGW1" t="s">
        <v>7815</v>
      </c>
      <c r="IGX1" t="s">
        <v>7816</v>
      </c>
      <c r="IGY1" t="s">
        <v>7817</v>
      </c>
      <c r="IGZ1" t="s">
        <v>7818</v>
      </c>
      <c r="IHA1" t="s">
        <v>7819</v>
      </c>
      <c r="IHB1" t="s">
        <v>7820</v>
      </c>
      <c r="IHC1" t="s">
        <v>7821</v>
      </c>
      <c r="IHD1" t="s">
        <v>7822</v>
      </c>
      <c r="IHE1" t="s">
        <v>7823</v>
      </c>
      <c r="IHF1" t="s">
        <v>7824</v>
      </c>
      <c r="IHG1" t="s">
        <v>7825</v>
      </c>
      <c r="IHH1" t="s">
        <v>7826</v>
      </c>
      <c r="IHI1" t="s">
        <v>7827</v>
      </c>
      <c r="IHJ1" t="s">
        <v>7828</v>
      </c>
      <c r="IHK1" t="s">
        <v>7829</v>
      </c>
      <c r="IHL1" t="s">
        <v>7830</v>
      </c>
      <c r="IHM1" t="s">
        <v>7831</v>
      </c>
      <c r="IHN1" t="s">
        <v>7832</v>
      </c>
      <c r="IHO1" t="s">
        <v>7833</v>
      </c>
      <c r="IHP1" t="s">
        <v>7834</v>
      </c>
      <c r="IHQ1" t="s">
        <v>7835</v>
      </c>
      <c r="IHR1" t="s">
        <v>7836</v>
      </c>
      <c r="IHS1" t="s">
        <v>7837</v>
      </c>
      <c r="IHT1" t="s">
        <v>7838</v>
      </c>
      <c r="IHU1" t="s">
        <v>7839</v>
      </c>
      <c r="IHV1" t="s">
        <v>7840</v>
      </c>
      <c r="IHW1" t="s">
        <v>7841</v>
      </c>
      <c r="IHX1" t="s">
        <v>7842</v>
      </c>
      <c r="IHY1" t="s">
        <v>7843</v>
      </c>
      <c r="IHZ1" t="s">
        <v>7844</v>
      </c>
      <c r="IIA1" t="s">
        <v>7845</v>
      </c>
      <c r="IIB1" t="s">
        <v>7846</v>
      </c>
      <c r="IIC1" t="s">
        <v>7847</v>
      </c>
      <c r="IID1" t="s">
        <v>7848</v>
      </c>
      <c r="IIE1" t="s">
        <v>7849</v>
      </c>
      <c r="IIF1" t="s">
        <v>7850</v>
      </c>
      <c r="IIG1" t="s">
        <v>7851</v>
      </c>
      <c r="IIH1" t="s">
        <v>7852</v>
      </c>
      <c r="III1" t="s">
        <v>7853</v>
      </c>
      <c r="IIJ1" t="s">
        <v>7854</v>
      </c>
      <c r="IIK1" t="s">
        <v>7855</v>
      </c>
      <c r="IIL1" t="s">
        <v>7856</v>
      </c>
      <c r="IIM1" t="s">
        <v>7857</v>
      </c>
      <c r="IIN1" t="s">
        <v>7858</v>
      </c>
      <c r="IIO1" t="s">
        <v>7859</v>
      </c>
      <c r="IIP1" t="s">
        <v>7860</v>
      </c>
      <c r="IIQ1" t="s">
        <v>7861</v>
      </c>
      <c r="IIR1" t="s">
        <v>7862</v>
      </c>
      <c r="IIS1" t="s">
        <v>7863</v>
      </c>
      <c r="IIT1" t="s">
        <v>7864</v>
      </c>
      <c r="IIU1" t="s">
        <v>7865</v>
      </c>
      <c r="IIV1" t="s">
        <v>7866</v>
      </c>
      <c r="IIW1" t="s">
        <v>7867</v>
      </c>
      <c r="IIX1" t="s">
        <v>7868</v>
      </c>
      <c r="IIY1" t="s">
        <v>7869</v>
      </c>
      <c r="IIZ1" t="s">
        <v>7870</v>
      </c>
      <c r="IJA1" t="s">
        <v>7871</v>
      </c>
      <c r="IJB1" t="s">
        <v>7872</v>
      </c>
      <c r="IJC1" t="s">
        <v>7873</v>
      </c>
      <c r="IJD1" t="s">
        <v>7874</v>
      </c>
      <c r="IJE1" t="s">
        <v>7875</v>
      </c>
      <c r="IJF1" t="s">
        <v>7876</v>
      </c>
      <c r="IJG1" t="s">
        <v>7877</v>
      </c>
      <c r="IJH1" t="s">
        <v>7878</v>
      </c>
      <c r="IJI1" t="s">
        <v>7879</v>
      </c>
      <c r="IJJ1" t="s">
        <v>7880</v>
      </c>
      <c r="IJK1" t="s">
        <v>7881</v>
      </c>
      <c r="IJL1" t="s">
        <v>7882</v>
      </c>
      <c r="IJM1" t="s">
        <v>7883</v>
      </c>
      <c r="IJN1" t="s">
        <v>7884</v>
      </c>
      <c r="IJO1" t="s">
        <v>7885</v>
      </c>
      <c r="IJP1" t="s">
        <v>7886</v>
      </c>
      <c r="IJQ1" t="s">
        <v>7887</v>
      </c>
      <c r="IJR1" t="s">
        <v>7888</v>
      </c>
      <c r="IJS1" t="s">
        <v>7889</v>
      </c>
      <c r="IJT1" t="s">
        <v>7890</v>
      </c>
      <c r="IJU1" t="s">
        <v>7891</v>
      </c>
      <c r="IJV1" t="s">
        <v>7892</v>
      </c>
      <c r="IJW1" t="s">
        <v>7893</v>
      </c>
      <c r="IJX1" t="s">
        <v>7894</v>
      </c>
      <c r="IJY1" t="s">
        <v>7895</v>
      </c>
      <c r="IJZ1" t="s">
        <v>7896</v>
      </c>
      <c r="IKA1" t="s">
        <v>7897</v>
      </c>
      <c r="IKB1" t="s">
        <v>7898</v>
      </c>
      <c r="IKC1" t="s">
        <v>7899</v>
      </c>
      <c r="IKD1" t="s">
        <v>7900</v>
      </c>
      <c r="IKE1" t="s">
        <v>7901</v>
      </c>
      <c r="IKF1" t="s">
        <v>7902</v>
      </c>
      <c r="IKG1" t="s">
        <v>7903</v>
      </c>
      <c r="IKH1" t="s">
        <v>7904</v>
      </c>
      <c r="IKI1" t="s">
        <v>7905</v>
      </c>
      <c r="IKJ1" t="s">
        <v>7906</v>
      </c>
      <c r="IKK1" t="s">
        <v>7907</v>
      </c>
      <c r="IKL1" t="s">
        <v>7908</v>
      </c>
      <c r="IKM1" t="s">
        <v>7909</v>
      </c>
      <c r="IKN1" t="s">
        <v>7910</v>
      </c>
      <c r="IKO1" t="s">
        <v>7911</v>
      </c>
      <c r="IKP1" t="s">
        <v>7912</v>
      </c>
      <c r="IKQ1" t="s">
        <v>7913</v>
      </c>
      <c r="IKR1" t="s">
        <v>7914</v>
      </c>
      <c r="IKS1" t="s">
        <v>7915</v>
      </c>
      <c r="IKT1" t="s">
        <v>7916</v>
      </c>
      <c r="IKU1" t="s">
        <v>7917</v>
      </c>
      <c r="IKV1" t="s">
        <v>7918</v>
      </c>
      <c r="IKW1" t="s">
        <v>7919</v>
      </c>
      <c r="IKX1" t="s">
        <v>7920</v>
      </c>
      <c r="IKY1" t="s">
        <v>7921</v>
      </c>
      <c r="IKZ1" t="s">
        <v>7922</v>
      </c>
      <c r="ILA1" t="s">
        <v>7923</v>
      </c>
      <c r="ILB1" t="s">
        <v>7924</v>
      </c>
      <c r="ILC1" t="s">
        <v>7925</v>
      </c>
      <c r="ILD1" t="s">
        <v>7926</v>
      </c>
      <c r="ILE1" t="s">
        <v>7927</v>
      </c>
      <c r="ILF1" t="s">
        <v>7928</v>
      </c>
      <c r="ILG1" t="s">
        <v>7929</v>
      </c>
      <c r="ILH1" t="s">
        <v>7930</v>
      </c>
      <c r="ILI1" t="s">
        <v>7931</v>
      </c>
      <c r="ILJ1" t="s">
        <v>7932</v>
      </c>
      <c r="ILK1" t="s">
        <v>7933</v>
      </c>
      <c r="ILL1" t="s">
        <v>7934</v>
      </c>
      <c r="ILM1" t="s">
        <v>7935</v>
      </c>
      <c r="ILN1" t="s">
        <v>7936</v>
      </c>
      <c r="ILO1" t="s">
        <v>7937</v>
      </c>
      <c r="ILP1" t="s">
        <v>7938</v>
      </c>
      <c r="ILQ1" t="s">
        <v>7939</v>
      </c>
      <c r="ILR1" t="s">
        <v>7940</v>
      </c>
      <c r="ILS1" t="s">
        <v>7941</v>
      </c>
      <c r="ILT1" t="s">
        <v>7942</v>
      </c>
      <c r="ILU1" t="s">
        <v>7943</v>
      </c>
      <c r="ILV1" t="s">
        <v>7944</v>
      </c>
      <c r="ILW1" t="s">
        <v>7945</v>
      </c>
      <c r="ILX1" t="s">
        <v>7946</v>
      </c>
      <c r="ILY1" t="s">
        <v>7947</v>
      </c>
      <c r="ILZ1" t="s">
        <v>7948</v>
      </c>
      <c r="IMA1" t="s">
        <v>7949</v>
      </c>
      <c r="IMB1" t="s">
        <v>7950</v>
      </c>
      <c r="IMC1" t="s">
        <v>7951</v>
      </c>
      <c r="IMD1" t="s">
        <v>7952</v>
      </c>
      <c r="IME1" t="s">
        <v>7953</v>
      </c>
      <c r="IMF1" t="s">
        <v>7954</v>
      </c>
      <c r="IMG1" t="s">
        <v>7955</v>
      </c>
      <c r="IMH1" t="s">
        <v>7956</v>
      </c>
      <c r="IMI1" t="s">
        <v>7957</v>
      </c>
      <c r="IMJ1" t="s">
        <v>7958</v>
      </c>
      <c r="IMK1" t="s">
        <v>7959</v>
      </c>
      <c r="IML1" t="s">
        <v>7960</v>
      </c>
      <c r="IMM1" t="s">
        <v>7961</v>
      </c>
      <c r="IMN1" t="s">
        <v>7962</v>
      </c>
      <c r="IMO1" t="s">
        <v>7963</v>
      </c>
      <c r="IMP1" t="s">
        <v>7964</v>
      </c>
      <c r="IMQ1" t="s">
        <v>7965</v>
      </c>
      <c r="IMR1" t="s">
        <v>7966</v>
      </c>
      <c r="IMS1" t="s">
        <v>7967</v>
      </c>
      <c r="IMT1" t="s">
        <v>7968</v>
      </c>
      <c r="IMU1" t="s">
        <v>7969</v>
      </c>
      <c r="IMV1" t="s">
        <v>7970</v>
      </c>
      <c r="IMW1" t="s">
        <v>7971</v>
      </c>
      <c r="IMX1" t="s">
        <v>7972</v>
      </c>
      <c r="IMY1" t="s">
        <v>7973</v>
      </c>
      <c r="IMZ1" t="s">
        <v>7974</v>
      </c>
      <c r="INA1" t="s">
        <v>7975</v>
      </c>
      <c r="INB1" t="s">
        <v>7976</v>
      </c>
      <c r="INC1" t="s">
        <v>7977</v>
      </c>
      <c r="IND1" t="s">
        <v>7978</v>
      </c>
      <c r="INE1" t="s">
        <v>7979</v>
      </c>
      <c r="INF1" t="s">
        <v>7980</v>
      </c>
      <c r="ING1" t="s">
        <v>7981</v>
      </c>
      <c r="INH1" t="s">
        <v>7982</v>
      </c>
      <c r="INI1" t="s">
        <v>7983</v>
      </c>
      <c r="INJ1" t="s">
        <v>7984</v>
      </c>
      <c r="INK1" t="s">
        <v>7985</v>
      </c>
      <c r="INL1" t="s">
        <v>7986</v>
      </c>
      <c r="INM1" t="s">
        <v>7987</v>
      </c>
      <c r="INN1" t="s">
        <v>7988</v>
      </c>
      <c r="INO1" t="s">
        <v>7989</v>
      </c>
      <c r="INP1" t="s">
        <v>7990</v>
      </c>
      <c r="INQ1" t="s">
        <v>7991</v>
      </c>
      <c r="INR1" t="s">
        <v>7992</v>
      </c>
      <c r="INS1" t="s">
        <v>7993</v>
      </c>
      <c r="INT1" t="s">
        <v>7994</v>
      </c>
      <c r="INU1" t="s">
        <v>7995</v>
      </c>
      <c r="INV1" t="s">
        <v>7996</v>
      </c>
      <c r="INW1" t="s">
        <v>7997</v>
      </c>
      <c r="INX1" t="s">
        <v>7998</v>
      </c>
      <c r="INY1" t="s">
        <v>7999</v>
      </c>
      <c r="INZ1" t="s">
        <v>8000</v>
      </c>
      <c r="IOA1" t="s">
        <v>8001</v>
      </c>
      <c r="IOB1" t="s">
        <v>8002</v>
      </c>
      <c r="IOC1" t="s">
        <v>8003</v>
      </c>
      <c r="IOD1" t="s">
        <v>8004</v>
      </c>
      <c r="IOE1" t="s">
        <v>8005</v>
      </c>
      <c r="IOF1" t="s">
        <v>8006</v>
      </c>
      <c r="IOG1" t="s">
        <v>8007</v>
      </c>
      <c r="IOH1" t="s">
        <v>8008</v>
      </c>
      <c r="IOI1" t="s">
        <v>8009</v>
      </c>
      <c r="IOJ1" t="s">
        <v>8010</v>
      </c>
      <c r="IOK1" t="s">
        <v>8011</v>
      </c>
      <c r="IOL1" t="s">
        <v>8012</v>
      </c>
      <c r="IOM1" t="s">
        <v>8013</v>
      </c>
      <c r="ION1" t="s">
        <v>8014</v>
      </c>
      <c r="IOO1" t="s">
        <v>8015</v>
      </c>
      <c r="IOP1" t="s">
        <v>8016</v>
      </c>
      <c r="IOQ1" t="s">
        <v>8017</v>
      </c>
      <c r="IOR1" t="s">
        <v>8018</v>
      </c>
      <c r="IOS1" t="s">
        <v>8019</v>
      </c>
      <c r="IOT1" t="s">
        <v>8020</v>
      </c>
      <c r="IOU1" t="s">
        <v>8021</v>
      </c>
      <c r="IOV1" t="s">
        <v>8022</v>
      </c>
      <c r="IOW1" t="s">
        <v>8023</v>
      </c>
      <c r="IOX1" t="s">
        <v>8024</v>
      </c>
      <c r="IOY1" t="s">
        <v>8025</v>
      </c>
      <c r="IOZ1" t="s">
        <v>8026</v>
      </c>
      <c r="IPA1" t="s">
        <v>8027</v>
      </c>
      <c r="IPB1" t="s">
        <v>8028</v>
      </c>
      <c r="IPC1" t="s">
        <v>8029</v>
      </c>
      <c r="IPD1" t="s">
        <v>8030</v>
      </c>
      <c r="IPE1" t="s">
        <v>8031</v>
      </c>
      <c r="IPF1" t="s">
        <v>8032</v>
      </c>
      <c r="IPG1" t="s">
        <v>8033</v>
      </c>
      <c r="IPH1" t="s">
        <v>8034</v>
      </c>
      <c r="IPI1" t="s">
        <v>8035</v>
      </c>
      <c r="IPJ1" t="s">
        <v>8036</v>
      </c>
      <c r="IPK1" t="s">
        <v>8037</v>
      </c>
      <c r="IPL1" t="s">
        <v>8038</v>
      </c>
      <c r="IPM1" t="s">
        <v>8039</v>
      </c>
      <c r="IPN1" t="s">
        <v>8040</v>
      </c>
      <c r="IPO1" t="s">
        <v>8041</v>
      </c>
      <c r="IPP1" t="s">
        <v>8042</v>
      </c>
      <c r="IPQ1" t="s">
        <v>8043</v>
      </c>
      <c r="IPR1" t="s">
        <v>8044</v>
      </c>
      <c r="IPS1" t="s">
        <v>8045</v>
      </c>
      <c r="IPT1" t="s">
        <v>8046</v>
      </c>
      <c r="IPU1" t="s">
        <v>8047</v>
      </c>
      <c r="IPV1" t="s">
        <v>8048</v>
      </c>
      <c r="IPW1" t="s">
        <v>8049</v>
      </c>
      <c r="IPX1" t="s">
        <v>8050</v>
      </c>
      <c r="IPY1" t="s">
        <v>8051</v>
      </c>
      <c r="IPZ1" t="s">
        <v>8052</v>
      </c>
      <c r="IQA1" t="s">
        <v>8053</v>
      </c>
      <c r="IQB1" t="s">
        <v>8054</v>
      </c>
      <c r="IQC1" t="s">
        <v>8055</v>
      </c>
      <c r="IQD1" t="s">
        <v>8056</v>
      </c>
      <c r="IQE1" t="s">
        <v>8057</v>
      </c>
      <c r="IQF1" t="s">
        <v>8058</v>
      </c>
      <c r="IQG1" t="s">
        <v>8059</v>
      </c>
      <c r="IQH1" t="s">
        <v>8060</v>
      </c>
      <c r="IQI1" t="s">
        <v>8061</v>
      </c>
      <c r="IQJ1" t="s">
        <v>8062</v>
      </c>
      <c r="IQK1" t="s">
        <v>8063</v>
      </c>
      <c r="IQL1" t="s">
        <v>8064</v>
      </c>
      <c r="IQM1" t="s">
        <v>8065</v>
      </c>
      <c r="IQN1" t="s">
        <v>8066</v>
      </c>
      <c r="IQO1" t="s">
        <v>8067</v>
      </c>
      <c r="IQP1" t="s">
        <v>8068</v>
      </c>
      <c r="IQQ1" t="s">
        <v>8069</v>
      </c>
      <c r="IQR1" t="s">
        <v>8070</v>
      </c>
      <c r="IQS1" t="s">
        <v>8071</v>
      </c>
      <c r="IQT1" t="s">
        <v>8072</v>
      </c>
      <c r="IQU1" t="s">
        <v>8073</v>
      </c>
      <c r="IQV1" t="s">
        <v>8074</v>
      </c>
      <c r="IQW1" t="s">
        <v>8075</v>
      </c>
      <c r="IQX1" t="s">
        <v>8076</v>
      </c>
      <c r="IQY1" t="s">
        <v>8077</v>
      </c>
      <c r="IQZ1" t="s">
        <v>8078</v>
      </c>
      <c r="IRA1" t="s">
        <v>8079</v>
      </c>
      <c r="IRB1" t="s">
        <v>8080</v>
      </c>
      <c r="IRC1" t="s">
        <v>8081</v>
      </c>
      <c r="IRD1" t="s">
        <v>8082</v>
      </c>
      <c r="IRE1" t="s">
        <v>8083</v>
      </c>
      <c r="IRF1" t="s">
        <v>8084</v>
      </c>
      <c r="IRG1" t="s">
        <v>8085</v>
      </c>
      <c r="IRH1" t="s">
        <v>8086</v>
      </c>
      <c r="IRI1" t="s">
        <v>8087</v>
      </c>
      <c r="IRJ1" t="s">
        <v>8088</v>
      </c>
      <c r="IRK1" t="s">
        <v>8089</v>
      </c>
      <c r="IRL1" t="s">
        <v>8090</v>
      </c>
      <c r="IRM1" t="s">
        <v>8091</v>
      </c>
      <c r="IRN1" t="s">
        <v>8092</v>
      </c>
      <c r="IRO1" t="s">
        <v>8093</v>
      </c>
      <c r="IRP1" t="s">
        <v>8094</v>
      </c>
      <c r="IRQ1" t="s">
        <v>8095</v>
      </c>
      <c r="IRR1" t="s">
        <v>8096</v>
      </c>
      <c r="IRS1" t="s">
        <v>8097</v>
      </c>
      <c r="IRT1" t="s">
        <v>8098</v>
      </c>
      <c r="IRU1" t="s">
        <v>8099</v>
      </c>
      <c r="IRV1" t="s">
        <v>8100</v>
      </c>
      <c r="IRW1" t="s">
        <v>8101</v>
      </c>
      <c r="IRX1" t="s">
        <v>8102</v>
      </c>
      <c r="IRY1" t="s">
        <v>8103</v>
      </c>
      <c r="IRZ1" t="s">
        <v>8104</v>
      </c>
      <c r="ISA1" t="s">
        <v>8105</v>
      </c>
      <c r="ISB1" t="s">
        <v>8106</v>
      </c>
      <c r="ISC1" t="s">
        <v>8107</v>
      </c>
      <c r="ISD1" t="s">
        <v>8108</v>
      </c>
      <c r="ISE1" t="s">
        <v>8109</v>
      </c>
      <c r="ISF1" t="s">
        <v>8110</v>
      </c>
      <c r="ISG1" t="s">
        <v>8111</v>
      </c>
      <c r="ISH1" t="s">
        <v>8112</v>
      </c>
      <c r="ISI1" t="s">
        <v>8113</v>
      </c>
      <c r="ISJ1" t="s">
        <v>8114</v>
      </c>
      <c r="ISK1" t="s">
        <v>8115</v>
      </c>
      <c r="ISL1" t="s">
        <v>8116</v>
      </c>
      <c r="ISM1" t="s">
        <v>8117</v>
      </c>
      <c r="ISN1" t="s">
        <v>8118</v>
      </c>
      <c r="ISO1" t="s">
        <v>8119</v>
      </c>
      <c r="ISP1" t="s">
        <v>8120</v>
      </c>
      <c r="ISQ1" t="s">
        <v>8121</v>
      </c>
      <c r="ISR1" t="s">
        <v>8122</v>
      </c>
      <c r="ISS1" t="s">
        <v>8123</v>
      </c>
      <c r="IST1" t="s">
        <v>8124</v>
      </c>
      <c r="ISU1" t="s">
        <v>8125</v>
      </c>
      <c r="ISV1" t="s">
        <v>8126</v>
      </c>
      <c r="ISW1" t="s">
        <v>8127</v>
      </c>
      <c r="ISX1" t="s">
        <v>8128</v>
      </c>
      <c r="ISY1" t="s">
        <v>8129</v>
      </c>
      <c r="ISZ1" t="s">
        <v>8130</v>
      </c>
      <c r="ITA1" t="s">
        <v>8131</v>
      </c>
      <c r="ITB1" t="s">
        <v>8132</v>
      </c>
      <c r="ITC1" t="s">
        <v>8133</v>
      </c>
      <c r="ITD1" t="s">
        <v>8134</v>
      </c>
      <c r="ITE1" t="s">
        <v>8135</v>
      </c>
      <c r="ITF1" t="s">
        <v>8136</v>
      </c>
      <c r="ITG1" t="s">
        <v>8137</v>
      </c>
      <c r="ITH1" t="s">
        <v>8138</v>
      </c>
      <c r="ITI1" t="s">
        <v>8139</v>
      </c>
      <c r="ITJ1" t="s">
        <v>8140</v>
      </c>
      <c r="ITK1" t="s">
        <v>8141</v>
      </c>
      <c r="ITL1" t="s">
        <v>8142</v>
      </c>
      <c r="ITM1" t="s">
        <v>8143</v>
      </c>
      <c r="ITN1" t="s">
        <v>8144</v>
      </c>
      <c r="ITO1" t="s">
        <v>8145</v>
      </c>
      <c r="ITP1" t="s">
        <v>8146</v>
      </c>
      <c r="ITQ1" t="s">
        <v>8147</v>
      </c>
      <c r="ITR1" t="s">
        <v>8148</v>
      </c>
      <c r="ITS1" t="s">
        <v>8149</v>
      </c>
      <c r="ITT1" t="s">
        <v>8150</v>
      </c>
      <c r="ITU1" t="s">
        <v>8151</v>
      </c>
      <c r="ITV1" t="s">
        <v>8152</v>
      </c>
      <c r="ITW1" t="s">
        <v>8153</v>
      </c>
      <c r="ITX1" t="s">
        <v>8154</v>
      </c>
      <c r="ITY1" t="s">
        <v>8155</v>
      </c>
      <c r="ITZ1" t="s">
        <v>8156</v>
      </c>
      <c r="IUA1" t="s">
        <v>8157</v>
      </c>
      <c r="IUB1" t="s">
        <v>8158</v>
      </c>
      <c r="IUC1" t="s">
        <v>8159</v>
      </c>
      <c r="IUD1" t="s">
        <v>8160</v>
      </c>
      <c r="IUE1" t="s">
        <v>8161</v>
      </c>
      <c r="IUF1" t="s">
        <v>8162</v>
      </c>
      <c r="IUG1" t="s">
        <v>8163</v>
      </c>
      <c r="IUH1" t="s">
        <v>8164</v>
      </c>
      <c r="IUI1" t="s">
        <v>8165</v>
      </c>
      <c r="IUJ1" t="s">
        <v>8166</v>
      </c>
      <c r="IUK1" t="s">
        <v>8167</v>
      </c>
      <c r="IUL1" t="s">
        <v>8168</v>
      </c>
      <c r="IUM1" t="s">
        <v>8169</v>
      </c>
      <c r="IUN1" t="s">
        <v>8170</v>
      </c>
      <c r="IUO1" t="s">
        <v>8171</v>
      </c>
      <c r="IUP1" t="s">
        <v>8172</v>
      </c>
      <c r="IUQ1" t="s">
        <v>8173</v>
      </c>
      <c r="IUR1" t="s">
        <v>8174</v>
      </c>
      <c r="IUS1" t="s">
        <v>8175</v>
      </c>
      <c r="IUT1" t="s">
        <v>8176</v>
      </c>
      <c r="IUU1" t="s">
        <v>8177</v>
      </c>
      <c r="IUV1" t="s">
        <v>8178</v>
      </c>
      <c r="IUW1" t="s">
        <v>8179</v>
      </c>
      <c r="IUX1" t="s">
        <v>8180</v>
      </c>
      <c r="IUY1" t="s">
        <v>8181</v>
      </c>
      <c r="IUZ1" t="s">
        <v>8182</v>
      </c>
      <c r="IVA1" t="s">
        <v>8183</v>
      </c>
      <c r="IVB1" t="s">
        <v>8184</v>
      </c>
      <c r="IVC1" t="s">
        <v>8185</v>
      </c>
      <c r="IVD1" t="s">
        <v>8186</v>
      </c>
      <c r="IVE1" t="s">
        <v>8187</v>
      </c>
      <c r="IVF1" t="s">
        <v>8188</v>
      </c>
      <c r="IVG1" t="s">
        <v>8189</v>
      </c>
      <c r="IVH1" t="s">
        <v>8190</v>
      </c>
      <c r="IVI1" t="s">
        <v>8191</v>
      </c>
      <c r="IVJ1" t="s">
        <v>8192</v>
      </c>
      <c r="IVK1" t="s">
        <v>8193</v>
      </c>
      <c r="IVL1" t="s">
        <v>8194</v>
      </c>
      <c r="IVM1" t="s">
        <v>8195</v>
      </c>
      <c r="IVN1" t="s">
        <v>8196</v>
      </c>
      <c r="IVO1" t="s">
        <v>8197</v>
      </c>
      <c r="IVP1" t="s">
        <v>8198</v>
      </c>
      <c r="IVQ1" t="s">
        <v>8199</v>
      </c>
      <c r="IVR1" t="s">
        <v>8200</v>
      </c>
      <c r="IVS1" t="s">
        <v>8201</v>
      </c>
      <c r="IVT1" t="s">
        <v>8202</v>
      </c>
      <c r="IVU1" t="s">
        <v>8203</v>
      </c>
      <c r="IVV1" t="s">
        <v>8204</v>
      </c>
      <c r="IVW1" t="s">
        <v>8205</v>
      </c>
      <c r="IVX1" t="s">
        <v>8206</v>
      </c>
      <c r="IVY1" t="s">
        <v>8207</v>
      </c>
      <c r="IVZ1" t="s">
        <v>8208</v>
      </c>
      <c r="IWA1" t="s">
        <v>8209</v>
      </c>
      <c r="IWB1" t="s">
        <v>8210</v>
      </c>
      <c r="IWC1" t="s">
        <v>8211</v>
      </c>
      <c r="IWD1" t="s">
        <v>8212</v>
      </c>
      <c r="IWE1" t="s">
        <v>8213</v>
      </c>
      <c r="IWF1" t="s">
        <v>8214</v>
      </c>
      <c r="IWG1" t="s">
        <v>8215</v>
      </c>
      <c r="IWH1" t="s">
        <v>8216</v>
      </c>
      <c r="IWI1" t="s">
        <v>8217</v>
      </c>
      <c r="IWJ1" t="s">
        <v>8218</v>
      </c>
      <c r="IWK1" t="s">
        <v>8219</v>
      </c>
      <c r="IWL1" t="s">
        <v>8220</v>
      </c>
      <c r="IWM1" t="s">
        <v>8221</v>
      </c>
      <c r="IWN1" t="s">
        <v>8222</v>
      </c>
      <c r="IWO1" t="s">
        <v>8223</v>
      </c>
      <c r="IWP1" t="s">
        <v>8224</v>
      </c>
      <c r="IWQ1" t="s">
        <v>8225</v>
      </c>
      <c r="IWR1" t="s">
        <v>8226</v>
      </c>
      <c r="IWS1" t="s">
        <v>8227</v>
      </c>
      <c r="IWT1" t="s">
        <v>8228</v>
      </c>
      <c r="IWU1" t="s">
        <v>8229</v>
      </c>
      <c r="IWV1" t="s">
        <v>8230</v>
      </c>
      <c r="IWW1" t="s">
        <v>8231</v>
      </c>
      <c r="IWX1" t="s">
        <v>8232</v>
      </c>
      <c r="IWY1" t="s">
        <v>8233</v>
      </c>
      <c r="IWZ1" t="s">
        <v>8234</v>
      </c>
      <c r="IXA1" t="s">
        <v>8235</v>
      </c>
      <c r="IXB1" t="s">
        <v>8236</v>
      </c>
      <c r="IXC1" t="s">
        <v>8237</v>
      </c>
      <c r="IXD1" t="s">
        <v>8238</v>
      </c>
      <c r="IXE1" t="s">
        <v>8239</v>
      </c>
      <c r="IXF1" t="s">
        <v>8240</v>
      </c>
      <c r="IXG1" t="s">
        <v>8241</v>
      </c>
      <c r="IXH1" t="s">
        <v>8242</v>
      </c>
      <c r="IXI1" t="s">
        <v>8243</v>
      </c>
      <c r="IXJ1" t="s">
        <v>8244</v>
      </c>
      <c r="IXK1" t="s">
        <v>8245</v>
      </c>
      <c r="IXL1" t="s">
        <v>8246</v>
      </c>
      <c r="IXM1" t="s">
        <v>8247</v>
      </c>
      <c r="IXN1" t="s">
        <v>8248</v>
      </c>
      <c r="IXO1" t="s">
        <v>8249</v>
      </c>
      <c r="IXP1" t="s">
        <v>8250</v>
      </c>
      <c r="IXQ1" t="s">
        <v>8251</v>
      </c>
      <c r="IXR1" t="s">
        <v>8252</v>
      </c>
      <c r="IXS1" t="s">
        <v>8253</v>
      </c>
      <c r="IXT1" t="s">
        <v>8254</v>
      </c>
      <c r="IXU1" t="s">
        <v>8255</v>
      </c>
      <c r="IXV1" t="s">
        <v>8256</v>
      </c>
      <c r="IXW1" t="s">
        <v>8257</v>
      </c>
      <c r="IXX1" t="s">
        <v>8258</v>
      </c>
      <c r="IXY1" t="s">
        <v>8259</v>
      </c>
      <c r="IXZ1" t="s">
        <v>8260</v>
      </c>
      <c r="IYA1" t="s">
        <v>8261</v>
      </c>
      <c r="IYB1" t="s">
        <v>8262</v>
      </c>
      <c r="IYC1" t="s">
        <v>8263</v>
      </c>
      <c r="IYD1" t="s">
        <v>8264</v>
      </c>
      <c r="IYE1" t="s">
        <v>8265</v>
      </c>
      <c r="IYF1" t="s">
        <v>8266</v>
      </c>
      <c r="IYG1" t="s">
        <v>8267</v>
      </c>
      <c r="IYH1" t="s">
        <v>8268</v>
      </c>
      <c r="IYI1" t="s">
        <v>8269</v>
      </c>
      <c r="IYJ1" t="s">
        <v>8270</v>
      </c>
      <c r="IYK1" t="s">
        <v>8271</v>
      </c>
      <c r="IYL1" t="s">
        <v>8272</v>
      </c>
      <c r="IYM1" t="s">
        <v>8273</v>
      </c>
      <c r="IYN1" t="s">
        <v>8274</v>
      </c>
      <c r="IYO1" t="s">
        <v>8275</v>
      </c>
      <c r="IYP1" t="s">
        <v>8276</v>
      </c>
      <c r="IYQ1" t="s">
        <v>8277</v>
      </c>
      <c r="IYR1" t="s">
        <v>8278</v>
      </c>
      <c r="IYS1" t="s">
        <v>8279</v>
      </c>
      <c r="IYT1" t="s">
        <v>8280</v>
      </c>
      <c r="IYU1" t="s">
        <v>8281</v>
      </c>
      <c r="IYV1" t="s">
        <v>8282</v>
      </c>
      <c r="IYW1" t="s">
        <v>8283</v>
      </c>
      <c r="IYX1" t="s">
        <v>8284</v>
      </c>
      <c r="IYY1" t="s">
        <v>8285</v>
      </c>
      <c r="IYZ1" t="s">
        <v>8286</v>
      </c>
      <c r="IZA1" t="s">
        <v>8287</v>
      </c>
      <c r="IZB1" t="s">
        <v>8288</v>
      </c>
      <c r="IZC1" t="s">
        <v>8289</v>
      </c>
      <c r="IZD1" t="s">
        <v>8290</v>
      </c>
      <c r="IZE1" t="s">
        <v>8291</v>
      </c>
      <c r="IZF1" t="s">
        <v>8292</v>
      </c>
      <c r="IZG1" t="s">
        <v>8293</v>
      </c>
      <c r="IZH1" t="s">
        <v>8294</v>
      </c>
      <c r="IZI1" t="s">
        <v>8295</v>
      </c>
      <c r="IZJ1" t="s">
        <v>8296</v>
      </c>
      <c r="IZK1" t="s">
        <v>8297</v>
      </c>
      <c r="IZL1" t="s">
        <v>8298</v>
      </c>
      <c r="IZM1" t="s">
        <v>8299</v>
      </c>
      <c r="IZN1" t="s">
        <v>8300</v>
      </c>
      <c r="IZO1" t="s">
        <v>8301</v>
      </c>
      <c r="IZP1" t="s">
        <v>8302</v>
      </c>
      <c r="IZQ1" t="s">
        <v>8303</v>
      </c>
      <c r="IZR1" t="s">
        <v>8304</v>
      </c>
      <c r="IZS1" t="s">
        <v>8305</v>
      </c>
      <c r="IZT1" t="s">
        <v>8306</v>
      </c>
      <c r="IZU1" t="s">
        <v>8307</v>
      </c>
      <c r="IZV1" t="s">
        <v>8308</v>
      </c>
      <c r="IZW1" t="s">
        <v>8309</v>
      </c>
      <c r="IZX1" t="s">
        <v>8310</v>
      </c>
      <c r="IZY1" t="s">
        <v>8311</v>
      </c>
      <c r="IZZ1" t="s">
        <v>8312</v>
      </c>
      <c r="JAA1" t="s">
        <v>8313</v>
      </c>
      <c r="JAB1" t="s">
        <v>8314</v>
      </c>
      <c r="JAC1" t="s">
        <v>8315</v>
      </c>
      <c r="JAD1" t="s">
        <v>8316</v>
      </c>
      <c r="JAE1" t="s">
        <v>8317</v>
      </c>
      <c r="JAF1" t="s">
        <v>8318</v>
      </c>
      <c r="JAG1" t="s">
        <v>8319</v>
      </c>
      <c r="JAH1" t="s">
        <v>8320</v>
      </c>
      <c r="JAI1" t="s">
        <v>8321</v>
      </c>
      <c r="JAJ1" t="s">
        <v>8322</v>
      </c>
      <c r="JAK1" t="s">
        <v>8323</v>
      </c>
      <c r="JAL1" t="s">
        <v>8324</v>
      </c>
      <c r="JAM1" t="s">
        <v>8325</v>
      </c>
      <c r="JAN1" t="s">
        <v>8326</v>
      </c>
      <c r="JAO1" t="s">
        <v>8327</v>
      </c>
      <c r="JAP1" t="s">
        <v>8328</v>
      </c>
      <c r="JAQ1" t="s">
        <v>8329</v>
      </c>
      <c r="JAR1" t="s">
        <v>8330</v>
      </c>
      <c r="JAS1" t="s">
        <v>8331</v>
      </c>
      <c r="JAT1" t="s">
        <v>8332</v>
      </c>
      <c r="JAU1" t="s">
        <v>8333</v>
      </c>
      <c r="JAV1" t="s">
        <v>8334</v>
      </c>
      <c r="JAW1" t="s">
        <v>8335</v>
      </c>
      <c r="JAX1" t="s">
        <v>8336</v>
      </c>
      <c r="JAY1" t="s">
        <v>8337</v>
      </c>
      <c r="JAZ1" t="s">
        <v>8338</v>
      </c>
      <c r="JBA1" t="s">
        <v>8339</v>
      </c>
      <c r="JBB1" t="s">
        <v>8340</v>
      </c>
      <c r="JBC1" t="s">
        <v>8341</v>
      </c>
      <c r="JBD1" t="s">
        <v>8342</v>
      </c>
      <c r="JBE1" t="s">
        <v>8343</v>
      </c>
      <c r="JBF1" t="s">
        <v>8344</v>
      </c>
      <c r="JBG1" t="s">
        <v>8345</v>
      </c>
      <c r="JBH1" t="s">
        <v>8346</v>
      </c>
      <c r="JBI1" t="s">
        <v>8347</v>
      </c>
      <c r="JBJ1" t="s">
        <v>8348</v>
      </c>
      <c r="JBK1" t="s">
        <v>8349</v>
      </c>
      <c r="JBL1" t="s">
        <v>8350</v>
      </c>
      <c r="JBM1" t="s">
        <v>8351</v>
      </c>
      <c r="JBN1" t="s">
        <v>8352</v>
      </c>
      <c r="JBO1" t="s">
        <v>8353</v>
      </c>
      <c r="JBP1" t="s">
        <v>8354</v>
      </c>
      <c r="JBQ1" t="s">
        <v>8355</v>
      </c>
      <c r="JBR1" t="s">
        <v>8356</v>
      </c>
      <c r="JBS1" t="s">
        <v>8357</v>
      </c>
      <c r="JBT1" t="s">
        <v>8358</v>
      </c>
      <c r="JBU1" t="s">
        <v>8359</v>
      </c>
      <c r="JBV1" t="s">
        <v>8360</v>
      </c>
      <c r="JBW1" t="s">
        <v>8361</v>
      </c>
      <c r="JBX1" t="s">
        <v>8362</v>
      </c>
      <c r="JBY1" t="s">
        <v>8363</v>
      </c>
      <c r="JBZ1" t="s">
        <v>8364</v>
      </c>
      <c r="JCA1" t="s">
        <v>8365</v>
      </c>
      <c r="JCB1" t="s">
        <v>8366</v>
      </c>
      <c r="JCC1" t="s">
        <v>8367</v>
      </c>
      <c r="JCD1" t="s">
        <v>8368</v>
      </c>
      <c r="JCE1" t="s">
        <v>8369</v>
      </c>
      <c r="JCF1" t="s">
        <v>8370</v>
      </c>
      <c r="JCG1" t="s">
        <v>8371</v>
      </c>
      <c r="JCH1" t="s">
        <v>8372</v>
      </c>
      <c r="JCI1" t="s">
        <v>8373</v>
      </c>
      <c r="JCJ1" t="s">
        <v>8374</v>
      </c>
      <c r="JCK1" t="s">
        <v>8375</v>
      </c>
      <c r="JCL1" t="s">
        <v>8376</v>
      </c>
      <c r="JCM1" t="s">
        <v>8377</v>
      </c>
      <c r="JCN1" t="s">
        <v>8378</v>
      </c>
      <c r="JCO1" t="s">
        <v>8379</v>
      </c>
      <c r="JCP1" t="s">
        <v>8380</v>
      </c>
      <c r="JCQ1" t="s">
        <v>8381</v>
      </c>
      <c r="JCR1" t="s">
        <v>8382</v>
      </c>
      <c r="JCS1" t="s">
        <v>8383</v>
      </c>
      <c r="JCT1" t="s">
        <v>8384</v>
      </c>
      <c r="JCU1" t="s">
        <v>8385</v>
      </c>
      <c r="JCV1" t="s">
        <v>8386</v>
      </c>
      <c r="JCW1" t="s">
        <v>8387</v>
      </c>
      <c r="JCX1" t="s">
        <v>8388</v>
      </c>
      <c r="JCY1" t="s">
        <v>8389</v>
      </c>
      <c r="JCZ1" t="s">
        <v>8390</v>
      </c>
      <c r="JDA1" t="s">
        <v>8391</v>
      </c>
      <c r="JDB1" t="s">
        <v>8392</v>
      </c>
      <c r="JDC1" t="s">
        <v>8393</v>
      </c>
      <c r="JDD1" t="s">
        <v>8394</v>
      </c>
      <c r="JDE1" t="s">
        <v>8395</v>
      </c>
      <c r="JDF1" t="s">
        <v>8396</v>
      </c>
      <c r="JDG1" t="s">
        <v>8397</v>
      </c>
      <c r="JDH1" t="s">
        <v>8398</v>
      </c>
      <c r="JDI1" t="s">
        <v>8399</v>
      </c>
      <c r="JDJ1" t="s">
        <v>8400</v>
      </c>
      <c r="JDK1" t="s">
        <v>8401</v>
      </c>
      <c r="JDL1" t="s">
        <v>8402</v>
      </c>
      <c r="JDM1" t="s">
        <v>8403</v>
      </c>
      <c r="JDN1" t="s">
        <v>8404</v>
      </c>
      <c r="JDO1" t="s">
        <v>8405</v>
      </c>
      <c r="JDP1" t="s">
        <v>8406</v>
      </c>
      <c r="JDQ1" t="s">
        <v>8407</v>
      </c>
      <c r="JDR1" t="s">
        <v>8408</v>
      </c>
      <c r="JDS1" t="s">
        <v>8409</v>
      </c>
      <c r="JDT1" t="s">
        <v>8410</v>
      </c>
      <c r="JDU1" t="s">
        <v>8411</v>
      </c>
      <c r="JDV1" t="s">
        <v>8412</v>
      </c>
      <c r="JDW1" t="s">
        <v>8413</v>
      </c>
      <c r="JDX1" t="s">
        <v>8414</v>
      </c>
      <c r="JDY1" t="s">
        <v>8415</v>
      </c>
      <c r="JDZ1" t="s">
        <v>8416</v>
      </c>
      <c r="JEA1" t="s">
        <v>8417</v>
      </c>
      <c r="JEB1" t="s">
        <v>8418</v>
      </c>
      <c r="JEC1" t="s">
        <v>8419</v>
      </c>
      <c r="JED1" t="s">
        <v>8420</v>
      </c>
      <c r="JEE1" t="s">
        <v>8421</v>
      </c>
      <c r="JEF1" t="s">
        <v>8422</v>
      </c>
      <c r="JEG1" t="s">
        <v>8423</v>
      </c>
      <c r="JEH1" t="s">
        <v>8424</v>
      </c>
      <c r="JEI1" t="s">
        <v>8425</v>
      </c>
      <c r="JEJ1" t="s">
        <v>8426</v>
      </c>
      <c r="JEK1" t="s">
        <v>8427</v>
      </c>
      <c r="JEL1" t="s">
        <v>8428</v>
      </c>
      <c r="JEM1" t="s">
        <v>8429</v>
      </c>
      <c r="JEN1" t="s">
        <v>8430</v>
      </c>
      <c r="JEO1" t="s">
        <v>8431</v>
      </c>
      <c r="JEP1" t="s">
        <v>8432</v>
      </c>
      <c r="JEQ1" t="s">
        <v>8433</v>
      </c>
      <c r="JER1" t="s">
        <v>8434</v>
      </c>
      <c r="JES1" t="s">
        <v>8435</v>
      </c>
      <c r="JET1" t="s">
        <v>8436</v>
      </c>
      <c r="JEU1" t="s">
        <v>8437</v>
      </c>
      <c r="JEV1" t="s">
        <v>8438</v>
      </c>
      <c r="JEW1" t="s">
        <v>8439</v>
      </c>
      <c r="JEX1" t="s">
        <v>8440</v>
      </c>
      <c r="JEY1" t="s">
        <v>8441</v>
      </c>
      <c r="JEZ1" t="s">
        <v>8442</v>
      </c>
      <c r="JFA1" t="s">
        <v>8443</v>
      </c>
      <c r="JFB1" t="s">
        <v>8444</v>
      </c>
      <c r="JFC1" t="s">
        <v>8445</v>
      </c>
      <c r="JFD1" t="s">
        <v>8446</v>
      </c>
      <c r="JFE1" t="s">
        <v>8447</v>
      </c>
      <c r="JFF1" t="s">
        <v>8448</v>
      </c>
      <c r="JFG1" t="s">
        <v>8449</v>
      </c>
      <c r="JFH1" t="s">
        <v>8450</v>
      </c>
      <c r="JFI1" t="s">
        <v>8451</v>
      </c>
      <c r="JFJ1" t="s">
        <v>8452</v>
      </c>
      <c r="JFK1" t="s">
        <v>8453</v>
      </c>
      <c r="JFL1" t="s">
        <v>8454</v>
      </c>
      <c r="JFM1" t="s">
        <v>8455</v>
      </c>
      <c r="JFN1" t="s">
        <v>8456</v>
      </c>
      <c r="JFO1" t="s">
        <v>8457</v>
      </c>
      <c r="JFP1" t="s">
        <v>8458</v>
      </c>
      <c r="JFQ1" t="s">
        <v>8459</v>
      </c>
      <c r="JFR1" t="s">
        <v>8460</v>
      </c>
      <c r="JFS1" t="s">
        <v>8461</v>
      </c>
      <c r="JFT1" t="s">
        <v>8462</v>
      </c>
      <c r="JFU1" t="s">
        <v>8463</v>
      </c>
      <c r="JFV1" t="s">
        <v>8464</v>
      </c>
      <c r="JFW1" t="s">
        <v>8465</v>
      </c>
      <c r="JFX1" t="s">
        <v>8466</v>
      </c>
      <c r="JFY1" t="s">
        <v>8467</v>
      </c>
      <c r="JFZ1" t="s">
        <v>8468</v>
      </c>
      <c r="JGA1" t="s">
        <v>8469</v>
      </c>
      <c r="JGB1" t="s">
        <v>8470</v>
      </c>
      <c r="JGC1" t="s">
        <v>8471</v>
      </c>
      <c r="JGD1" t="s">
        <v>8472</v>
      </c>
      <c r="JGE1" t="s">
        <v>8473</v>
      </c>
      <c r="JGF1" t="s">
        <v>8474</v>
      </c>
      <c r="JGG1" t="s">
        <v>8475</v>
      </c>
      <c r="JGH1" t="s">
        <v>8476</v>
      </c>
      <c r="JGI1" t="s">
        <v>8477</v>
      </c>
      <c r="JGJ1" t="s">
        <v>8478</v>
      </c>
      <c r="JGK1" t="s">
        <v>8479</v>
      </c>
      <c r="JGL1" t="s">
        <v>8480</v>
      </c>
      <c r="JGM1" t="s">
        <v>8481</v>
      </c>
      <c r="JGN1" t="s">
        <v>8482</v>
      </c>
      <c r="JGO1" t="s">
        <v>8483</v>
      </c>
      <c r="JGP1" t="s">
        <v>8484</v>
      </c>
      <c r="JGQ1" t="s">
        <v>8485</v>
      </c>
      <c r="JGR1" t="s">
        <v>8486</v>
      </c>
      <c r="JGS1" t="s">
        <v>8487</v>
      </c>
      <c r="JGT1" t="s">
        <v>8488</v>
      </c>
      <c r="JGU1" t="s">
        <v>8489</v>
      </c>
      <c r="JGV1" t="s">
        <v>8490</v>
      </c>
      <c r="JGW1" t="s">
        <v>8491</v>
      </c>
      <c r="JGX1" t="s">
        <v>8492</v>
      </c>
      <c r="JGY1" t="s">
        <v>8493</v>
      </c>
      <c r="JGZ1" t="s">
        <v>8494</v>
      </c>
      <c r="JHA1" t="s">
        <v>8495</v>
      </c>
      <c r="JHB1" t="s">
        <v>8496</v>
      </c>
      <c r="JHC1" t="s">
        <v>8497</v>
      </c>
      <c r="JHD1" t="s">
        <v>8498</v>
      </c>
      <c r="JHE1" t="s">
        <v>8499</v>
      </c>
      <c r="JHF1" t="s">
        <v>8500</v>
      </c>
      <c r="JHG1" t="s">
        <v>8501</v>
      </c>
      <c r="JHH1" t="s">
        <v>8502</v>
      </c>
      <c r="JHI1" t="s">
        <v>8503</v>
      </c>
      <c r="JHJ1" t="s">
        <v>8504</v>
      </c>
      <c r="JHK1" t="s">
        <v>8505</v>
      </c>
      <c r="JHL1" t="s">
        <v>8506</v>
      </c>
      <c r="JHM1" t="s">
        <v>8507</v>
      </c>
      <c r="JHN1" t="s">
        <v>8508</v>
      </c>
      <c r="JHO1" t="s">
        <v>8509</v>
      </c>
      <c r="JHP1" t="s">
        <v>8510</v>
      </c>
      <c r="JHQ1" t="s">
        <v>8511</v>
      </c>
      <c r="JHR1" t="s">
        <v>8512</v>
      </c>
      <c r="JHS1" t="s">
        <v>8513</v>
      </c>
      <c r="JHT1" t="s">
        <v>8514</v>
      </c>
      <c r="JHU1" t="s">
        <v>8515</v>
      </c>
      <c r="JHV1" t="s">
        <v>8516</v>
      </c>
      <c r="JHW1" t="s">
        <v>8517</v>
      </c>
      <c r="JHX1" t="s">
        <v>8518</v>
      </c>
      <c r="JHY1" t="s">
        <v>8519</v>
      </c>
      <c r="JHZ1" t="s">
        <v>8520</v>
      </c>
      <c r="JIA1" t="s">
        <v>8521</v>
      </c>
      <c r="JIB1" t="s">
        <v>8522</v>
      </c>
      <c r="JIC1" t="s">
        <v>8523</v>
      </c>
      <c r="JID1" t="s">
        <v>8524</v>
      </c>
      <c r="JIE1" t="s">
        <v>8525</v>
      </c>
      <c r="JIF1" t="s">
        <v>8526</v>
      </c>
      <c r="JIG1" t="s">
        <v>8527</v>
      </c>
      <c r="JIH1" t="s">
        <v>8528</v>
      </c>
      <c r="JII1" t="s">
        <v>8529</v>
      </c>
      <c r="JIJ1" t="s">
        <v>8530</v>
      </c>
      <c r="JIK1" t="s">
        <v>8531</v>
      </c>
      <c r="JIL1" t="s">
        <v>8532</v>
      </c>
      <c r="JIM1" t="s">
        <v>8533</v>
      </c>
      <c r="JIN1" t="s">
        <v>8534</v>
      </c>
      <c r="JIO1" t="s">
        <v>8535</v>
      </c>
      <c r="JIP1" t="s">
        <v>8536</v>
      </c>
      <c r="JIQ1" t="s">
        <v>8537</v>
      </c>
      <c r="JIR1" t="s">
        <v>8538</v>
      </c>
      <c r="JIS1" t="s">
        <v>8539</v>
      </c>
      <c r="JIT1" t="s">
        <v>8540</v>
      </c>
      <c r="JIU1" t="s">
        <v>8541</v>
      </c>
      <c r="JIV1" t="s">
        <v>8542</v>
      </c>
      <c r="JIW1" t="s">
        <v>8543</v>
      </c>
      <c r="JIX1" t="s">
        <v>8544</v>
      </c>
      <c r="JIY1" t="s">
        <v>8545</v>
      </c>
      <c r="JIZ1" t="s">
        <v>8546</v>
      </c>
      <c r="JJA1" t="s">
        <v>8547</v>
      </c>
      <c r="JJB1" t="s">
        <v>8548</v>
      </c>
      <c r="JJC1" t="s">
        <v>8549</v>
      </c>
      <c r="JJD1" t="s">
        <v>8550</v>
      </c>
      <c r="JJE1" t="s">
        <v>8551</v>
      </c>
      <c r="JJF1" t="s">
        <v>8552</v>
      </c>
      <c r="JJG1" t="s">
        <v>8553</v>
      </c>
      <c r="JJH1" t="s">
        <v>8554</v>
      </c>
      <c r="JJI1" t="s">
        <v>8555</v>
      </c>
      <c r="JJJ1" t="s">
        <v>8556</v>
      </c>
      <c r="JJK1" t="s">
        <v>8557</v>
      </c>
      <c r="JJL1" t="s">
        <v>8558</v>
      </c>
      <c r="JJM1" t="s">
        <v>8559</v>
      </c>
      <c r="JJN1" t="s">
        <v>8560</v>
      </c>
      <c r="JJO1" t="s">
        <v>8561</v>
      </c>
      <c r="JJP1" t="s">
        <v>8562</v>
      </c>
      <c r="JJQ1" t="s">
        <v>8563</v>
      </c>
      <c r="JJR1" t="s">
        <v>8564</v>
      </c>
      <c r="JJS1" t="s">
        <v>8565</v>
      </c>
      <c r="JJT1" t="s">
        <v>8566</v>
      </c>
      <c r="JJU1" t="s">
        <v>8567</v>
      </c>
      <c r="JJV1" t="s">
        <v>8568</v>
      </c>
      <c r="JJW1" t="s">
        <v>8569</v>
      </c>
      <c r="JJX1" t="s">
        <v>8570</v>
      </c>
      <c r="JJY1" t="s">
        <v>8571</v>
      </c>
      <c r="JJZ1" t="s">
        <v>8572</v>
      </c>
      <c r="JKA1" t="s">
        <v>8573</v>
      </c>
      <c r="JKB1" t="s">
        <v>8574</v>
      </c>
      <c r="JKC1" t="s">
        <v>8575</v>
      </c>
      <c r="JKD1" t="s">
        <v>8576</v>
      </c>
      <c r="JKE1" t="s">
        <v>8577</v>
      </c>
      <c r="JKF1" t="s">
        <v>8578</v>
      </c>
      <c r="JKG1" t="s">
        <v>8579</v>
      </c>
      <c r="JKH1" t="s">
        <v>8580</v>
      </c>
      <c r="JKI1" t="s">
        <v>8581</v>
      </c>
      <c r="JKJ1" t="s">
        <v>8582</v>
      </c>
      <c r="JKK1" t="s">
        <v>8583</v>
      </c>
      <c r="JKL1" t="s">
        <v>8584</v>
      </c>
      <c r="JKM1" t="s">
        <v>8585</v>
      </c>
      <c r="JKN1" t="s">
        <v>8586</v>
      </c>
      <c r="JKO1" t="s">
        <v>8587</v>
      </c>
      <c r="JKP1" t="s">
        <v>8588</v>
      </c>
      <c r="JKQ1" t="s">
        <v>8589</v>
      </c>
      <c r="JKR1" t="s">
        <v>8590</v>
      </c>
      <c r="JKS1" t="s">
        <v>8591</v>
      </c>
      <c r="JKT1" t="s">
        <v>8592</v>
      </c>
      <c r="JKU1" t="s">
        <v>8593</v>
      </c>
      <c r="JKV1" t="s">
        <v>8594</v>
      </c>
      <c r="JKW1" t="s">
        <v>8595</v>
      </c>
      <c r="JKX1" t="s">
        <v>8596</v>
      </c>
      <c r="JKY1" t="s">
        <v>8597</v>
      </c>
      <c r="JKZ1" t="s">
        <v>8598</v>
      </c>
      <c r="JLA1" t="s">
        <v>8599</v>
      </c>
      <c r="JLB1" t="s">
        <v>8600</v>
      </c>
      <c r="JLC1" t="s">
        <v>8601</v>
      </c>
      <c r="JLD1" t="s">
        <v>8602</v>
      </c>
      <c r="JLE1" t="s">
        <v>8603</v>
      </c>
      <c r="JLF1" t="s">
        <v>8604</v>
      </c>
      <c r="JLG1" t="s">
        <v>8605</v>
      </c>
      <c r="JLH1" t="s">
        <v>8606</v>
      </c>
      <c r="JLI1" t="s">
        <v>8607</v>
      </c>
      <c r="JLJ1" t="s">
        <v>8608</v>
      </c>
      <c r="JLK1" t="s">
        <v>8609</v>
      </c>
      <c r="JLL1" t="s">
        <v>8610</v>
      </c>
      <c r="JLM1" t="s">
        <v>8611</v>
      </c>
      <c r="JLN1" t="s">
        <v>8612</v>
      </c>
      <c r="JLO1" t="s">
        <v>8613</v>
      </c>
      <c r="JLP1" t="s">
        <v>8614</v>
      </c>
      <c r="JLQ1" t="s">
        <v>8615</v>
      </c>
      <c r="JLR1" t="s">
        <v>8616</v>
      </c>
      <c r="JLS1" t="s">
        <v>8617</v>
      </c>
      <c r="JLT1" t="s">
        <v>8618</v>
      </c>
      <c r="JLU1" t="s">
        <v>8619</v>
      </c>
      <c r="JLV1" t="s">
        <v>8620</v>
      </c>
      <c r="JLW1" t="s">
        <v>8621</v>
      </c>
      <c r="JLX1" t="s">
        <v>8622</v>
      </c>
      <c r="JLY1" t="s">
        <v>8623</v>
      </c>
      <c r="JLZ1" t="s">
        <v>8624</v>
      </c>
      <c r="JMA1" t="s">
        <v>8625</v>
      </c>
      <c r="JMB1" t="s">
        <v>8626</v>
      </c>
      <c r="JMC1" t="s">
        <v>8627</v>
      </c>
      <c r="JMD1" t="s">
        <v>8628</v>
      </c>
      <c r="JME1" t="s">
        <v>8629</v>
      </c>
      <c r="JMF1" t="s">
        <v>8630</v>
      </c>
      <c r="JMG1" t="s">
        <v>8631</v>
      </c>
      <c r="JMH1" t="s">
        <v>8632</v>
      </c>
      <c r="JMI1" t="s">
        <v>8633</v>
      </c>
      <c r="JMJ1" t="s">
        <v>8634</v>
      </c>
      <c r="JMK1" t="s">
        <v>8635</v>
      </c>
      <c r="JML1" t="s">
        <v>8636</v>
      </c>
      <c r="JMM1" t="s">
        <v>8637</v>
      </c>
      <c r="JMN1" t="s">
        <v>8638</v>
      </c>
      <c r="JMO1" t="s">
        <v>8639</v>
      </c>
      <c r="JMP1" t="s">
        <v>8640</v>
      </c>
      <c r="JMQ1" t="s">
        <v>8641</v>
      </c>
      <c r="JMR1" t="s">
        <v>8642</v>
      </c>
      <c r="JMS1" t="s">
        <v>8643</v>
      </c>
      <c r="JMT1" t="s">
        <v>8644</v>
      </c>
      <c r="JMU1" t="s">
        <v>8645</v>
      </c>
      <c r="JMV1" t="s">
        <v>8646</v>
      </c>
      <c r="JMW1" t="s">
        <v>8647</v>
      </c>
      <c r="JMX1" t="s">
        <v>8648</v>
      </c>
      <c r="JMY1" t="s">
        <v>8649</v>
      </c>
      <c r="JMZ1" t="s">
        <v>8650</v>
      </c>
      <c r="JNA1" t="s">
        <v>8651</v>
      </c>
      <c r="JNB1" t="s">
        <v>8652</v>
      </c>
      <c r="JNC1" t="s">
        <v>8653</v>
      </c>
      <c r="JND1" t="s">
        <v>8654</v>
      </c>
      <c r="JNE1" t="s">
        <v>8655</v>
      </c>
      <c r="JNF1" t="s">
        <v>8656</v>
      </c>
      <c r="JNG1" t="s">
        <v>8657</v>
      </c>
      <c r="JNH1" t="s">
        <v>8658</v>
      </c>
      <c r="JNI1" t="s">
        <v>8659</v>
      </c>
      <c r="JNJ1" t="s">
        <v>8660</v>
      </c>
      <c r="JNK1" t="s">
        <v>8661</v>
      </c>
      <c r="JNL1" t="s">
        <v>8662</v>
      </c>
      <c r="JNM1" t="s">
        <v>8663</v>
      </c>
      <c r="JNN1" t="s">
        <v>8664</v>
      </c>
      <c r="JNO1" t="s">
        <v>8665</v>
      </c>
      <c r="JNP1" t="s">
        <v>8666</v>
      </c>
      <c r="JNQ1" t="s">
        <v>8667</v>
      </c>
      <c r="JNR1" t="s">
        <v>8668</v>
      </c>
      <c r="JNS1" t="s">
        <v>8669</v>
      </c>
      <c r="JNT1" t="s">
        <v>8670</v>
      </c>
      <c r="JNU1" t="s">
        <v>8671</v>
      </c>
      <c r="JNV1" t="s">
        <v>8672</v>
      </c>
      <c r="JNW1" t="s">
        <v>8673</v>
      </c>
      <c r="JNX1" t="s">
        <v>8674</v>
      </c>
      <c r="JNY1" t="s">
        <v>8675</v>
      </c>
      <c r="JNZ1" t="s">
        <v>8676</v>
      </c>
      <c r="JOA1" t="s">
        <v>8677</v>
      </c>
      <c r="JOB1" t="s">
        <v>8678</v>
      </c>
      <c r="JOC1" t="s">
        <v>8679</v>
      </c>
      <c r="JOD1" t="s">
        <v>8680</v>
      </c>
      <c r="JOE1" t="s">
        <v>8681</v>
      </c>
      <c r="JOF1" t="s">
        <v>8682</v>
      </c>
      <c r="JOG1" t="s">
        <v>8683</v>
      </c>
      <c r="JOH1" t="s">
        <v>8684</v>
      </c>
      <c r="JOI1" t="s">
        <v>8685</v>
      </c>
      <c r="JOJ1" t="s">
        <v>8686</v>
      </c>
      <c r="JOK1" t="s">
        <v>8687</v>
      </c>
      <c r="JOL1" t="s">
        <v>8688</v>
      </c>
      <c r="JOM1" t="s">
        <v>8689</v>
      </c>
      <c r="JON1" t="s">
        <v>8690</v>
      </c>
      <c r="JOO1" t="s">
        <v>8691</v>
      </c>
      <c r="JOP1" t="s">
        <v>8692</v>
      </c>
      <c r="JOQ1" t="s">
        <v>8693</v>
      </c>
      <c r="JOR1" t="s">
        <v>8694</v>
      </c>
      <c r="JOS1" t="s">
        <v>8695</v>
      </c>
      <c r="JOT1" t="s">
        <v>8696</v>
      </c>
      <c r="JOU1" t="s">
        <v>8697</v>
      </c>
      <c r="JOV1" t="s">
        <v>8698</v>
      </c>
      <c r="JOW1" t="s">
        <v>8699</v>
      </c>
      <c r="JOX1" t="s">
        <v>8700</v>
      </c>
      <c r="JOY1" t="s">
        <v>8701</v>
      </c>
      <c r="JOZ1" t="s">
        <v>8702</v>
      </c>
      <c r="JPA1" t="s">
        <v>8703</v>
      </c>
      <c r="JPB1" t="s">
        <v>8704</v>
      </c>
      <c r="JPC1" t="s">
        <v>8705</v>
      </c>
      <c r="JPD1" t="s">
        <v>8706</v>
      </c>
      <c r="JPE1" t="s">
        <v>8707</v>
      </c>
      <c r="JPF1" t="s">
        <v>8708</v>
      </c>
      <c r="JPG1" t="s">
        <v>8709</v>
      </c>
      <c r="JPH1" t="s">
        <v>8710</v>
      </c>
      <c r="JPI1" t="s">
        <v>8711</v>
      </c>
      <c r="JPJ1" t="s">
        <v>8712</v>
      </c>
      <c r="JPK1" t="s">
        <v>8713</v>
      </c>
      <c r="JPL1" t="s">
        <v>8714</v>
      </c>
      <c r="JPM1" t="s">
        <v>8715</v>
      </c>
      <c r="JPN1" t="s">
        <v>8716</v>
      </c>
      <c r="JPO1" t="s">
        <v>8717</v>
      </c>
      <c r="JPP1" t="s">
        <v>8718</v>
      </c>
      <c r="JPQ1" t="s">
        <v>8719</v>
      </c>
      <c r="JPR1" t="s">
        <v>8720</v>
      </c>
      <c r="JPS1" t="s">
        <v>8721</v>
      </c>
      <c r="JPT1" t="s">
        <v>8722</v>
      </c>
      <c r="JPU1" t="s">
        <v>8723</v>
      </c>
      <c r="JPV1" t="s">
        <v>8724</v>
      </c>
      <c r="JPW1" t="s">
        <v>8725</v>
      </c>
      <c r="JPX1" t="s">
        <v>8726</v>
      </c>
      <c r="JPY1" t="s">
        <v>8727</v>
      </c>
      <c r="JPZ1" t="s">
        <v>8728</v>
      </c>
      <c r="JQA1" t="s">
        <v>8729</v>
      </c>
      <c r="JQB1" t="s">
        <v>8730</v>
      </c>
      <c r="JQC1" t="s">
        <v>8731</v>
      </c>
      <c r="JQD1" t="s">
        <v>8732</v>
      </c>
      <c r="JQE1" t="s">
        <v>8733</v>
      </c>
      <c r="JQF1" t="s">
        <v>8734</v>
      </c>
      <c r="JQG1" t="s">
        <v>8735</v>
      </c>
      <c r="JQH1" t="s">
        <v>8736</v>
      </c>
      <c r="JQI1" t="s">
        <v>8737</v>
      </c>
      <c r="JQJ1" t="s">
        <v>8738</v>
      </c>
      <c r="JQK1" t="s">
        <v>8739</v>
      </c>
      <c r="JQL1" t="s">
        <v>8740</v>
      </c>
      <c r="JQM1" t="s">
        <v>8741</v>
      </c>
      <c r="JQN1" t="s">
        <v>8742</v>
      </c>
      <c r="JQO1" t="s">
        <v>8743</v>
      </c>
      <c r="JQP1" t="s">
        <v>8744</v>
      </c>
      <c r="JQQ1" t="s">
        <v>8745</v>
      </c>
      <c r="JQR1" t="s">
        <v>8746</v>
      </c>
      <c r="JQS1" t="s">
        <v>8747</v>
      </c>
      <c r="JQT1" t="s">
        <v>8748</v>
      </c>
      <c r="JQU1" t="s">
        <v>8749</v>
      </c>
      <c r="JQV1" t="s">
        <v>8750</v>
      </c>
      <c r="JQW1" t="s">
        <v>8751</v>
      </c>
      <c r="JQX1" t="s">
        <v>8752</v>
      </c>
      <c r="JQY1" t="s">
        <v>8753</v>
      </c>
      <c r="JQZ1" t="s">
        <v>8754</v>
      </c>
      <c r="JRA1" t="s">
        <v>8755</v>
      </c>
      <c r="JRB1" t="s">
        <v>8756</v>
      </c>
      <c r="JRC1" t="s">
        <v>8757</v>
      </c>
      <c r="JRD1" t="s">
        <v>8758</v>
      </c>
      <c r="JRE1" t="s">
        <v>8759</v>
      </c>
      <c r="JRF1" t="s">
        <v>8760</v>
      </c>
      <c r="JRG1" t="s">
        <v>8761</v>
      </c>
      <c r="JRH1" t="s">
        <v>8762</v>
      </c>
      <c r="JRI1" t="s">
        <v>8763</v>
      </c>
      <c r="JRJ1" t="s">
        <v>8764</v>
      </c>
      <c r="JRK1" t="s">
        <v>8765</v>
      </c>
      <c r="JRL1" t="s">
        <v>8766</v>
      </c>
      <c r="JRM1" t="s">
        <v>8767</v>
      </c>
      <c r="JRN1" t="s">
        <v>8768</v>
      </c>
      <c r="JRO1" t="s">
        <v>8769</v>
      </c>
      <c r="JRP1" t="s">
        <v>8770</v>
      </c>
      <c r="JRQ1" t="s">
        <v>8771</v>
      </c>
      <c r="JRR1" t="s">
        <v>8772</v>
      </c>
      <c r="JRS1" t="s">
        <v>8773</v>
      </c>
      <c r="JRT1" t="s">
        <v>8774</v>
      </c>
      <c r="JRU1" t="s">
        <v>8775</v>
      </c>
      <c r="JRV1" t="s">
        <v>8776</v>
      </c>
      <c r="JRW1" t="s">
        <v>8777</v>
      </c>
      <c r="JRX1" t="s">
        <v>8778</v>
      </c>
      <c r="JRY1" t="s">
        <v>8779</v>
      </c>
      <c r="JRZ1" t="s">
        <v>8780</v>
      </c>
      <c r="JSA1" t="s">
        <v>8781</v>
      </c>
      <c r="JSB1" t="s">
        <v>8782</v>
      </c>
      <c r="JSC1" t="s">
        <v>8783</v>
      </c>
      <c r="JSD1" t="s">
        <v>8784</v>
      </c>
      <c r="JSE1" t="s">
        <v>8785</v>
      </c>
      <c r="JSF1" t="s">
        <v>8786</v>
      </c>
      <c r="JSG1" t="s">
        <v>8787</v>
      </c>
      <c r="JSH1" t="s">
        <v>8788</v>
      </c>
      <c r="JSI1" t="s">
        <v>8789</v>
      </c>
      <c r="JSJ1" t="s">
        <v>8790</v>
      </c>
      <c r="JSK1" t="s">
        <v>8791</v>
      </c>
      <c r="JSL1" t="s">
        <v>8792</v>
      </c>
      <c r="JSM1" t="s">
        <v>8793</v>
      </c>
      <c r="JSN1" t="s">
        <v>8794</v>
      </c>
      <c r="JSO1" t="s">
        <v>8795</v>
      </c>
      <c r="JSP1" t="s">
        <v>8796</v>
      </c>
      <c r="JSQ1" t="s">
        <v>8797</v>
      </c>
      <c r="JSR1" t="s">
        <v>8798</v>
      </c>
      <c r="JSS1" t="s">
        <v>8799</v>
      </c>
      <c r="JST1" t="s">
        <v>8800</v>
      </c>
      <c r="JSU1" t="s">
        <v>8801</v>
      </c>
      <c r="JSV1" t="s">
        <v>8802</v>
      </c>
      <c r="JSW1" t="s">
        <v>8803</v>
      </c>
      <c r="JSX1" t="s">
        <v>8804</v>
      </c>
      <c r="JSY1" t="s">
        <v>8805</v>
      </c>
      <c r="JSZ1" t="s">
        <v>8806</v>
      </c>
      <c r="JTA1" t="s">
        <v>8807</v>
      </c>
      <c r="JTB1" t="s">
        <v>8808</v>
      </c>
      <c r="JTC1" t="s">
        <v>8809</v>
      </c>
      <c r="JTD1" t="s">
        <v>8810</v>
      </c>
      <c r="JTE1" t="s">
        <v>8811</v>
      </c>
      <c r="JTF1" t="s">
        <v>8812</v>
      </c>
      <c r="JTG1" t="s">
        <v>8813</v>
      </c>
      <c r="JTH1" t="s">
        <v>8814</v>
      </c>
      <c r="JTI1" t="s">
        <v>8815</v>
      </c>
      <c r="JTJ1" t="s">
        <v>8816</v>
      </c>
      <c r="JTK1" t="s">
        <v>8817</v>
      </c>
      <c r="JTL1" t="s">
        <v>8818</v>
      </c>
      <c r="JTM1" t="s">
        <v>8819</v>
      </c>
      <c r="JTN1" t="s">
        <v>8820</v>
      </c>
      <c r="JTO1" t="s">
        <v>8821</v>
      </c>
      <c r="JTP1" t="s">
        <v>8822</v>
      </c>
      <c r="JTQ1" t="s">
        <v>8823</v>
      </c>
      <c r="JTR1" t="s">
        <v>8824</v>
      </c>
      <c r="JTS1" t="s">
        <v>8825</v>
      </c>
      <c r="JTT1" t="s">
        <v>8826</v>
      </c>
      <c r="JTU1" t="s">
        <v>8827</v>
      </c>
      <c r="JTV1" t="s">
        <v>8828</v>
      </c>
      <c r="JTW1" t="s">
        <v>8829</v>
      </c>
      <c r="JTX1" t="s">
        <v>8830</v>
      </c>
      <c r="JTY1" t="s">
        <v>8831</v>
      </c>
      <c r="JTZ1" t="s">
        <v>8832</v>
      </c>
      <c r="JUA1" t="s">
        <v>8833</v>
      </c>
      <c r="JUB1" t="s">
        <v>8834</v>
      </c>
      <c r="JUC1" t="s">
        <v>8835</v>
      </c>
      <c r="JUD1" t="s">
        <v>8836</v>
      </c>
      <c r="JUE1" t="s">
        <v>8837</v>
      </c>
      <c r="JUF1" t="s">
        <v>8838</v>
      </c>
      <c r="JUG1" t="s">
        <v>8839</v>
      </c>
      <c r="JUH1" t="s">
        <v>8840</v>
      </c>
      <c r="JUI1" t="s">
        <v>8841</v>
      </c>
      <c r="JUJ1" t="s">
        <v>8842</v>
      </c>
      <c r="JUK1" t="s">
        <v>8843</v>
      </c>
      <c r="JUL1" t="s">
        <v>8844</v>
      </c>
      <c r="JUM1" t="s">
        <v>8845</v>
      </c>
      <c r="JUN1" t="s">
        <v>8846</v>
      </c>
      <c r="JUO1" t="s">
        <v>8847</v>
      </c>
      <c r="JUP1" t="s">
        <v>8848</v>
      </c>
      <c r="JUQ1" t="s">
        <v>8849</v>
      </c>
      <c r="JUR1" t="s">
        <v>8850</v>
      </c>
      <c r="JUS1" t="s">
        <v>8851</v>
      </c>
      <c r="JUT1" t="s">
        <v>8852</v>
      </c>
      <c r="JUU1" t="s">
        <v>8853</v>
      </c>
      <c r="JUV1" t="s">
        <v>8854</v>
      </c>
      <c r="JUW1" t="s">
        <v>8855</v>
      </c>
      <c r="JUX1" t="s">
        <v>8856</v>
      </c>
      <c r="JUY1" t="s">
        <v>8857</v>
      </c>
      <c r="JUZ1" t="s">
        <v>8858</v>
      </c>
      <c r="JVA1" t="s">
        <v>8859</v>
      </c>
      <c r="JVB1" t="s">
        <v>8860</v>
      </c>
      <c r="JVC1" t="s">
        <v>8861</v>
      </c>
      <c r="JVD1" t="s">
        <v>8862</v>
      </c>
      <c r="JVE1" t="s">
        <v>8863</v>
      </c>
      <c r="JVF1" t="s">
        <v>8864</v>
      </c>
      <c r="JVG1" t="s">
        <v>8865</v>
      </c>
      <c r="JVH1" t="s">
        <v>8866</v>
      </c>
      <c r="JVI1" t="s">
        <v>8867</v>
      </c>
      <c r="JVJ1" t="s">
        <v>8868</v>
      </c>
      <c r="JVK1" t="s">
        <v>8869</v>
      </c>
      <c r="JVL1" t="s">
        <v>8870</v>
      </c>
      <c r="JVM1" t="s">
        <v>8871</v>
      </c>
      <c r="JVN1" t="s">
        <v>8872</v>
      </c>
      <c r="JVO1" t="s">
        <v>8873</v>
      </c>
      <c r="JVP1" t="s">
        <v>8874</v>
      </c>
      <c r="JVQ1" t="s">
        <v>8875</v>
      </c>
      <c r="JVR1" t="s">
        <v>8876</v>
      </c>
      <c r="JVS1" t="s">
        <v>8877</v>
      </c>
      <c r="JVT1" t="s">
        <v>8878</v>
      </c>
      <c r="JVU1" t="s">
        <v>8879</v>
      </c>
      <c r="JVV1" t="s">
        <v>8880</v>
      </c>
      <c r="JVW1" t="s">
        <v>8881</v>
      </c>
      <c r="JVX1" t="s">
        <v>8882</v>
      </c>
      <c r="JVY1" t="s">
        <v>8883</v>
      </c>
      <c r="JVZ1" t="s">
        <v>8884</v>
      </c>
      <c r="JWA1" t="s">
        <v>8885</v>
      </c>
      <c r="JWB1" t="s">
        <v>8886</v>
      </c>
      <c r="JWC1" t="s">
        <v>8887</v>
      </c>
      <c r="JWD1" t="s">
        <v>8888</v>
      </c>
      <c r="JWE1" t="s">
        <v>8889</v>
      </c>
      <c r="JWF1" t="s">
        <v>8890</v>
      </c>
      <c r="JWG1" t="s">
        <v>8891</v>
      </c>
      <c r="JWH1" t="s">
        <v>8892</v>
      </c>
      <c r="JWI1" t="s">
        <v>8893</v>
      </c>
      <c r="JWJ1" t="s">
        <v>8894</v>
      </c>
      <c r="JWK1" t="s">
        <v>8895</v>
      </c>
      <c r="JWL1" t="s">
        <v>8896</v>
      </c>
      <c r="JWM1" t="s">
        <v>8897</v>
      </c>
      <c r="JWN1" t="s">
        <v>8898</v>
      </c>
      <c r="JWO1" t="s">
        <v>8899</v>
      </c>
      <c r="JWP1" t="s">
        <v>8900</v>
      </c>
      <c r="JWQ1" t="s">
        <v>8901</v>
      </c>
      <c r="JWR1" t="s">
        <v>8902</v>
      </c>
      <c r="JWS1" t="s">
        <v>8903</v>
      </c>
      <c r="JWT1" t="s">
        <v>8904</v>
      </c>
      <c r="JWU1" t="s">
        <v>8905</v>
      </c>
      <c r="JWV1" t="s">
        <v>8906</v>
      </c>
      <c r="JWW1" t="s">
        <v>8907</v>
      </c>
      <c r="JWX1" t="s">
        <v>8908</v>
      </c>
      <c r="JWY1" t="s">
        <v>8909</v>
      </c>
      <c r="JWZ1" t="s">
        <v>8910</v>
      </c>
      <c r="JXA1" t="s">
        <v>8911</v>
      </c>
      <c r="JXB1" t="s">
        <v>8912</v>
      </c>
      <c r="JXC1" t="s">
        <v>8913</v>
      </c>
      <c r="JXD1" t="s">
        <v>8914</v>
      </c>
      <c r="JXE1" t="s">
        <v>8915</v>
      </c>
      <c r="JXF1" t="s">
        <v>8916</v>
      </c>
      <c r="JXG1" t="s">
        <v>8917</v>
      </c>
      <c r="JXH1" t="s">
        <v>8918</v>
      </c>
      <c r="JXI1" t="s">
        <v>8919</v>
      </c>
      <c r="JXJ1" t="s">
        <v>8920</v>
      </c>
      <c r="JXK1" t="s">
        <v>8921</v>
      </c>
      <c r="JXL1" t="s">
        <v>8922</v>
      </c>
      <c r="JXM1" t="s">
        <v>8923</v>
      </c>
      <c r="JXN1" t="s">
        <v>8924</v>
      </c>
      <c r="JXO1" t="s">
        <v>8925</v>
      </c>
      <c r="JXP1" t="s">
        <v>8926</v>
      </c>
      <c r="JXQ1" t="s">
        <v>8927</v>
      </c>
      <c r="JXR1" t="s">
        <v>8928</v>
      </c>
      <c r="JXS1" t="s">
        <v>8929</v>
      </c>
      <c r="JXT1" t="s">
        <v>8930</v>
      </c>
      <c r="JXU1" t="s">
        <v>8931</v>
      </c>
      <c r="JXV1" t="s">
        <v>8932</v>
      </c>
      <c r="JXW1" t="s">
        <v>8933</v>
      </c>
      <c r="JXX1" t="s">
        <v>8934</v>
      </c>
      <c r="JXY1" t="s">
        <v>8935</v>
      </c>
      <c r="JXZ1" t="s">
        <v>8936</v>
      </c>
      <c r="JYA1" t="s">
        <v>8937</v>
      </c>
      <c r="JYB1" t="s">
        <v>8938</v>
      </c>
      <c r="JYC1" t="s">
        <v>8939</v>
      </c>
      <c r="JYD1" t="s">
        <v>8940</v>
      </c>
      <c r="JYE1" t="s">
        <v>8941</v>
      </c>
      <c r="JYF1" t="s">
        <v>8942</v>
      </c>
      <c r="JYG1" t="s">
        <v>8943</v>
      </c>
      <c r="JYH1" t="s">
        <v>8944</v>
      </c>
      <c r="JYI1" t="s">
        <v>8945</v>
      </c>
      <c r="JYJ1" t="s">
        <v>8946</v>
      </c>
      <c r="JYK1" t="s">
        <v>8947</v>
      </c>
      <c r="JYL1" t="s">
        <v>8948</v>
      </c>
      <c r="JYM1" t="s">
        <v>8949</v>
      </c>
      <c r="JYN1" t="s">
        <v>8950</v>
      </c>
      <c r="JYO1" t="s">
        <v>8951</v>
      </c>
      <c r="JYP1" t="s">
        <v>8952</v>
      </c>
      <c r="JYQ1" t="s">
        <v>8953</v>
      </c>
      <c r="JYR1" t="s">
        <v>8954</v>
      </c>
      <c r="JYS1" t="s">
        <v>8955</v>
      </c>
      <c r="JYT1" t="s">
        <v>8956</v>
      </c>
      <c r="JYU1" t="s">
        <v>8957</v>
      </c>
      <c r="JYV1" t="s">
        <v>8958</v>
      </c>
      <c r="JYW1" t="s">
        <v>8959</v>
      </c>
      <c r="JYX1" t="s">
        <v>8960</v>
      </c>
      <c r="JYY1" t="s">
        <v>8961</v>
      </c>
      <c r="JYZ1" t="s">
        <v>8962</v>
      </c>
      <c r="JZA1" t="s">
        <v>8963</v>
      </c>
      <c r="JZB1" t="s">
        <v>8964</v>
      </c>
      <c r="JZC1" t="s">
        <v>8965</v>
      </c>
      <c r="JZD1" t="s">
        <v>8966</v>
      </c>
      <c r="JZE1" t="s">
        <v>8967</v>
      </c>
      <c r="JZF1" t="s">
        <v>8968</v>
      </c>
      <c r="JZG1" t="s">
        <v>8969</v>
      </c>
      <c r="JZH1" t="s">
        <v>8970</v>
      </c>
      <c r="JZI1" t="s">
        <v>8971</v>
      </c>
      <c r="JZJ1" t="s">
        <v>8972</v>
      </c>
      <c r="JZK1" t="s">
        <v>8973</v>
      </c>
      <c r="JZL1" t="s">
        <v>8974</v>
      </c>
      <c r="JZM1" t="s">
        <v>8975</v>
      </c>
      <c r="JZN1" t="s">
        <v>8976</v>
      </c>
      <c r="JZO1" t="s">
        <v>8977</v>
      </c>
      <c r="JZP1" t="s">
        <v>8978</v>
      </c>
      <c r="JZQ1" t="s">
        <v>8979</v>
      </c>
      <c r="JZR1" t="s">
        <v>8980</v>
      </c>
      <c r="JZS1" t="s">
        <v>8981</v>
      </c>
      <c r="JZT1" t="s">
        <v>8982</v>
      </c>
      <c r="JZU1" t="s">
        <v>8983</v>
      </c>
      <c r="JZV1" t="s">
        <v>8984</v>
      </c>
      <c r="JZW1" t="s">
        <v>8985</v>
      </c>
      <c r="JZX1" t="s">
        <v>8986</v>
      </c>
      <c r="JZY1" t="s">
        <v>8987</v>
      </c>
      <c r="JZZ1" t="s">
        <v>8988</v>
      </c>
      <c r="KAA1" t="s">
        <v>8989</v>
      </c>
      <c r="KAB1" t="s">
        <v>8990</v>
      </c>
      <c r="KAC1" t="s">
        <v>8991</v>
      </c>
      <c r="KAD1" t="s">
        <v>8992</v>
      </c>
      <c r="KAE1" t="s">
        <v>8993</v>
      </c>
      <c r="KAF1" t="s">
        <v>8994</v>
      </c>
      <c r="KAG1" t="s">
        <v>8995</v>
      </c>
      <c r="KAH1" t="s">
        <v>8996</v>
      </c>
      <c r="KAI1" t="s">
        <v>8997</v>
      </c>
      <c r="KAJ1" t="s">
        <v>8998</v>
      </c>
      <c r="KAK1" t="s">
        <v>8999</v>
      </c>
      <c r="KAL1" t="s">
        <v>9000</v>
      </c>
      <c r="KAM1" t="s">
        <v>9001</v>
      </c>
      <c r="KAN1" t="s">
        <v>9002</v>
      </c>
      <c r="KAO1" t="s">
        <v>9003</v>
      </c>
      <c r="KAP1" t="s">
        <v>9004</v>
      </c>
      <c r="KAQ1" t="s">
        <v>9005</v>
      </c>
      <c r="KAR1" t="s">
        <v>9006</v>
      </c>
      <c r="KAS1" t="s">
        <v>9007</v>
      </c>
      <c r="KAT1" t="s">
        <v>9008</v>
      </c>
      <c r="KAU1" t="s">
        <v>9009</v>
      </c>
      <c r="KAV1" t="s">
        <v>9010</v>
      </c>
      <c r="KAW1" t="s">
        <v>9011</v>
      </c>
      <c r="KAX1" t="s">
        <v>9012</v>
      </c>
      <c r="KAY1" t="s">
        <v>9013</v>
      </c>
      <c r="KAZ1" t="s">
        <v>9014</v>
      </c>
      <c r="KBA1" t="s">
        <v>9015</v>
      </c>
      <c r="KBB1" t="s">
        <v>9016</v>
      </c>
      <c r="KBC1" t="s">
        <v>9017</v>
      </c>
      <c r="KBD1" t="s">
        <v>9018</v>
      </c>
      <c r="KBE1" t="s">
        <v>9019</v>
      </c>
      <c r="KBF1" t="s">
        <v>9020</v>
      </c>
      <c r="KBG1" t="s">
        <v>9021</v>
      </c>
      <c r="KBH1" t="s">
        <v>9022</v>
      </c>
      <c r="KBI1" t="s">
        <v>9023</v>
      </c>
      <c r="KBJ1" t="s">
        <v>9024</v>
      </c>
      <c r="KBK1" t="s">
        <v>9025</v>
      </c>
      <c r="KBL1" t="s">
        <v>9026</v>
      </c>
      <c r="KBM1" t="s">
        <v>9027</v>
      </c>
      <c r="KBN1" t="s">
        <v>9028</v>
      </c>
      <c r="KBO1" t="s">
        <v>9029</v>
      </c>
      <c r="KBP1" t="s">
        <v>9030</v>
      </c>
      <c r="KBQ1" t="s">
        <v>9031</v>
      </c>
      <c r="KBR1" t="s">
        <v>9032</v>
      </c>
      <c r="KBS1" t="s">
        <v>9033</v>
      </c>
      <c r="KBT1" t="s">
        <v>9034</v>
      </c>
      <c r="KBU1" t="s">
        <v>9035</v>
      </c>
      <c r="KBV1" t="s">
        <v>9036</v>
      </c>
      <c r="KBW1" t="s">
        <v>9037</v>
      </c>
      <c r="KBX1" t="s">
        <v>9038</v>
      </c>
      <c r="KBY1" t="s">
        <v>9039</v>
      </c>
      <c r="KBZ1" t="s">
        <v>9040</v>
      </c>
      <c r="KCA1" t="s">
        <v>9041</v>
      </c>
      <c r="KCB1" t="s">
        <v>9042</v>
      </c>
      <c r="KCC1" t="s">
        <v>9043</v>
      </c>
      <c r="KCD1" t="s">
        <v>9044</v>
      </c>
      <c r="KCE1" t="s">
        <v>9045</v>
      </c>
      <c r="KCF1" t="s">
        <v>9046</v>
      </c>
      <c r="KCG1" t="s">
        <v>9047</v>
      </c>
      <c r="KCH1" t="s">
        <v>9048</v>
      </c>
      <c r="KCI1" t="s">
        <v>9049</v>
      </c>
      <c r="KCJ1" t="s">
        <v>9050</v>
      </c>
      <c r="KCK1" t="s">
        <v>9051</v>
      </c>
      <c r="KCL1" t="s">
        <v>9052</v>
      </c>
      <c r="KCM1" t="s">
        <v>9053</v>
      </c>
      <c r="KCN1" t="s">
        <v>9054</v>
      </c>
      <c r="KCO1" t="s">
        <v>9055</v>
      </c>
      <c r="KCP1" t="s">
        <v>9056</v>
      </c>
      <c r="KCQ1" t="s">
        <v>9057</v>
      </c>
      <c r="KCR1" t="s">
        <v>9058</v>
      </c>
      <c r="KCS1" t="s">
        <v>9059</v>
      </c>
      <c r="KCT1" t="s">
        <v>9060</v>
      </c>
      <c r="KCU1" t="s">
        <v>9061</v>
      </c>
      <c r="KCV1" t="s">
        <v>9062</v>
      </c>
      <c r="KCW1" t="s">
        <v>9063</v>
      </c>
      <c r="KCX1" t="s">
        <v>9064</v>
      </c>
      <c r="KCY1" t="s">
        <v>9065</v>
      </c>
      <c r="KCZ1" t="s">
        <v>9066</v>
      </c>
      <c r="KDA1" t="s">
        <v>9067</v>
      </c>
      <c r="KDB1" t="s">
        <v>9068</v>
      </c>
      <c r="KDC1" t="s">
        <v>9069</v>
      </c>
      <c r="KDD1" t="s">
        <v>9070</v>
      </c>
      <c r="KDE1" t="s">
        <v>9071</v>
      </c>
      <c r="KDF1" t="s">
        <v>9072</v>
      </c>
      <c r="KDG1" t="s">
        <v>9073</v>
      </c>
      <c r="KDH1" t="s">
        <v>9074</v>
      </c>
      <c r="KDI1" t="s">
        <v>9075</v>
      </c>
      <c r="KDJ1" t="s">
        <v>9076</v>
      </c>
      <c r="KDK1" t="s">
        <v>9077</v>
      </c>
      <c r="KDL1" t="s">
        <v>9078</v>
      </c>
      <c r="KDM1" t="s">
        <v>9079</v>
      </c>
      <c r="KDN1" t="s">
        <v>9080</v>
      </c>
      <c r="KDO1" t="s">
        <v>9081</v>
      </c>
      <c r="KDP1" t="s">
        <v>9082</v>
      </c>
      <c r="KDQ1" t="s">
        <v>9083</v>
      </c>
      <c r="KDR1" t="s">
        <v>9084</v>
      </c>
      <c r="KDS1" t="s">
        <v>9085</v>
      </c>
      <c r="KDT1" t="s">
        <v>9086</v>
      </c>
      <c r="KDU1" t="s">
        <v>9087</v>
      </c>
      <c r="KDV1" t="s">
        <v>9088</v>
      </c>
      <c r="KDW1" t="s">
        <v>9089</v>
      </c>
      <c r="KDX1" t="s">
        <v>9090</v>
      </c>
      <c r="KDY1" t="s">
        <v>9091</v>
      </c>
      <c r="KDZ1" t="s">
        <v>9092</v>
      </c>
      <c r="KEA1" t="s">
        <v>9093</v>
      </c>
      <c r="KEB1" t="s">
        <v>9094</v>
      </c>
      <c r="KEC1" t="s">
        <v>9095</v>
      </c>
      <c r="KED1" t="s">
        <v>9096</v>
      </c>
      <c r="KEE1" t="s">
        <v>9097</v>
      </c>
      <c r="KEF1" t="s">
        <v>9098</v>
      </c>
      <c r="KEG1" t="s">
        <v>9099</v>
      </c>
      <c r="KEH1" t="s">
        <v>9100</v>
      </c>
      <c r="KEI1" t="s">
        <v>9101</v>
      </c>
      <c r="KEJ1" t="s">
        <v>9102</v>
      </c>
      <c r="KEK1" t="s">
        <v>9103</v>
      </c>
      <c r="KEL1" t="s">
        <v>9104</v>
      </c>
      <c r="KEM1" t="s">
        <v>9105</v>
      </c>
      <c r="KEN1" t="s">
        <v>9106</v>
      </c>
      <c r="KEO1" t="s">
        <v>9107</v>
      </c>
      <c r="KEP1" t="s">
        <v>9108</v>
      </c>
      <c r="KEQ1" t="s">
        <v>9109</v>
      </c>
      <c r="KER1" t="s">
        <v>9110</v>
      </c>
      <c r="KES1" t="s">
        <v>9111</v>
      </c>
      <c r="KET1" t="s">
        <v>9112</v>
      </c>
      <c r="KEU1" t="s">
        <v>9113</v>
      </c>
      <c r="KEV1" t="s">
        <v>9114</v>
      </c>
      <c r="KEW1" t="s">
        <v>9115</v>
      </c>
      <c r="KEX1" t="s">
        <v>9116</v>
      </c>
      <c r="KEY1" t="s">
        <v>9117</v>
      </c>
      <c r="KEZ1" t="s">
        <v>9118</v>
      </c>
      <c r="KFA1" t="s">
        <v>9119</v>
      </c>
      <c r="KFB1" t="s">
        <v>9120</v>
      </c>
      <c r="KFC1" t="s">
        <v>9121</v>
      </c>
      <c r="KFD1" t="s">
        <v>9122</v>
      </c>
      <c r="KFE1" t="s">
        <v>9123</v>
      </c>
      <c r="KFF1" t="s">
        <v>9124</v>
      </c>
      <c r="KFG1" t="s">
        <v>9125</v>
      </c>
      <c r="KFH1" t="s">
        <v>9126</v>
      </c>
      <c r="KFI1" t="s">
        <v>9127</v>
      </c>
      <c r="KFJ1" t="s">
        <v>9128</v>
      </c>
      <c r="KFK1" t="s">
        <v>9129</v>
      </c>
      <c r="KFL1" t="s">
        <v>9130</v>
      </c>
      <c r="KFM1" t="s">
        <v>9131</v>
      </c>
      <c r="KFN1" t="s">
        <v>9132</v>
      </c>
      <c r="KFO1" t="s">
        <v>9133</v>
      </c>
      <c r="KFP1" t="s">
        <v>9134</v>
      </c>
      <c r="KFQ1" t="s">
        <v>9135</v>
      </c>
      <c r="KFR1" t="s">
        <v>9136</v>
      </c>
      <c r="KFS1" t="s">
        <v>9137</v>
      </c>
      <c r="KFT1" t="s">
        <v>9138</v>
      </c>
      <c r="KFU1" t="s">
        <v>9139</v>
      </c>
      <c r="KFV1" t="s">
        <v>9140</v>
      </c>
      <c r="KFW1" t="s">
        <v>9141</v>
      </c>
      <c r="KFX1" t="s">
        <v>9142</v>
      </c>
      <c r="KFY1" t="s">
        <v>9143</v>
      </c>
      <c r="KFZ1" t="s">
        <v>9144</v>
      </c>
      <c r="KGA1" t="s">
        <v>9145</v>
      </c>
      <c r="KGB1" t="s">
        <v>9146</v>
      </c>
      <c r="KGC1" t="s">
        <v>9147</v>
      </c>
      <c r="KGD1" t="s">
        <v>9148</v>
      </c>
      <c r="KGE1" t="s">
        <v>9149</v>
      </c>
      <c r="KGF1" t="s">
        <v>9150</v>
      </c>
      <c r="KGG1" t="s">
        <v>9151</v>
      </c>
      <c r="KGH1" t="s">
        <v>9152</v>
      </c>
      <c r="KGI1" t="s">
        <v>9153</v>
      </c>
      <c r="KGJ1" t="s">
        <v>9154</v>
      </c>
      <c r="KGK1" t="s">
        <v>9155</v>
      </c>
      <c r="KGL1" t="s">
        <v>9156</v>
      </c>
      <c r="KGM1" t="s">
        <v>9157</v>
      </c>
      <c r="KGN1" t="s">
        <v>9158</v>
      </c>
      <c r="KGO1" t="s">
        <v>9159</v>
      </c>
      <c r="KGP1" t="s">
        <v>9160</v>
      </c>
      <c r="KGQ1" t="s">
        <v>9161</v>
      </c>
      <c r="KGR1" t="s">
        <v>9162</v>
      </c>
      <c r="KGS1" t="s">
        <v>9163</v>
      </c>
      <c r="KGT1" t="s">
        <v>9164</v>
      </c>
      <c r="KGU1" t="s">
        <v>9165</v>
      </c>
      <c r="KGV1" t="s">
        <v>9166</v>
      </c>
      <c r="KGW1" t="s">
        <v>9167</v>
      </c>
      <c r="KGX1" t="s">
        <v>9168</v>
      </c>
      <c r="KGY1" t="s">
        <v>9169</v>
      </c>
      <c r="KGZ1" t="s">
        <v>9170</v>
      </c>
      <c r="KHA1" t="s">
        <v>9171</v>
      </c>
      <c r="KHB1" t="s">
        <v>9172</v>
      </c>
      <c r="KHC1" t="s">
        <v>9173</v>
      </c>
      <c r="KHD1" t="s">
        <v>9174</v>
      </c>
      <c r="KHE1" t="s">
        <v>9175</v>
      </c>
      <c r="KHF1" t="s">
        <v>9176</v>
      </c>
      <c r="KHG1" t="s">
        <v>9177</v>
      </c>
      <c r="KHH1" t="s">
        <v>9178</v>
      </c>
      <c r="KHI1" t="s">
        <v>9179</v>
      </c>
      <c r="KHJ1" t="s">
        <v>9180</v>
      </c>
      <c r="KHK1" t="s">
        <v>9181</v>
      </c>
      <c r="KHL1" t="s">
        <v>9182</v>
      </c>
      <c r="KHM1" t="s">
        <v>9183</v>
      </c>
      <c r="KHN1" t="s">
        <v>9184</v>
      </c>
      <c r="KHO1" t="s">
        <v>9185</v>
      </c>
      <c r="KHP1" t="s">
        <v>9186</v>
      </c>
      <c r="KHQ1" t="s">
        <v>9187</v>
      </c>
      <c r="KHR1" t="s">
        <v>9188</v>
      </c>
      <c r="KHS1" t="s">
        <v>9189</v>
      </c>
      <c r="KHT1" t="s">
        <v>9190</v>
      </c>
      <c r="KHU1" t="s">
        <v>9191</v>
      </c>
      <c r="KHV1" t="s">
        <v>9192</v>
      </c>
      <c r="KHW1" t="s">
        <v>9193</v>
      </c>
      <c r="KHX1" t="s">
        <v>9194</v>
      </c>
      <c r="KHY1" t="s">
        <v>9195</v>
      </c>
      <c r="KHZ1" t="s">
        <v>9196</v>
      </c>
      <c r="KIA1" t="s">
        <v>9197</v>
      </c>
      <c r="KIB1" t="s">
        <v>9198</v>
      </c>
      <c r="KIC1" t="s">
        <v>9199</v>
      </c>
      <c r="KID1" t="s">
        <v>9200</v>
      </c>
      <c r="KIE1" t="s">
        <v>9201</v>
      </c>
      <c r="KIF1" t="s">
        <v>9202</v>
      </c>
      <c r="KIG1" t="s">
        <v>9203</v>
      </c>
      <c r="KIH1" t="s">
        <v>9204</v>
      </c>
      <c r="KII1" t="s">
        <v>9205</v>
      </c>
      <c r="KIJ1" t="s">
        <v>9206</v>
      </c>
      <c r="KIK1" t="s">
        <v>9207</v>
      </c>
      <c r="KIL1" t="s">
        <v>9208</v>
      </c>
      <c r="KIM1" t="s">
        <v>9209</v>
      </c>
      <c r="KIN1" t="s">
        <v>9210</v>
      </c>
      <c r="KIO1" t="s">
        <v>9211</v>
      </c>
      <c r="KIP1" t="s">
        <v>9212</v>
      </c>
      <c r="KIQ1" t="s">
        <v>9213</v>
      </c>
      <c r="KIR1" t="s">
        <v>9214</v>
      </c>
      <c r="KIS1" t="s">
        <v>9215</v>
      </c>
      <c r="KIT1" t="s">
        <v>9216</v>
      </c>
      <c r="KIU1" t="s">
        <v>9217</v>
      </c>
      <c r="KIV1" t="s">
        <v>9218</v>
      </c>
      <c r="KIW1" t="s">
        <v>9219</v>
      </c>
      <c r="KIX1" t="s">
        <v>9220</v>
      </c>
      <c r="KIY1" t="s">
        <v>9221</v>
      </c>
      <c r="KIZ1" t="s">
        <v>9222</v>
      </c>
      <c r="KJA1" t="s">
        <v>9223</v>
      </c>
      <c r="KJB1" t="s">
        <v>9224</v>
      </c>
      <c r="KJC1" t="s">
        <v>9225</v>
      </c>
      <c r="KJD1" t="s">
        <v>9226</v>
      </c>
      <c r="KJE1" t="s">
        <v>9227</v>
      </c>
      <c r="KJF1" t="s">
        <v>9228</v>
      </c>
      <c r="KJG1" t="s">
        <v>9229</v>
      </c>
      <c r="KJH1" t="s">
        <v>9230</v>
      </c>
      <c r="KJI1" t="s">
        <v>9231</v>
      </c>
      <c r="KJJ1" t="s">
        <v>9232</v>
      </c>
      <c r="KJK1" t="s">
        <v>9233</v>
      </c>
      <c r="KJL1" t="s">
        <v>9234</v>
      </c>
      <c r="KJM1" t="s">
        <v>9235</v>
      </c>
      <c r="KJN1" t="s">
        <v>9236</v>
      </c>
      <c r="KJO1" t="s">
        <v>9237</v>
      </c>
      <c r="KJP1" t="s">
        <v>9238</v>
      </c>
      <c r="KJQ1" t="s">
        <v>9239</v>
      </c>
      <c r="KJR1" t="s">
        <v>9240</v>
      </c>
      <c r="KJS1" t="s">
        <v>9241</v>
      </c>
      <c r="KJT1" t="s">
        <v>9242</v>
      </c>
      <c r="KJU1" t="s">
        <v>9243</v>
      </c>
      <c r="KJV1" t="s">
        <v>9244</v>
      </c>
      <c r="KJW1" t="s">
        <v>9245</v>
      </c>
      <c r="KJX1" t="s">
        <v>9246</v>
      </c>
      <c r="KJY1" t="s">
        <v>9247</v>
      </c>
      <c r="KJZ1" t="s">
        <v>9248</v>
      </c>
      <c r="KKA1" t="s">
        <v>9249</v>
      </c>
      <c r="KKB1" t="s">
        <v>9250</v>
      </c>
      <c r="KKC1" t="s">
        <v>9251</v>
      </c>
      <c r="KKD1" t="s">
        <v>9252</v>
      </c>
      <c r="KKE1" t="s">
        <v>9253</v>
      </c>
      <c r="KKF1" t="s">
        <v>9254</v>
      </c>
      <c r="KKG1" t="s">
        <v>9255</v>
      </c>
      <c r="KKH1" t="s">
        <v>9256</v>
      </c>
      <c r="KKI1" t="s">
        <v>9257</v>
      </c>
      <c r="KKJ1" t="s">
        <v>9258</v>
      </c>
      <c r="KKK1" t="s">
        <v>9259</v>
      </c>
      <c r="KKL1" t="s">
        <v>9260</v>
      </c>
      <c r="KKM1" t="s">
        <v>9261</v>
      </c>
      <c r="KKN1" t="s">
        <v>9262</v>
      </c>
      <c r="KKO1" t="s">
        <v>9263</v>
      </c>
      <c r="KKP1" t="s">
        <v>9264</v>
      </c>
      <c r="KKQ1" t="s">
        <v>9265</v>
      </c>
      <c r="KKR1" t="s">
        <v>9266</v>
      </c>
      <c r="KKS1" t="s">
        <v>9267</v>
      </c>
      <c r="KKT1" t="s">
        <v>9268</v>
      </c>
      <c r="KKU1" t="s">
        <v>9269</v>
      </c>
      <c r="KKV1" t="s">
        <v>9270</v>
      </c>
      <c r="KKW1" t="s">
        <v>9271</v>
      </c>
      <c r="KKX1" t="s">
        <v>9272</v>
      </c>
      <c r="KKY1" t="s">
        <v>9273</v>
      </c>
      <c r="KKZ1" t="s">
        <v>9274</v>
      </c>
      <c r="KLA1" t="s">
        <v>9275</v>
      </c>
      <c r="KLB1" t="s">
        <v>9276</v>
      </c>
      <c r="KLC1" t="s">
        <v>9277</v>
      </c>
      <c r="KLD1" t="s">
        <v>9278</v>
      </c>
      <c r="KLE1" t="s">
        <v>9279</v>
      </c>
      <c r="KLF1" t="s">
        <v>9280</v>
      </c>
      <c r="KLG1" t="s">
        <v>9281</v>
      </c>
      <c r="KLH1" t="s">
        <v>9282</v>
      </c>
      <c r="KLI1" t="s">
        <v>9283</v>
      </c>
      <c r="KLJ1" t="s">
        <v>9284</v>
      </c>
      <c r="KLK1" t="s">
        <v>9285</v>
      </c>
      <c r="KLL1" t="s">
        <v>9286</v>
      </c>
      <c r="KLM1" t="s">
        <v>9287</v>
      </c>
      <c r="KLN1" t="s">
        <v>9288</v>
      </c>
      <c r="KLO1" t="s">
        <v>9289</v>
      </c>
      <c r="KLP1" t="s">
        <v>9290</v>
      </c>
      <c r="KLQ1" t="s">
        <v>9291</v>
      </c>
      <c r="KLR1" t="s">
        <v>9292</v>
      </c>
      <c r="KLS1" t="s">
        <v>9293</v>
      </c>
      <c r="KLT1" t="s">
        <v>9294</v>
      </c>
      <c r="KLU1" t="s">
        <v>9295</v>
      </c>
      <c r="KLV1" t="s">
        <v>9296</v>
      </c>
      <c r="KLW1" t="s">
        <v>9297</v>
      </c>
      <c r="KLX1" t="s">
        <v>9298</v>
      </c>
      <c r="KLY1" t="s">
        <v>9299</v>
      </c>
      <c r="KLZ1" t="s">
        <v>9300</v>
      </c>
      <c r="KMA1" t="s">
        <v>9301</v>
      </c>
      <c r="KMB1" t="s">
        <v>9302</v>
      </c>
      <c r="KMC1" t="s">
        <v>9303</v>
      </c>
      <c r="KMD1" t="s">
        <v>9304</v>
      </c>
      <c r="KME1" t="s">
        <v>9305</v>
      </c>
      <c r="KMF1" t="s">
        <v>9306</v>
      </c>
      <c r="KMG1" t="s">
        <v>9307</v>
      </c>
      <c r="KMH1" t="s">
        <v>9308</v>
      </c>
      <c r="KMI1" t="s">
        <v>9309</v>
      </c>
      <c r="KMJ1" t="s">
        <v>9310</v>
      </c>
      <c r="KMK1" t="s">
        <v>9311</v>
      </c>
      <c r="KML1" t="s">
        <v>9312</v>
      </c>
      <c r="KMM1" t="s">
        <v>9313</v>
      </c>
      <c r="KMN1" t="s">
        <v>9314</v>
      </c>
      <c r="KMO1" t="s">
        <v>9315</v>
      </c>
      <c r="KMP1" t="s">
        <v>9316</v>
      </c>
      <c r="KMQ1" t="s">
        <v>9317</v>
      </c>
      <c r="KMR1" t="s">
        <v>9318</v>
      </c>
      <c r="KMS1" t="s">
        <v>9319</v>
      </c>
      <c r="KMT1" t="s">
        <v>9320</v>
      </c>
      <c r="KMU1" t="s">
        <v>9321</v>
      </c>
      <c r="KMV1" t="s">
        <v>9322</v>
      </c>
      <c r="KMW1" t="s">
        <v>9323</v>
      </c>
      <c r="KMX1" t="s">
        <v>9324</v>
      </c>
      <c r="KMY1" t="s">
        <v>9325</v>
      </c>
      <c r="KMZ1" t="s">
        <v>9326</v>
      </c>
      <c r="KNA1" t="s">
        <v>9327</v>
      </c>
      <c r="KNB1" t="s">
        <v>9328</v>
      </c>
      <c r="KNC1" t="s">
        <v>9329</v>
      </c>
      <c r="KND1" t="s">
        <v>9330</v>
      </c>
      <c r="KNE1" t="s">
        <v>9331</v>
      </c>
      <c r="KNF1" t="s">
        <v>9332</v>
      </c>
      <c r="KNG1" t="s">
        <v>9333</v>
      </c>
      <c r="KNH1" t="s">
        <v>9334</v>
      </c>
      <c r="KNI1" t="s">
        <v>9335</v>
      </c>
      <c r="KNJ1" t="s">
        <v>9336</v>
      </c>
      <c r="KNK1" t="s">
        <v>9337</v>
      </c>
      <c r="KNL1" t="s">
        <v>9338</v>
      </c>
      <c r="KNM1" t="s">
        <v>9339</v>
      </c>
      <c r="KNN1" t="s">
        <v>9340</v>
      </c>
      <c r="KNO1" t="s">
        <v>9341</v>
      </c>
      <c r="KNP1" t="s">
        <v>9342</v>
      </c>
      <c r="KNQ1" t="s">
        <v>9343</v>
      </c>
      <c r="KNR1" t="s">
        <v>9344</v>
      </c>
      <c r="KNS1" t="s">
        <v>9345</v>
      </c>
      <c r="KNT1" t="s">
        <v>9346</v>
      </c>
      <c r="KNU1" t="s">
        <v>9347</v>
      </c>
      <c r="KNV1" t="s">
        <v>9348</v>
      </c>
      <c r="KNW1" t="s">
        <v>9349</v>
      </c>
      <c r="KNX1" t="s">
        <v>9350</v>
      </c>
      <c r="KNY1" t="s">
        <v>9351</v>
      </c>
      <c r="KNZ1" t="s">
        <v>9352</v>
      </c>
      <c r="KOA1" t="s">
        <v>9353</v>
      </c>
      <c r="KOB1" t="s">
        <v>9354</v>
      </c>
      <c r="KOC1" t="s">
        <v>9355</v>
      </c>
      <c r="KOD1" t="s">
        <v>9356</v>
      </c>
      <c r="KOE1" t="s">
        <v>9357</v>
      </c>
      <c r="KOF1" t="s">
        <v>9358</v>
      </c>
      <c r="KOG1" t="s">
        <v>9359</v>
      </c>
      <c r="KOH1" t="s">
        <v>9360</v>
      </c>
      <c r="KOI1" t="s">
        <v>9361</v>
      </c>
      <c r="KOJ1" t="s">
        <v>9362</v>
      </c>
      <c r="KOK1" t="s">
        <v>9363</v>
      </c>
      <c r="KOL1" t="s">
        <v>9364</v>
      </c>
      <c r="KOM1" t="s">
        <v>9365</v>
      </c>
      <c r="KON1" t="s">
        <v>9366</v>
      </c>
      <c r="KOO1" t="s">
        <v>9367</v>
      </c>
      <c r="KOP1" t="s">
        <v>9368</v>
      </c>
      <c r="KOQ1" t="s">
        <v>9369</v>
      </c>
      <c r="KOR1" t="s">
        <v>9370</v>
      </c>
      <c r="KOS1" t="s">
        <v>9371</v>
      </c>
      <c r="KOT1" t="s">
        <v>9372</v>
      </c>
      <c r="KOU1" t="s">
        <v>9373</v>
      </c>
      <c r="KOV1" t="s">
        <v>9374</v>
      </c>
      <c r="KOW1" t="s">
        <v>9375</v>
      </c>
      <c r="KOX1" t="s">
        <v>9376</v>
      </c>
      <c r="KOY1" t="s">
        <v>9377</v>
      </c>
      <c r="KOZ1" t="s">
        <v>9378</v>
      </c>
      <c r="KPA1" t="s">
        <v>9379</v>
      </c>
      <c r="KPB1" t="s">
        <v>9380</v>
      </c>
      <c r="KPC1" t="s">
        <v>9381</v>
      </c>
      <c r="KPD1" t="s">
        <v>9382</v>
      </c>
      <c r="KPE1" t="s">
        <v>9383</v>
      </c>
      <c r="KPF1" t="s">
        <v>9384</v>
      </c>
      <c r="KPG1" t="s">
        <v>9385</v>
      </c>
      <c r="KPH1" t="s">
        <v>9386</v>
      </c>
      <c r="KPI1" t="s">
        <v>9387</v>
      </c>
      <c r="KPJ1" t="s">
        <v>9388</v>
      </c>
      <c r="KPK1" t="s">
        <v>9389</v>
      </c>
      <c r="KPL1" t="s">
        <v>9390</v>
      </c>
      <c r="KPM1" t="s">
        <v>9391</v>
      </c>
      <c r="KPN1" t="s">
        <v>9392</v>
      </c>
      <c r="KPO1" t="s">
        <v>9393</v>
      </c>
      <c r="KPP1" t="s">
        <v>9394</v>
      </c>
      <c r="KPQ1" t="s">
        <v>9395</v>
      </c>
      <c r="KPR1" t="s">
        <v>9396</v>
      </c>
      <c r="KPS1" t="s">
        <v>9397</v>
      </c>
      <c r="KPT1" t="s">
        <v>9398</v>
      </c>
      <c r="KPU1" t="s">
        <v>9399</v>
      </c>
      <c r="KPV1" t="s">
        <v>9400</v>
      </c>
      <c r="KPW1" t="s">
        <v>9401</v>
      </c>
      <c r="KPX1" t="s">
        <v>9402</v>
      </c>
      <c r="KPY1" t="s">
        <v>9403</v>
      </c>
      <c r="KPZ1" t="s">
        <v>9404</v>
      </c>
      <c r="KQA1" t="s">
        <v>9405</v>
      </c>
      <c r="KQB1" t="s">
        <v>9406</v>
      </c>
      <c r="KQC1" t="s">
        <v>9407</v>
      </c>
      <c r="KQD1" t="s">
        <v>9408</v>
      </c>
      <c r="KQE1" t="s">
        <v>9409</v>
      </c>
      <c r="KQF1" t="s">
        <v>9410</v>
      </c>
      <c r="KQG1" t="s">
        <v>9411</v>
      </c>
      <c r="KQH1" t="s">
        <v>9412</v>
      </c>
      <c r="KQI1" t="s">
        <v>9413</v>
      </c>
      <c r="KQJ1" t="s">
        <v>9414</v>
      </c>
      <c r="KQK1" t="s">
        <v>9415</v>
      </c>
      <c r="KQL1" t="s">
        <v>9416</v>
      </c>
      <c r="KQM1" t="s">
        <v>9417</v>
      </c>
      <c r="KQN1" t="s">
        <v>9418</v>
      </c>
      <c r="KQO1" t="s">
        <v>9419</v>
      </c>
      <c r="KQP1" t="s">
        <v>9420</v>
      </c>
      <c r="KQQ1" t="s">
        <v>9421</v>
      </c>
      <c r="KQR1" t="s">
        <v>9422</v>
      </c>
      <c r="KQS1" t="s">
        <v>9423</v>
      </c>
      <c r="KQT1" t="s">
        <v>9424</v>
      </c>
      <c r="KQU1" t="s">
        <v>9425</v>
      </c>
      <c r="KQV1" t="s">
        <v>9426</v>
      </c>
      <c r="KQW1" t="s">
        <v>9427</v>
      </c>
      <c r="KQX1" t="s">
        <v>9428</v>
      </c>
      <c r="KQY1" t="s">
        <v>9429</v>
      </c>
      <c r="KQZ1" t="s">
        <v>9430</v>
      </c>
      <c r="KRA1" t="s">
        <v>9431</v>
      </c>
      <c r="KRB1" t="s">
        <v>9432</v>
      </c>
      <c r="KRC1" t="s">
        <v>9433</v>
      </c>
      <c r="KRD1" t="s">
        <v>9434</v>
      </c>
      <c r="KRE1" t="s">
        <v>9435</v>
      </c>
      <c r="KRF1" t="s">
        <v>9436</v>
      </c>
      <c r="KRG1" t="s">
        <v>9437</v>
      </c>
      <c r="KRH1" t="s">
        <v>9438</v>
      </c>
      <c r="KRI1" t="s">
        <v>9439</v>
      </c>
      <c r="KRJ1" t="s">
        <v>9440</v>
      </c>
      <c r="KRK1" t="s">
        <v>9441</v>
      </c>
      <c r="KRL1" t="s">
        <v>9442</v>
      </c>
      <c r="KRM1" t="s">
        <v>9443</v>
      </c>
      <c r="KRN1" t="s">
        <v>9444</v>
      </c>
      <c r="KRO1" t="s">
        <v>9445</v>
      </c>
      <c r="KRP1" t="s">
        <v>9446</v>
      </c>
      <c r="KRQ1" t="s">
        <v>9447</v>
      </c>
      <c r="KRR1" t="s">
        <v>9448</v>
      </c>
      <c r="KRS1" t="s">
        <v>9449</v>
      </c>
      <c r="KRT1" t="s">
        <v>9450</v>
      </c>
      <c r="KRU1" t="s">
        <v>9451</v>
      </c>
      <c r="KRV1" t="s">
        <v>9452</v>
      </c>
      <c r="KRW1" t="s">
        <v>9453</v>
      </c>
      <c r="KRX1" t="s">
        <v>9454</v>
      </c>
      <c r="KRY1" t="s">
        <v>9455</v>
      </c>
      <c r="KRZ1" t="s">
        <v>9456</v>
      </c>
      <c r="KSA1" t="s">
        <v>9457</v>
      </c>
      <c r="KSB1" t="s">
        <v>9458</v>
      </c>
      <c r="KSC1" t="s">
        <v>9459</v>
      </c>
      <c r="KSD1" t="s">
        <v>9460</v>
      </c>
      <c r="KSE1" t="s">
        <v>9461</v>
      </c>
      <c r="KSF1" t="s">
        <v>9462</v>
      </c>
      <c r="KSG1" t="s">
        <v>9463</v>
      </c>
      <c r="KSH1" t="s">
        <v>9464</v>
      </c>
      <c r="KSI1" t="s">
        <v>9465</v>
      </c>
      <c r="KSJ1" t="s">
        <v>9466</v>
      </c>
      <c r="KSK1" t="s">
        <v>9467</v>
      </c>
      <c r="KSL1" t="s">
        <v>9468</v>
      </c>
      <c r="KSM1" t="s">
        <v>9469</v>
      </c>
      <c r="KSN1" t="s">
        <v>9470</v>
      </c>
      <c r="KSO1" t="s">
        <v>9471</v>
      </c>
      <c r="KSP1" t="s">
        <v>9472</v>
      </c>
      <c r="KSQ1" t="s">
        <v>9473</v>
      </c>
      <c r="KSR1" t="s">
        <v>9474</v>
      </c>
      <c r="KSS1" t="s">
        <v>9475</v>
      </c>
      <c r="KST1" t="s">
        <v>9476</v>
      </c>
      <c r="KSU1" t="s">
        <v>9477</v>
      </c>
      <c r="KSV1" t="s">
        <v>9478</v>
      </c>
      <c r="KSW1" t="s">
        <v>9479</v>
      </c>
      <c r="KSX1" t="s">
        <v>9480</v>
      </c>
      <c r="KSY1" t="s">
        <v>9481</v>
      </c>
      <c r="KSZ1" t="s">
        <v>9482</v>
      </c>
      <c r="KTA1" t="s">
        <v>9483</v>
      </c>
      <c r="KTB1" t="s">
        <v>9484</v>
      </c>
      <c r="KTC1" t="s">
        <v>9485</v>
      </c>
      <c r="KTD1" t="s">
        <v>9486</v>
      </c>
      <c r="KTE1" t="s">
        <v>9487</v>
      </c>
      <c r="KTF1" t="s">
        <v>9488</v>
      </c>
      <c r="KTG1" t="s">
        <v>9489</v>
      </c>
      <c r="KTH1" t="s">
        <v>9490</v>
      </c>
      <c r="KTI1" t="s">
        <v>9491</v>
      </c>
      <c r="KTJ1" t="s">
        <v>9492</v>
      </c>
      <c r="KTK1" t="s">
        <v>9493</v>
      </c>
      <c r="KTL1" t="s">
        <v>9494</v>
      </c>
      <c r="KTM1" t="s">
        <v>9495</v>
      </c>
      <c r="KTN1" t="s">
        <v>9496</v>
      </c>
      <c r="KTO1" t="s">
        <v>9497</v>
      </c>
      <c r="KTP1" t="s">
        <v>9498</v>
      </c>
      <c r="KTQ1" t="s">
        <v>9499</v>
      </c>
      <c r="KTR1" t="s">
        <v>9500</v>
      </c>
      <c r="KTS1" t="s">
        <v>9501</v>
      </c>
      <c r="KTT1" t="s">
        <v>9502</v>
      </c>
      <c r="KTU1" t="s">
        <v>9503</v>
      </c>
      <c r="KTV1" t="s">
        <v>9504</v>
      </c>
      <c r="KTW1" t="s">
        <v>9505</v>
      </c>
      <c r="KTX1" t="s">
        <v>9506</v>
      </c>
      <c r="KTY1" t="s">
        <v>9507</v>
      </c>
      <c r="KTZ1" t="s">
        <v>9508</v>
      </c>
      <c r="KUA1" t="s">
        <v>9509</v>
      </c>
      <c r="KUB1" t="s">
        <v>9510</v>
      </c>
      <c r="KUC1" t="s">
        <v>9511</v>
      </c>
      <c r="KUD1" t="s">
        <v>9512</v>
      </c>
      <c r="KUE1" t="s">
        <v>9513</v>
      </c>
      <c r="KUF1" t="s">
        <v>9514</v>
      </c>
      <c r="KUG1" t="s">
        <v>9515</v>
      </c>
      <c r="KUH1" t="s">
        <v>9516</v>
      </c>
      <c r="KUI1" t="s">
        <v>9517</v>
      </c>
      <c r="KUJ1" t="s">
        <v>9518</v>
      </c>
      <c r="KUK1" t="s">
        <v>9519</v>
      </c>
      <c r="KUL1" t="s">
        <v>9520</v>
      </c>
      <c r="KUM1" t="s">
        <v>9521</v>
      </c>
      <c r="KUN1" t="s">
        <v>9522</v>
      </c>
      <c r="KUO1" t="s">
        <v>9523</v>
      </c>
      <c r="KUP1" t="s">
        <v>9524</v>
      </c>
      <c r="KUQ1" t="s">
        <v>9525</v>
      </c>
      <c r="KUR1" t="s">
        <v>9526</v>
      </c>
      <c r="KUS1" t="s">
        <v>9527</v>
      </c>
      <c r="KUT1" t="s">
        <v>9528</v>
      </c>
      <c r="KUU1" t="s">
        <v>9529</v>
      </c>
      <c r="KUV1" t="s">
        <v>9530</v>
      </c>
      <c r="KUW1" t="s">
        <v>9531</v>
      </c>
      <c r="KUX1" t="s">
        <v>9532</v>
      </c>
      <c r="KUY1" t="s">
        <v>9533</v>
      </c>
      <c r="KUZ1" t="s">
        <v>9534</v>
      </c>
      <c r="KVA1" t="s">
        <v>9535</v>
      </c>
      <c r="KVB1" t="s">
        <v>9536</v>
      </c>
      <c r="KVC1" t="s">
        <v>9537</v>
      </c>
      <c r="KVD1" t="s">
        <v>9538</v>
      </c>
      <c r="KVE1" t="s">
        <v>9539</v>
      </c>
      <c r="KVF1" t="s">
        <v>9540</v>
      </c>
      <c r="KVG1" t="s">
        <v>9541</v>
      </c>
      <c r="KVH1" t="s">
        <v>9542</v>
      </c>
      <c r="KVI1" t="s">
        <v>9543</v>
      </c>
      <c r="KVJ1" t="s">
        <v>9544</v>
      </c>
      <c r="KVK1" t="s">
        <v>9545</v>
      </c>
      <c r="KVL1" t="s">
        <v>9546</v>
      </c>
      <c r="KVM1" t="s">
        <v>9547</v>
      </c>
      <c r="KVN1" t="s">
        <v>9548</v>
      </c>
      <c r="KVO1" t="s">
        <v>9549</v>
      </c>
      <c r="KVP1" t="s">
        <v>9550</v>
      </c>
      <c r="KVQ1" t="s">
        <v>9551</v>
      </c>
      <c r="KVR1" t="s">
        <v>9552</v>
      </c>
      <c r="KVS1" t="s">
        <v>9553</v>
      </c>
      <c r="KVT1" t="s">
        <v>9554</v>
      </c>
      <c r="KVU1" t="s">
        <v>9555</v>
      </c>
      <c r="KVV1" t="s">
        <v>9556</v>
      </c>
      <c r="KVW1" t="s">
        <v>9557</v>
      </c>
      <c r="KVX1" t="s">
        <v>9558</v>
      </c>
      <c r="KVY1" t="s">
        <v>9559</v>
      </c>
      <c r="KVZ1" t="s">
        <v>9560</v>
      </c>
      <c r="KWA1" t="s">
        <v>9561</v>
      </c>
      <c r="KWB1" t="s">
        <v>9562</v>
      </c>
      <c r="KWC1" t="s">
        <v>9563</v>
      </c>
      <c r="KWD1" t="s">
        <v>9564</v>
      </c>
      <c r="KWE1" t="s">
        <v>9565</v>
      </c>
      <c r="KWF1" t="s">
        <v>9566</v>
      </c>
      <c r="KWG1" t="s">
        <v>9567</v>
      </c>
      <c r="KWH1" t="s">
        <v>9568</v>
      </c>
      <c r="KWI1" t="s">
        <v>9569</v>
      </c>
      <c r="KWJ1" t="s">
        <v>9570</v>
      </c>
      <c r="KWK1" t="s">
        <v>9571</v>
      </c>
      <c r="KWL1" t="s">
        <v>9572</v>
      </c>
      <c r="KWM1" t="s">
        <v>9573</v>
      </c>
      <c r="KWN1" t="s">
        <v>9574</v>
      </c>
      <c r="KWO1" t="s">
        <v>9575</v>
      </c>
      <c r="KWP1" t="s">
        <v>9576</v>
      </c>
      <c r="KWQ1" t="s">
        <v>9577</v>
      </c>
      <c r="KWR1" t="s">
        <v>9578</v>
      </c>
      <c r="KWS1" t="s">
        <v>9579</v>
      </c>
      <c r="KWT1" t="s">
        <v>9580</v>
      </c>
      <c r="KWU1" t="s">
        <v>9581</v>
      </c>
      <c r="KWV1" t="s">
        <v>9582</v>
      </c>
      <c r="KWW1" t="s">
        <v>9583</v>
      </c>
      <c r="KWX1" t="s">
        <v>9584</v>
      </c>
      <c r="KWY1" t="s">
        <v>9585</v>
      </c>
      <c r="KWZ1" t="s">
        <v>9586</v>
      </c>
      <c r="KXA1" t="s">
        <v>9587</v>
      </c>
      <c r="KXB1" t="s">
        <v>9588</v>
      </c>
      <c r="KXC1" t="s">
        <v>9589</v>
      </c>
      <c r="KXD1" t="s">
        <v>9590</v>
      </c>
      <c r="KXE1" t="s">
        <v>9591</v>
      </c>
      <c r="KXF1" t="s">
        <v>9592</v>
      </c>
      <c r="KXG1" t="s">
        <v>9593</v>
      </c>
      <c r="KXH1" t="s">
        <v>9594</v>
      </c>
      <c r="KXI1" t="s">
        <v>9595</v>
      </c>
      <c r="KXJ1" t="s">
        <v>9596</v>
      </c>
      <c r="KXK1" t="s">
        <v>9597</v>
      </c>
      <c r="KXL1" t="s">
        <v>9598</v>
      </c>
      <c r="KXM1" t="s">
        <v>9599</v>
      </c>
      <c r="KXN1" t="s">
        <v>9600</v>
      </c>
      <c r="KXO1" t="s">
        <v>9601</v>
      </c>
      <c r="KXP1" t="s">
        <v>9602</v>
      </c>
      <c r="KXQ1" t="s">
        <v>9603</v>
      </c>
      <c r="KXR1" t="s">
        <v>9604</v>
      </c>
      <c r="KXS1" t="s">
        <v>9605</v>
      </c>
      <c r="KXT1" t="s">
        <v>9606</v>
      </c>
      <c r="KXU1" t="s">
        <v>9607</v>
      </c>
      <c r="KXV1" t="s">
        <v>9608</v>
      </c>
      <c r="KXW1" t="s">
        <v>9609</v>
      </c>
      <c r="KXX1" t="s">
        <v>9610</v>
      </c>
      <c r="KXY1" t="s">
        <v>9611</v>
      </c>
      <c r="KXZ1" t="s">
        <v>9612</v>
      </c>
      <c r="KYA1" t="s">
        <v>9613</v>
      </c>
      <c r="KYB1" t="s">
        <v>9614</v>
      </c>
      <c r="KYC1" t="s">
        <v>9615</v>
      </c>
      <c r="KYD1" t="s">
        <v>9616</v>
      </c>
      <c r="KYE1" t="s">
        <v>9617</v>
      </c>
      <c r="KYF1" t="s">
        <v>9618</v>
      </c>
      <c r="KYG1" t="s">
        <v>9619</v>
      </c>
      <c r="KYH1" t="s">
        <v>9620</v>
      </c>
      <c r="KYI1" t="s">
        <v>9621</v>
      </c>
      <c r="KYJ1" t="s">
        <v>9622</v>
      </c>
      <c r="KYK1" t="s">
        <v>9623</v>
      </c>
      <c r="KYL1" t="s">
        <v>9624</v>
      </c>
      <c r="KYM1" t="s">
        <v>9625</v>
      </c>
      <c r="KYN1" t="s">
        <v>9626</v>
      </c>
      <c r="KYO1" t="s">
        <v>9627</v>
      </c>
      <c r="KYP1" t="s">
        <v>9628</v>
      </c>
      <c r="KYQ1" t="s">
        <v>9629</v>
      </c>
      <c r="KYR1" t="s">
        <v>9630</v>
      </c>
      <c r="KYS1" t="s">
        <v>9631</v>
      </c>
      <c r="KYT1" t="s">
        <v>9632</v>
      </c>
      <c r="KYU1" t="s">
        <v>9633</v>
      </c>
      <c r="KYV1" t="s">
        <v>9634</v>
      </c>
      <c r="KYW1" t="s">
        <v>9635</v>
      </c>
      <c r="KYX1" t="s">
        <v>9636</v>
      </c>
      <c r="KYY1" t="s">
        <v>9637</v>
      </c>
      <c r="KYZ1" t="s">
        <v>9638</v>
      </c>
      <c r="KZA1" t="s">
        <v>9639</v>
      </c>
      <c r="KZB1" t="s">
        <v>9640</v>
      </c>
      <c r="KZC1" t="s">
        <v>9641</v>
      </c>
      <c r="KZD1" t="s">
        <v>9642</v>
      </c>
      <c r="KZE1" t="s">
        <v>9643</v>
      </c>
      <c r="KZF1" t="s">
        <v>9644</v>
      </c>
      <c r="KZG1" t="s">
        <v>9645</v>
      </c>
      <c r="KZH1" t="s">
        <v>9646</v>
      </c>
      <c r="KZI1" t="s">
        <v>9647</v>
      </c>
      <c r="KZJ1" t="s">
        <v>9648</v>
      </c>
      <c r="KZK1" t="s">
        <v>9649</v>
      </c>
      <c r="KZL1" t="s">
        <v>9650</v>
      </c>
      <c r="KZM1" t="s">
        <v>9651</v>
      </c>
      <c r="KZN1" t="s">
        <v>9652</v>
      </c>
      <c r="KZO1" t="s">
        <v>9653</v>
      </c>
      <c r="KZP1" t="s">
        <v>9654</v>
      </c>
      <c r="KZQ1" t="s">
        <v>9655</v>
      </c>
      <c r="KZR1" t="s">
        <v>9656</v>
      </c>
      <c r="KZS1" t="s">
        <v>9657</v>
      </c>
      <c r="KZT1" t="s">
        <v>9658</v>
      </c>
      <c r="KZU1" t="s">
        <v>9659</v>
      </c>
      <c r="KZV1" t="s">
        <v>9660</v>
      </c>
      <c r="KZW1" t="s">
        <v>9661</v>
      </c>
      <c r="KZX1" t="s">
        <v>9662</v>
      </c>
      <c r="KZY1" t="s">
        <v>9663</v>
      </c>
      <c r="KZZ1" t="s">
        <v>9664</v>
      </c>
      <c r="LAA1" t="s">
        <v>9665</v>
      </c>
      <c r="LAB1" t="s">
        <v>9666</v>
      </c>
      <c r="LAC1" t="s">
        <v>9667</v>
      </c>
      <c r="LAD1" t="s">
        <v>9668</v>
      </c>
      <c r="LAE1" t="s">
        <v>9669</v>
      </c>
      <c r="LAF1" t="s">
        <v>9670</v>
      </c>
      <c r="LAG1" t="s">
        <v>9671</v>
      </c>
      <c r="LAH1" t="s">
        <v>9672</v>
      </c>
      <c r="LAI1" t="s">
        <v>9673</v>
      </c>
      <c r="LAJ1" t="s">
        <v>9674</v>
      </c>
      <c r="LAK1" t="s">
        <v>9675</v>
      </c>
      <c r="LAL1" t="s">
        <v>9676</v>
      </c>
      <c r="LAM1" t="s">
        <v>9677</v>
      </c>
      <c r="LAN1" t="s">
        <v>9678</v>
      </c>
      <c r="LAO1" t="s">
        <v>9679</v>
      </c>
      <c r="LAP1" t="s">
        <v>9680</v>
      </c>
      <c r="LAQ1" t="s">
        <v>9681</v>
      </c>
      <c r="LAR1" t="s">
        <v>9682</v>
      </c>
      <c r="LAS1" t="s">
        <v>9683</v>
      </c>
      <c r="LAT1" t="s">
        <v>9684</v>
      </c>
      <c r="LAU1" t="s">
        <v>9685</v>
      </c>
      <c r="LAV1" t="s">
        <v>9686</v>
      </c>
      <c r="LAW1" t="s">
        <v>9687</v>
      </c>
      <c r="LAX1" t="s">
        <v>9688</v>
      </c>
      <c r="LAY1" t="s">
        <v>9689</v>
      </c>
      <c r="LAZ1" t="s">
        <v>9690</v>
      </c>
      <c r="LBA1" t="s">
        <v>9691</v>
      </c>
      <c r="LBB1" t="s">
        <v>9692</v>
      </c>
      <c r="LBC1" t="s">
        <v>9693</v>
      </c>
      <c r="LBD1" t="s">
        <v>9694</v>
      </c>
      <c r="LBE1" t="s">
        <v>9695</v>
      </c>
      <c r="LBF1" t="s">
        <v>9696</v>
      </c>
      <c r="LBG1" t="s">
        <v>9697</v>
      </c>
      <c r="LBH1" t="s">
        <v>9698</v>
      </c>
      <c r="LBI1" t="s">
        <v>9699</v>
      </c>
      <c r="LBJ1" t="s">
        <v>9700</v>
      </c>
      <c r="LBK1" t="s">
        <v>9701</v>
      </c>
      <c r="LBL1" t="s">
        <v>9702</v>
      </c>
      <c r="LBM1" t="s">
        <v>9703</v>
      </c>
      <c r="LBN1" t="s">
        <v>9704</v>
      </c>
      <c r="LBO1" t="s">
        <v>9705</v>
      </c>
      <c r="LBP1" t="s">
        <v>9706</v>
      </c>
      <c r="LBQ1" t="s">
        <v>9707</v>
      </c>
      <c r="LBR1" t="s">
        <v>9708</v>
      </c>
      <c r="LBS1" t="s">
        <v>9709</v>
      </c>
      <c r="LBT1" t="s">
        <v>9710</v>
      </c>
      <c r="LBU1" t="s">
        <v>9711</v>
      </c>
      <c r="LBV1" t="s">
        <v>9712</v>
      </c>
      <c r="LBW1" t="s">
        <v>9713</v>
      </c>
      <c r="LBX1" t="s">
        <v>9714</v>
      </c>
      <c r="LBY1" t="s">
        <v>9715</v>
      </c>
      <c r="LBZ1" t="s">
        <v>9716</v>
      </c>
      <c r="LCA1" t="s">
        <v>9717</v>
      </c>
      <c r="LCB1" t="s">
        <v>9718</v>
      </c>
      <c r="LCC1" t="s">
        <v>9719</v>
      </c>
      <c r="LCD1" t="s">
        <v>9720</v>
      </c>
      <c r="LCE1" t="s">
        <v>9721</v>
      </c>
      <c r="LCF1" t="s">
        <v>9722</v>
      </c>
      <c r="LCG1" t="s">
        <v>9723</v>
      </c>
      <c r="LCH1" t="s">
        <v>9724</v>
      </c>
      <c r="LCI1" t="s">
        <v>9725</v>
      </c>
      <c r="LCJ1" t="s">
        <v>9726</v>
      </c>
      <c r="LCK1" t="s">
        <v>9727</v>
      </c>
      <c r="LCL1" t="s">
        <v>9728</v>
      </c>
      <c r="LCM1" t="s">
        <v>9729</v>
      </c>
      <c r="LCN1" t="s">
        <v>9730</v>
      </c>
      <c r="LCO1" t="s">
        <v>9731</v>
      </c>
      <c r="LCP1" t="s">
        <v>9732</v>
      </c>
      <c r="LCQ1" t="s">
        <v>9733</v>
      </c>
      <c r="LCR1" t="s">
        <v>9734</v>
      </c>
      <c r="LCS1" t="s">
        <v>9735</v>
      </c>
      <c r="LCT1" t="s">
        <v>9736</v>
      </c>
      <c r="LCU1" t="s">
        <v>9737</v>
      </c>
      <c r="LCV1" t="s">
        <v>9738</v>
      </c>
      <c r="LCW1" t="s">
        <v>9739</v>
      </c>
      <c r="LCX1" t="s">
        <v>9740</v>
      </c>
      <c r="LCY1" t="s">
        <v>9741</v>
      </c>
      <c r="LCZ1" t="s">
        <v>9742</v>
      </c>
      <c r="LDA1" t="s">
        <v>9743</v>
      </c>
      <c r="LDB1" t="s">
        <v>9744</v>
      </c>
      <c r="LDC1" t="s">
        <v>9745</v>
      </c>
      <c r="LDD1" t="s">
        <v>9746</v>
      </c>
      <c r="LDE1" t="s">
        <v>9747</v>
      </c>
      <c r="LDF1" t="s">
        <v>9748</v>
      </c>
      <c r="LDG1" t="s">
        <v>9749</v>
      </c>
      <c r="LDH1" t="s">
        <v>9750</v>
      </c>
      <c r="LDI1" t="s">
        <v>9751</v>
      </c>
      <c r="LDJ1" t="s">
        <v>9752</v>
      </c>
      <c r="LDK1" t="s">
        <v>9753</v>
      </c>
      <c r="LDL1" t="s">
        <v>9754</v>
      </c>
      <c r="LDM1" t="s">
        <v>9755</v>
      </c>
      <c r="LDN1" t="s">
        <v>9756</v>
      </c>
      <c r="LDO1" t="s">
        <v>9757</v>
      </c>
      <c r="LDP1" t="s">
        <v>9758</v>
      </c>
      <c r="LDQ1" t="s">
        <v>9759</v>
      </c>
      <c r="LDR1" t="s">
        <v>9760</v>
      </c>
      <c r="LDS1" t="s">
        <v>9761</v>
      </c>
      <c r="LDT1" t="s">
        <v>9762</v>
      </c>
      <c r="LDU1" t="s">
        <v>9763</v>
      </c>
      <c r="LDV1" t="s">
        <v>9764</v>
      </c>
      <c r="LDW1" t="s">
        <v>9765</v>
      </c>
      <c r="LDX1" t="s">
        <v>9766</v>
      </c>
      <c r="LDY1" t="s">
        <v>9767</v>
      </c>
      <c r="LDZ1" t="s">
        <v>9768</v>
      </c>
      <c r="LEA1" t="s">
        <v>9769</v>
      </c>
      <c r="LEB1" t="s">
        <v>9770</v>
      </c>
      <c r="LEC1" t="s">
        <v>9771</v>
      </c>
      <c r="LED1" t="s">
        <v>9772</v>
      </c>
      <c r="LEE1" t="s">
        <v>9773</v>
      </c>
      <c r="LEF1" t="s">
        <v>9774</v>
      </c>
      <c r="LEG1" t="s">
        <v>9775</v>
      </c>
      <c r="LEH1" t="s">
        <v>9776</v>
      </c>
      <c r="LEI1" t="s">
        <v>9777</v>
      </c>
      <c r="LEJ1" t="s">
        <v>9778</v>
      </c>
      <c r="LEK1" t="s">
        <v>9779</v>
      </c>
      <c r="LEL1" t="s">
        <v>9780</v>
      </c>
      <c r="LEM1" t="s">
        <v>9781</v>
      </c>
      <c r="LEN1" t="s">
        <v>9782</v>
      </c>
      <c r="LEO1" t="s">
        <v>9783</v>
      </c>
      <c r="LEP1" t="s">
        <v>9784</v>
      </c>
      <c r="LEQ1" t="s">
        <v>9785</v>
      </c>
      <c r="LER1" t="s">
        <v>9786</v>
      </c>
      <c r="LES1" t="s">
        <v>9787</v>
      </c>
      <c r="LET1" t="s">
        <v>9788</v>
      </c>
      <c r="LEU1" t="s">
        <v>9789</v>
      </c>
      <c r="LEV1" t="s">
        <v>9790</v>
      </c>
      <c r="LEW1" t="s">
        <v>9791</v>
      </c>
      <c r="LEX1" t="s">
        <v>9792</v>
      </c>
      <c r="LEY1" t="s">
        <v>9793</v>
      </c>
      <c r="LEZ1" t="s">
        <v>9794</v>
      </c>
      <c r="LFA1" t="s">
        <v>9795</v>
      </c>
      <c r="LFB1" t="s">
        <v>9796</v>
      </c>
      <c r="LFC1" t="s">
        <v>9797</v>
      </c>
      <c r="LFD1" t="s">
        <v>9798</v>
      </c>
      <c r="LFE1" t="s">
        <v>9799</v>
      </c>
      <c r="LFF1" t="s">
        <v>9800</v>
      </c>
      <c r="LFG1" t="s">
        <v>9801</v>
      </c>
      <c r="LFH1" t="s">
        <v>9802</v>
      </c>
      <c r="LFI1" t="s">
        <v>9803</v>
      </c>
      <c r="LFJ1" t="s">
        <v>9804</v>
      </c>
      <c r="LFK1" t="s">
        <v>9805</v>
      </c>
      <c r="LFL1" t="s">
        <v>9806</v>
      </c>
      <c r="LFM1" t="s">
        <v>9807</v>
      </c>
      <c r="LFN1" t="s">
        <v>9808</v>
      </c>
      <c r="LFO1" t="s">
        <v>9809</v>
      </c>
      <c r="LFP1" t="s">
        <v>9810</v>
      </c>
      <c r="LFQ1" t="s">
        <v>9811</v>
      </c>
      <c r="LFR1" t="s">
        <v>9812</v>
      </c>
      <c r="LFS1" t="s">
        <v>9813</v>
      </c>
      <c r="LFT1" t="s">
        <v>9814</v>
      </c>
      <c r="LFU1" t="s">
        <v>9815</v>
      </c>
      <c r="LFV1" t="s">
        <v>9816</v>
      </c>
      <c r="LFW1" t="s">
        <v>9817</v>
      </c>
      <c r="LFX1" t="s">
        <v>9818</v>
      </c>
      <c r="LFY1" t="s">
        <v>9819</v>
      </c>
      <c r="LFZ1" t="s">
        <v>9820</v>
      </c>
      <c r="LGA1" t="s">
        <v>9821</v>
      </c>
      <c r="LGB1" t="s">
        <v>9822</v>
      </c>
      <c r="LGC1" t="s">
        <v>9823</v>
      </c>
      <c r="LGD1" t="s">
        <v>9824</v>
      </c>
      <c r="LGE1" t="s">
        <v>9825</v>
      </c>
      <c r="LGF1" t="s">
        <v>9826</v>
      </c>
      <c r="LGG1" t="s">
        <v>9827</v>
      </c>
      <c r="LGH1" t="s">
        <v>9828</v>
      </c>
      <c r="LGI1" t="s">
        <v>9829</v>
      </c>
      <c r="LGJ1" t="s">
        <v>9830</v>
      </c>
      <c r="LGK1" t="s">
        <v>9831</v>
      </c>
      <c r="LGL1" t="s">
        <v>9832</v>
      </c>
      <c r="LGM1" t="s">
        <v>9833</v>
      </c>
      <c r="LGN1" t="s">
        <v>9834</v>
      </c>
      <c r="LGO1" t="s">
        <v>9835</v>
      </c>
      <c r="LGP1" t="s">
        <v>9836</v>
      </c>
      <c r="LGQ1" t="s">
        <v>9837</v>
      </c>
      <c r="LGR1" t="s">
        <v>9838</v>
      </c>
      <c r="LGS1" t="s">
        <v>9839</v>
      </c>
      <c r="LGT1" t="s">
        <v>9840</v>
      </c>
      <c r="LGU1" t="s">
        <v>9841</v>
      </c>
      <c r="LGV1" t="s">
        <v>9842</v>
      </c>
      <c r="LGW1" t="s">
        <v>9843</v>
      </c>
      <c r="LGX1" t="s">
        <v>9844</v>
      </c>
      <c r="LGY1" t="s">
        <v>9845</v>
      </c>
      <c r="LGZ1" t="s">
        <v>9846</v>
      </c>
      <c r="LHA1" t="s">
        <v>9847</v>
      </c>
      <c r="LHB1" t="s">
        <v>9848</v>
      </c>
      <c r="LHC1" t="s">
        <v>9849</v>
      </c>
      <c r="LHD1" t="s">
        <v>9850</v>
      </c>
      <c r="LHE1" t="s">
        <v>9851</v>
      </c>
      <c r="LHF1" t="s">
        <v>9852</v>
      </c>
      <c r="LHG1" t="s">
        <v>9853</v>
      </c>
      <c r="LHH1" t="s">
        <v>9854</v>
      </c>
      <c r="LHI1" t="s">
        <v>9855</v>
      </c>
      <c r="LHJ1" t="s">
        <v>9856</v>
      </c>
      <c r="LHK1" t="s">
        <v>9857</v>
      </c>
      <c r="LHL1" t="s">
        <v>9858</v>
      </c>
      <c r="LHM1" t="s">
        <v>9859</v>
      </c>
      <c r="LHN1" t="s">
        <v>9860</v>
      </c>
      <c r="LHO1" t="s">
        <v>9861</v>
      </c>
      <c r="LHP1" t="s">
        <v>9862</v>
      </c>
      <c r="LHQ1" t="s">
        <v>9863</v>
      </c>
      <c r="LHR1" t="s">
        <v>9864</v>
      </c>
      <c r="LHS1" t="s">
        <v>9865</v>
      </c>
      <c r="LHT1" t="s">
        <v>9866</v>
      </c>
      <c r="LHU1" t="s">
        <v>9867</v>
      </c>
      <c r="LHV1" t="s">
        <v>9868</v>
      </c>
      <c r="LHW1" t="s">
        <v>9869</v>
      </c>
      <c r="LHX1" t="s">
        <v>9870</v>
      </c>
      <c r="LHY1" t="s">
        <v>9871</v>
      </c>
      <c r="LHZ1" t="s">
        <v>9872</v>
      </c>
      <c r="LIA1" t="s">
        <v>9873</v>
      </c>
      <c r="LIB1" t="s">
        <v>9874</v>
      </c>
      <c r="LIC1" t="s">
        <v>9875</v>
      </c>
      <c r="LID1" t="s">
        <v>9876</v>
      </c>
      <c r="LIE1" t="s">
        <v>9877</v>
      </c>
      <c r="LIF1" t="s">
        <v>9878</v>
      </c>
      <c r="LIG1" t="s">
        <v>9879</v>
      </c>
      <c r="LIH1" t="s">
        <v>9880</v>
      </c>
      <c r="LII1" t="s">
        <v>9881</v>
      </c>
      <c r="LIJ1" t="s">
        <v>9882</v>
      </c>
      <c r="LIK1" t="s">
        <v>9883</v>
      </c>
      <c r="LIL1" t="s">
        <v>9884</v>
      </c>
      <c r="LIM1" t="s">
        <v>9885</v>
      </c>
      <c r="LIN1" t="s">
        <v>9886</v>
      </c>
      <c r="LIO1" t="s">
        <v>9887</v>
      </c>
      <c r="LIP1" t="s">
        <v>9888</v>
      </c>
      <c r="LIQ1" t="s">
        <v>9889</v>
      </c>
      <c r="LIR1" t="s">
        <v>9890</v>
      </c>
      <c r="LIS1" t="s">
        <v>9891</v>
      </c>
      <c r="LIT1" t="s">
        <v>9892</v>
      </c>
      <c r="LIU1" t="s">
        <v>9893</v>
      </c>
      <c r="LIV1" t="s">
        <v>9894</v>
      </c>
      <c r="LIW1" t="s">
        <v>9895</v>
      </c>
      <c r="LIX1" t="s">
        <v>9896</v>
      </c>
      <c r="LIY1" t="s">
        <v>9897</v>
      </c>
      <c r="LIZ1" t="s">
        <v>9898</v>
      </c>
      <c r="LJA1" t="s">
        <v>9899</v>
      </c>
      <c r="LJB1" t="s">
        <v>9900</v>
      </c>
      <c r="LJC1" t="s">
        <v>9901</v>
      </c>
      <c r="LJD1" t="s">
        <v>9902</v>
      </c>
      <c r="LJE1" t="s">
        <v>9903</v>
      </c>
      <c r="LJF1" t="s">
        <v>9904</v>
      </c>
      <c r="LJG1" t="s">
        <v>9905</v>
      </c>
      <c r="LJH1" t="s">
        <v>9906</v>
      </c>
      <c r="LJI1" t="s">
        <v>9907</v>
      </c>
      <c r="LJJ1" t="s">
        <v>9908</v>
      </c>
      <c r="LJK1" t="s">
        <v>9909</v>
      </c>
      <c r="LJL1" t="s">
        <v>9910</v>
      </c>
      <c r="LJM1" t="s">
        <v>9911</v>
      </c>
      <c r="LJN1" t="s">
        <v>9912</v>
      </c>
      <c r="LJO1" t="s">
        <v>9913</v>
      </c>
      <c r="LJP1" t="s">
        <v>9914</v>
      </c>
      <c r="LJQ1" t="s">
        <v>9915</v>
      </c>
      <c r="LJR1" t="s">
        <v>9916</v>
      </c>
      <c r="LJS1" t="s">
        <v>9917</v>
      </c>
      <c r="LJT1" t="s">
        <v>9918</v>
      </c>
      <c r="LJU1" t="s">
        <v>9919</v>
      </c>
      <c r="LJV1" t="s">
        <v>9920</v>
      </c>
      <c r="LJW1" t="s">
        <v>9921</v>
      </c>
      <c r="LJX1" t="s">
        <v>9922</v>
      </c>
      <c r="LJY1" t="s">
        <v>9923</v>
      </c>
      <c r="LJZ1" t="s">
        <v>9924</v>
      </c>
      <c r="LKA1" t="s">
        <v>9925</v>
      </c>
      <c r="LKB1" t="s">
        <v>9926</v>
      </c>
      <c r="LKC1" t="s">
        <v>9927</v>
      </c>
      <c r="LKD1" t="s">
        <v>9928</v>
      </c>
      <c r="LKE1" t="s">
        <v>9929</v>
      </c>
      <c r="LKF1" t="s">
        <v>9930</v>
      </c>
      <c r="LKG1" t="s">
        <v>9931</v>
      </c>
      <c r="LKH1" t="s">
        <v>9932</v>
      </c>
      <c r="LKI1" t="s">
        <v>9933</v>
      </c>
      <c r="LKJ1" t="s">
        <v>9934</v>
      </c>
      <c r="LKK1" t="s">
        <v>9935</v>
      </c>
      <c r="LKL1" t="s">
        <v>9936</v>
      </c>
      <c r="LKM1" t="s">
        <v>9937</v>
      </c>
      <c r="LKN1" t="s">
        <v>9938</v>
      </c>
      <c r="LKO1" t="s">
        <v>9939</v>
      </c>
      <c r="LKP1" t="s">
        <v>9940</v>
      </c>
      <c r="LKQ1" t="s">
        <v>9941</v>
      </c>
      <c r="LKR1" t="s">
        <v>9942</v>
      </c>
      <c r="LKS1" t="s">
        <v>9943</v>
      </c>
      <c r="LKT1" t="s">
        <v>9944</v>
      </c>
      <c r="LKU1" t="s">
        <v>9945</v>
      </c>
      <c r="LKV1" t="s">
        <v>9946</v>
      </c>
      <c r="LKW1" t="s">
        <v>9947</v>
      </c>
      <c r="LKX1" t="s">
        <v>9948</v>
      </c>
      <c r="LKY1" t="s">
        <v>9949</v>
      </c>
      <c r="LKZ1" t="s">
        <v>9950</v>
      </c>
      <c r="LLA1" t="s">
        <v>9951</v>
      </c>
      <c r="LLB1" t="s">
        <v>9952</v>
      </c>
      <c r="LLC1" t="s">
        <v>9953</v>
      </c>
      <c r="LLD1" t="s">
        <v>9954</v>
      </c>
      <c r="LLE1" t="s">
        <v>9955</v>
      </c>
      <c r="LLF1" t="s">
        <v>9956</v>
      </c>
      <c r="LLG1" t="s">
        <v>9957</v>
      </c>
      <c r="LLH1" t="s">
        <v>9958</v>
      </c>
      <c r="LLI1" t="s">
        <v>9959</v>
      </c>
      <c r="LLJ1" t="s">
        <v>9960</v>
      </c>
      <c r="LLK1" t="s">
        <v>9961</v>
      </c>
      <c r="LLL1" t="s">
        <v>9962</v>
      </c>
      <c r="LLM1" t="s">
        <v>9963</v>
      </c>
      <c r="LLN1" t="s">
        <v>9964</v>
      </c>
      <c r="LLO1" t="s">
        <v>9965</v>
      </c>
      <c r="LLP1" t="s">
        <v>9966</v>
      </c>
      <c r="LLQ1" t="s">
        <v>9967</v>
      </c>
      <c r="LLR1" t="s">
        <v>9968</v>
      </c>
      <c r="LLS1" t="s">
        <v>9969</v>
      </c>
      <c r="LLT1" t="s">
        <v>9970</v>
      </c>
      <c r="LLU1" t="s">
        <v>9971</v>
      </c>
      <c r="LLV1" t="s">
        <v>9972</v>
      </c>
      <c r="LLW1" t="s">
        <v>9973</v>
      </c>
      <c r="LLX1" t="s">
        <v>9974</v>
      </c>
      <c r="LLY1" t="s">
        <v>9975</v>
      </c>
      <c r="LLZ1" t="s">
        <v>9976</v>
      </c>
      <c r="LMA1" t="s">
        <v>9977</v>
      </c>
      <c r="LMB1" t="s">
        <v>9978</v>
      </c>
      <c r="LMC1" t="s">
        <v>9979</v>
      </c>
      <c r="LMD1" t="s">
        <v>9980</v>
      </c>
      <c r="LME1" t="s">
        <v>9981</v>
      </c>
      <c r="LMF1" t="s">
        <v>9982</v>
      </c>
      <c r="LMG1" t="s">
        <v>9983</v>
      </c>
      <c r="LMH1" t="s">
        <v>9984</v>
      </c>
      <c r="LMI1" t="s">
        <v>9985</v>
      </c>
      <c r="LMJ1" t="s">
        <v>9986</v>
      </c>
      <c r="LMK1" t="s">
        <v>9987</v>
      </c>
      <c r="LML1" t="s">
        <v>9988</v>
      </c>
      <c r="LMM1" t="s">
        <v>9989</v>
      </c>
      <c r="LMN1" t="s">
        <v>9990</v>
      </c>
      <c r="LMO1" t="s">
        <v>9991</v>
      </c>
      <c r="LMP1" t="s">
        <v>9992</v>
      </c>
      <c r="LMQ1" t="s">
        <v>9993</v>
      </c>
      <c r="LMR1" t="s">
        <v>9994</v>
      </c>
      <c r="LMS1" t="s">
        <v>9995</v>
      </c>
      <c r="LMT1" t="s">
        <v>9996</v>
      </c>
      <c r="LMU1" t="s">
        <v>9997</v>
      </c>
      <c r="LMV1" t="s">
        <v>9998</v>
      </c>
      <c r="LMW1" t="s">
        <v>9999</v>
      </c>
      <c r="LMX1" t="s">
        <v>10000</v>
      </c>
      <c r="LMY1" t="s">
        <v>10001</v>
      </c>
      <c r="LMZ1" t="s">
        <v>10002</v>
      </c>
      <c r="LNA1" t="s">
        <v>10003</v>
      </c>
      <c r="LNB1" t="s">
        <v>10004</v>
      </c>
      <c r="LNC1" t="s">
        <v>10005</v>
      </c>
      <c r="LND1" t="s">
        <v>10006</v>
      </c>
      <c r="LNE1" t="s">
        <v>10007</v>
      </c>
      <c r="LNF1" t="s">
        <v>10008</v>
      </c>
      <c r="LNG1" t="s">
        <v>10009</v>
      </c>
      <c r="LNH1" t="s">
        <v>10010</v>
      </c>
      <c r="LNI1" t="s">
        <v>10011</v>
      </c>
      <c r="LNJ1" t="s">
        <v>10012</v>
      </c>
      <c r="LNK1" t="s">
        <v>10013</v>
      </c>
      <c r="LNL1" t="s">
        <v>10014</v>
      </c>
      <c r="LNM1" t="s">
        <v>10015</v>
      </c>
      <c r="LNN1" t="s">
        <v>10016</v>
      </c>
      <c r="LNO1" t="s">
        <v>10017</v>
      </c>
      <c r="LNP1" t="s">
        <v>10018</v>
      </c>
      <c r="LNQ1" t="s">
        <v>10019</v>
      </c>
      <c r="LNR1" t="s">
        <v>10020</v>
      </c>
      <c r="LNS1" t="s">
        <v>10021</v>
      </c>
      <c r="LNT1" t="s">
        <v>10022</v>
      </c>
      <c r="LNU1" t="s">
        <v>10023</v>
      </c>
      <c r="LNV1" t="s">
        <v>10024</v>
      </c>
      <c r="LNW1" t="s">
        <v>10025</v>
      </c>
      <c r="LNX1" t="s">
        <v>10026</v>
      </c>
      <c r="LNY1" t="s">
        <v>10027</v>
      </c>
      <c r="LNZ1" t="s">
        <v>10028</v>
      </c>
      <c r="LOA1" t="s">
        <v>10029</v>
      </c>
      <c r="LOB1" t="s">
        <v>10030</v>
      </c>
      <c r="LOC1" t="s">
        <v>10031</v>
      </c>
      <c r="LOD1" t="s">
        <v>10032</v>
      </c>
      <c r="LOE1" t="s">
        <v>10033</v>
      </c>
      <c r="LOF1" t="s">
        <v>10034</v>
      </c>
      <c r="LOG1" t="s">
        <v>10035</v>
      </c>
      <c r="LOH1" t="s">
        <v>10036</v>
      </c>
      <c r="LOI1" t="s">
        <v>10037</v>
      </c>
      <c r="LOJ1" t="s">
        <v>10038</v>
      </c>
      <c r="LOK1" t="s">
        <v>10039</v>
      </c>
      <c r="LOL1" t="s">
        <v>10040</v>
      </c>
      <c r="LOM1" t="s">
        <v>10041</v>
      </c>
      <c r="LON1" t="s">
        <v>10042</v>
      </c>
      <c r="LOO1" t="s">
        <v>10043</v>
      </c>
      <c r="LOP1" t="s">
        <v>10044</v>
      </c>
      <c r="LOQ1" t="s">
        <v>10045</v>
      </c>
      <c r="LOR1" t="s">
        <v>10046</v>
      </c>
      <c r="LOS1" t="s">
        <v>10047</v>
      </c>
      <c r="LOT1" t="s">
        <v>10048</v>
      </c>
      <c r="LOU1" t="s">
        <v>10049</v>
      </c>
      <c r="LOV1" t="s">
        <v>10050</v>
      </c>
      <c r="LOW1" t="s">
        <v>10051</v>
      </c>
      <c r="LOX1" t="s">
        <v>10052</v>
      </c>
      <c r="LOY1" t="s">
        <v>10053</v>
      </c>
      <c r="LOZ1" t="s">
        <v>10054</v>
      </c>
      <c r="LPA1" t="s">
        <v>10055</v>
      </c>
      <c r="LPB1" t="s">
        <v>10056</v>
      </c>
      <c r="LPC1" t="s">
        <v>10057</v>
      </c>
      <c r="LPD1" t="s">
        <v>10058</v>
      </c>
      <c r="LPE1" t="s">
        <v>10059</v>
      </c>
      <c r="LPF1" t="s">
        <v>10060</v>
      </c>
      <c r="LPG1" t="s">
        <v>10061</v>
      </c>
      <c r="LPH1" t="s">
        <v>10062</v>
      </c>
      <c r="LPI1" t="s">
        <v>10063</v>
      </c>
      <c r="LPJ1" t="s">
        <v>10064</v>
      </c>
      <c r="LPK1" t="s">
        <v>10065</v>
      </c>
      <c r="LPL1" t="s">
        <v>10066</v>
      </c>
      <c r="LPM1" t="s">
        <v>10067</v>
      </c>
      <c r="LPN1" t="s">
        <v>10068</v>
      </c>
      <c r="LPO1" t="s">
        <v>10069</v>
      </c>
      <c r="LPP1" t="s">
        <v>10070</v>
      </c>
      <c r="LPQ1" t="s">
        <v>10071</v>
      </c>
      <c r="LPR1" t="s">
        <v>10072</v>
      </c>
      <c r="LPS1" t="s">
        <v>10073</v>
      </c>
      <c r="LPT1" t="s">
        <v>10074</v>
      </c>
      <c r="LPU1" t="s">
        <v>10075</v>
      </c>
      <c r="LPV1" t="s">
        <v>10076</v>
      </c>
      <c r="LPW1" t="s">
        <v>10077</v>
      </c>
      <c r="LPX1" t="s">
        <v>10078</v>
      </c>
      <c r="LPY1" t="s">
        <v>10079</v>
      </c>
      <c r="LPZ1" t="s">
        <v>10080</v>
      </c>
      <c r="LQA1" t="s">
        <v>10081</v>
      </c>
      <c r="LQB1" t="s">
        <v>10082</v>
      </c>
      <c r="LQC1" t="s">
        <v>10083</v>
      </c>
      <c r="LQD1" t="s">
        <v>10084</v>
      </c>
      <c r="LQE1" t="s">
        <v>10085</v>
      </c>
      <c r="LQF1" t="s">
        <v>10086</v>
      </c>
      <c r="LQG1" t="s">
        <v>10087</v>
      </c>
      <c r="LQH1" t="s">
        <v>10088</v>
      </c>
      <c r="LQI1" t="s">
        <v>10089</v>
      </c>
      <c r="LQJ1" t="s">
        <v>10090</v>
      </c>
      <c r="LQK1" t="s">
        <v>10091</v>
      </c>
      <c r="LQL1" t="s">
        <v>10092</v>
      </c>
      <c r="LQM1" t="s">
        <v>10093</v>
      </c>
      <c r="LQN1" t="s">
        <v>10094</v>
      </c>
      <c r="LQO1" t="s">
        <v>10095</v>
      </c>
      <c r="LQP1" t="s">
        <v>10096</v>
      </c>
      <c r="LQQ1" t="s">
        <v>10097</v>
      </c>
      <c r="LQR1" t="s">
        <v>10098</v>
      </c>
      <c r="LQS1" t="s">
        <v>10099</v>
      </c>
      <c r="LQT1" t="s">
        <v>10100</v>
      </c>
      <c r="LQU1" t="s">
        <v>10101</v>
      </c>
      <c r="LQV1" t="s">
        <v>10102</v>
      </c>
      <c r="LQW1" t="s">
        <v>10103</v>
      </c>
      <c r="LQX1" t="s">
        <v>10104</v>
      </c>
      <c r="LQY1" t="s">
        <v>10105</v>
      </c>
      <c r="LQZ1" t="s">
        <v>10106</v>
      </c>
      <c r="LRA1" t="s">
        <v>10107</v>
      </c>
      <c r="LRB1" t="s">
        <v>10108</v>
      </c>
      <c r="LRC1" t="s">
        <v>10109</v>
      </c>
      <c r="LRD1" t="s">
        <v>10110</v>
      </c>
      <c r="LRE1" t="s">
        <v>10111</v>
      </c>
      <c r="LRF1" t="s">
        <v>10112</v>
      </c>
      <c r="LRG1" t="s">
        <v>10113</v>
      </c>
      <c r="LRH1" t="s">
        <v>10114</v>
      </c>
      <c r="LRI1" t="s">
        <v>10115</v>
      </c>
      <c r="LRJ1" t="s">
        <v>10116</v>
      </c>
      <c r="LRK1" t="s">
        <v>10117</v>
      </c>
      <c r="LRL1" t="s">
        <v>10118</v>
      </c>
      <c r="LRM1" t="s">
        <v>10119</v>
      </c>
      <c r="LRN1" t="s">
        <v>10120</v>
      </c>
      <c r="LRO1" t="s">
        <v>10121</v>
      </c>
      <c r="LRP1" t="s">
        <v>10122</v>
      </c>
      <c r="LRQ1" t="s">
        <v>10123</v>
      </c>
      <c r="LRR1" t="s">
        <v>10124</v>
      </c>
      <c r="LRS1" t="s">
        <v>10125</v>
      </c>
      <c r="LRT1" t="s">
        <v>10126</v>
      </c>
      <c r="LRU1" t="s">
        <v>10127</v>
      </c>
      <c r="LRV1" t="s">
        <v>10128</v>
      </c>
      <c r="LRW1" t="s">
        <v>10129</v>
      </c>
      <c r="LRX1" t="s">
        <v>10130</v>
      </c>
      <c r="LRY1" t="s">
        <v>10131</v>
      </c>
      <c r="LRZ1" t="s">
        <v>10132</v>
      </c>
      <c r="LSA1" t="s">
        <v>10133</v>
      </c>
      <c r="LSB1" t="s">
        <v>10134</v>
      </c>
      <c r="LSC1" t="s">
        <v>10135</v>
      </c>
      <c r="LSD1" t="s">
        <v>10136</v>
      </c>
      <c r="LSE1" t="s">
        <v>10137</v>
      </c>
      <c r="LSF1" t="s">
        <v>10138</v>
      </c>
      <c r="LSG1" t="s">
        <v>10139</v>
      </c>
      <c r="LSH1" t="s">
        <v>10140</v>
      </c>
      <c r="LSI1" t="s">
        <v>10141</v>
      </c>
      <c r="LSJ1" t="s">
        <v>10142</v>
      </c>
      <c r="LSK1" t="s">
        <v>10143</v>
      </c>
      <c r="LSL1" t="s">
        <v>10144</v>
      </c>
      <c r="LSM1" t="s">
        <v>10145</v>
      </c>
      <c r="LSN1" t="s">
        <v>10146</v>
      </c>
      <c r="LSO1" t="s">
        <v>10147</v>
      </c>
      <c r="LSP1" t="s">
        <v>10148</v>
      </c>
      <c r="LSQ1" t="s">
        <v>10149</v>
      </c>
      <c r="LSR1" t="s">
        <v>10150</v>
      </c>
      <c r="LSS1" t="s">
        <v>10151</v>
      </c>
      <c r="LST1" t="s">
        <v>10152</v>
      </c>
      <c r="LSU1" t="s">
        <v>10153</v>
      </c>
      <c r="LSV1" t="s">
        <v>10154</v>
      </c>
      <c r="LSW1" t="s">
        <v>10155</v>
      </c>
      <c r="LSX1" t="s">
        <v>10156</v>
      </c>
      <c r="LSY1" t="s">
        <v>10157</v>
      </c>
      <c r="LSZ1" t="s">
        <v>10158</v>
      </c>
      <c r="LTA1" t="s">
        <v>10159</v>
      </c>
      <c r="LTB1" t="s">
        <v>10160</v>
      </c>
      <c r="LTC1" t="s">
        <v>10161</v>
      </c>
      <c r="LTD1" t="s">
        <v>10162</v>
      </c>
      <c r="LTE1" t="s">
        <v>10163</v>
      </c>
      <c r="LTF1" t="s">
        <v>10164</v>
      </c>
      <c r="LTG1" t="s">
        <v>10165</v>
      </c>
      <c r="LTH1" t="s">
        <v>10166</v>
      </c>
      <c r="LTI1" t="s">
        <v>10167</v>
      </c>
      <c r="LTJ1" t="s">
        <v>10168</v>
      </c>
      <c r="LTK1" t="s">
        <v>10169</v>
      </c>
      <c r="LTL1" t="s">
        <v>10170</v>
      </c>
      <c r="LTM1" t="s">
        <v>10171</v>
      </c>
      <c r="LTN1" t="s">
        <v>10172</v>
      </c>
      <c r="LTO1" t="s">
        <v>10173</v>
      </c>
      <c r="LTP1" t="s">
        <v>10174</v>
      </c>
      <c r="LTQ1" t="s">
        <v>10175</v>
      </c>
      <c r="LTR1" t="s">
        <v>10176</v>
      </c>
      <c r="LTS1" t="s">
        <v>10177</v>
      </c>
      <c r="LTT1" t="s">
        <v>10178</v>
      </c>
      <c r="LTU1" t="s">
        <v>10179</v>
      </c>
      <c r="LTV1" t="s">
        <v>10180</v>
      </c>
      <c r="LTW1" t="s">
        <v>10181</v>
      </c>
      <c r="LTX1" t="s">
        <v>10182</v>
      </c>
      <c r="LTY1" t="s">
        <v>10183</v>
      </c>
      <c r="LTZ1" t="s">
        <v>10184</v>
      </c>
      <c r="LUA1" t="s">
        <v>10185</v>
      </c>
      <c r="LUB1" t="s">
        <v>10186</v>
      </c>
      <c r="LUC1" t="s">
        <v>10187</v>
      </c>
      <c r="LUD1" t="s">
        <v>10188</v>
      </c>
      <c r="LUE1" t="s">
        <v>10189</v>
      </c>
      <c r="LUF1" t="s">
        <v>10190</v>
      </c>
      <c r="LUG1" t="s">
        <v>10191</v>
      </c>
      <c r="LUH1" t="s">
        <v>10192</v>
      </c>
      <c r="LUI1" t="s">
        <v>10193</v>
      </c>
      <c r="LUJ1" t="s">
        <v>10194</v>
      </c>
      <c r="LUK1" t="s">
        <v>10195</v>
      </c>
      <c r="LUL1" t="s">
        <v>10196</v>
      </c>
      <c r="LUM1" t="s">
        <v>10197</v>
      </c>
      <c r="LUN1" t="s">
        <v>10198</v>
      </c>
      <c r="LUO1" t="s">
        <v>10199</v>
      </c>
      <c r="LUP1" t="s">
        <v>10200</v>
      </c>
      <c r="LUQ1" t="s">
        <v>10201</v>
      </c>
      <c r="LUR1" t="s">
        <v>10202</v>
      </c>
      <c r="LUS1" t="s">
        <v>10203</v>
      </c>
      <c r="LUT1" t="s">
        <v>10204</v>
      </c>
      <c r="LUU1" t="s">
        <v>10205</v>
      </c>
      <c r="LUV1" t="s">
        <v>10206</v>
      </c>
      <c r="LUW1" t="s">
        <v>10207</v>
      </c>
      <c r="LUX1" t="s">
        <v>10208</v>
      </c>
      <c r="LUY1" t="s">
        <v>10209</v>
      </c>
      <c r="LUZ1" t="s">
        <v>10210</v>
      </c>
      <c r="LVA1" t="s">
        <v>10211</v>
      </c>
      <c r="LVB1" t="s">
        <v>10212</v>
      </c>
      <c r="LVC1" t="s">
        <v>10213</v>
      </c>
      <c r="LVD1" t="s">
        <v>10214</v>
      </c>
      <c r="LVE1" t="s">
        <v>10215</v>
      </c>
      <c r="LVF1" t="s">
        <v>10216</v>
      </c>
      <c r="LVG1" t="s">
        <v>10217</v>
      </c>
      <c r="LVH1" t="s">
        <v>10218</v>
      </c>
      <c r="LVI1" t="s">
        <v>10219</v>
      </c>
      <c r="LVJ1" t="s">
        <v>10220</v>
      </c>
      <c r="LVK1" t="s">
        <v>10221</v>
      </c>
      <c r="LVL1" t="s">
        <v>10222</v>
      </c>
      <c r="LVM1" t="s">
        <v>10223</v>
      </c>
      <c r="LVN1" t="s">
        <v>10224</v>
      </c>
      <c r="LVO1" t="s">
        <v>10225</v>
      </c>
      <c r="LVP1" t="s">
        <v>10226</v>
      </c>
      <c r="LVQ1" t="s">
        <v>10227</v>
      </c>
      <c r="LVR1" t="s">
        <v>10228</v>
      </c>
      <c r="LVS1" t="s">
        <v>10229</v>
      </c>
      <c r="LVT1" t="s">
        <v>10230</v>
      </c>
      <c r="LVU1" t="s">
        <v>10231</v>
      </c>
      <c r="LVV1" t="s">
        <v>10232</v>
      </c>
      <c r="LVW1" t="s">
        <v>10233</v>
      </c>
      <c r="LVX1" t="s">
        <v>10234</v>
      </c>
      <c r="LVY1" t="s">
        <v>10235</v>
      </c>
      <c r="LVZ1" t="s">
        <v>10236</v>
      </c>
      <c r="LWA1" t="s">
        <v>10237</v>
      </c>
      <c r="LWB1" t="s">
        <v>10238</v>
      </c>
      <c r="LWC1" t="s">
        <v>10239</v>
      </c>
      <c r="LWD1" t="s">
        <v>10240</v>
      </c>
      <c r="LWE1" t="s">
        <v>10241</v>
      </c>
      <c r="LWF1" t="s">
        <v>10242</v>
      </c>
      <c r="LWG1" t="s">
        <v>10243</v>
      </c>
      <c r="LWH1" t="s">
        <v>10244</v>
      </c>
      <c r="LWI1" t="s">
        <v>10245</v>
      </c>
      <c r="LWJ1" t="s">
        <v>10246</v>
      </c>
      <c r="LWK1" t="s">
        <v>10247</v>
      </c>
      <c r="LWL1" t="s">
        <v>10248</v>
      </c>
      <c r="LWM1" t="s">
        <v>10249</v>
      </c>
      <c r="LWN1" t="s">
        <v>10250</v>
      </c>
      <c r="LWO1" t="s">
        <v>10251</v>
      </c>
      <c r="LWP1" t="s">
        <v>10252</v>
      </c>
      <c r="LWQ1" t="s">
        <v>10253</v>
      </c>
      <c r="LWR1" t="s">
        <v>10254</v>
      </c>
      <c r="LWS1" t="s">
        <v>10255</v>
      </c>
      <c r="LWT1" t="s">
        <v>10256</v>
      </c>
      <c r="LWU1" t="s">
        <v>10257</v>
      </c>
      <c r="LWV1" t="s">
        <v>10258</v>
      </c>
      <c r="LWW1" t="s">
        <v>10259</v>
      </c>
      <c r="LWX1" t="s">
        <v>10260</v>
      </c>
      <c r="LWY1" t="s">
        <v>10261</v>
      </c>
      <c r="LWZ1" t="s">
        <v>10262</v>
      </c>
      <c r="LXA1" t="s">
        <v>10263</v>
      </c>
      <c r="LXB1" t="s">
        <v>10264</v>
      </c>
      <c r="LXC1" t="s">
        <v>10265</v>
      </c>
      <c r="LXD1" t="s">
        <v>10266</v>
      </c>
      <c r="LXE1" t="s">
        <v>10267</v>
      </c>
      <c r="LXF1" t="s">
        <v>10268</v>
      </c>
      <c r="LXG1" t="s">
        <v>10269</v>
      </c>
      <c r="LXH1" t="s">
        <v>10270</v>
      </c>
      <c r="LXI1" t="s">
        <v>10271</v>
      </c>
      <c r="LXJ1" t="s">
        <v>10272</v>
      </c>
      <c r="LXK1" t="s">
        <v>10273</v>
      </c>
      <c r="LXL1" t="s">
        <v>10274</v>
      </c>
      <c r="LXM1" t="s">
        <v>10275</v>
      </c>
      <c r="LXN1" t="s">
        <v>10276</v>
      </c>
      <c r="LXO1" t="s">
        <v>10277</v>
      </c>
      <c r="LXP1" t="s">
        <v>10278</v>
      </c>
      <c r="LXQ1" t="s">
        <v>10279</v>
      </c>
      <c r="LXR1" t="s">
        <v>10280</v>
      </c>
      <c r="LXS1" t="s">
        <v>10281</v>
      </c>
      <c r="LXT1" t="s">
        <v>10282</v>
      </c>
      <c r="LXU1" t="s">
        <v>10283</v>
      </c>
      <c r="LXV1" t="s">
        <v>10284</v>
      </c>
      <c r="LXW1" t="s">
        <v>10285</v>
      </c>
      <c r="LXX1" t="s">
        <v>10286</v>
      </c>
      <c r="LXY1" t="s">
        <v>10287</v>
      </c>
      <c r="LXZ1" t="s">
        <v>10288</v>
      </c>
      <c r="LYA1" t="s">
        <v>10289</v>
      </c>
      <c r="LYB1" t="s">
        <v>10290</v>
      </c>
      <c r="LYC1" t="s">
        <v>10291</v>
      </c>
      <c r="LYD1" t="s">
        <v>10292</v>
      </c>
      <c r="LYE1" t="s">
        <v>10293</v>
      </c>
      <c r="LYF1" t="s">
        <v>10294</v>
      </c>
      <c r="LYG1" t="s">
        <v>10295</v>
      </c>
      <c r="LYH1" t="s">
        <v>10296</v>
      </c>
      <c r="LYI1" t="s">
        <v>10297</v>
      </c>
      <c r="LYJ1" t="s">
        <v>10298</v>
      </c>
      <c r="LYK1" t="s">
        <v>10299</v>
      </c>
      <c r="LYL1" t="s">
        <v>10300</v>
      </c>
      <c r="LYM1" t="s">
        <v>10301</v>
      </c>
      <c r="LYN1" t="s">
        <v>10302</v>
      </c>
      <c r="LYO1" t="s">
        <v>10303</v>
      </c>
      <c r="LYP1" t="s">
        <v>10304</v>
      </c>
      <c r="LYQ1" t="s">
        <v>10305</v>
      </c>
      <c r="LYR1" t="s">
        <v>10306</v>
      </c>
      <c r="LYS1" t="s">
        <v>10307</v>
      </c>
      <c r="LYT1" t="s">
        <v>10308</v>
      </c>
      <c r="LYU1" t="s">
        <v>10309</v>
      </c>
      <c r="LYV1" t="s">
        <v>10310</v>
      </c>
      <c r="LYW1" t="s">
        <v>10311</v>
      </c>
      <c r="LYX1" t="s">
        <v>10312</v>
      </c>
      <c r="LYY1" t="s">
        <v>10313</v>
      </c>
      <c r="LYZ1" t="s">
        <v>10314</v>
      </c>
      <c r="LZA1" t="s">
        <v>10315</v>
      </c>
      <c r="LZB1" t="s">
        <v>10316</v>
      </c>
      <c r="LZC1" t="s">
        <v>10317</v>
      </c>
      <c r="LZD1" t="s">
        <v>10318</v>
      </c>
      <c r="LZE1" t="s">
        <v>10319</v>
      </c>
      <c r="LZF1" t="s">
        <v>10320</v>
      </c>
      <c r="LZG1" t="s">
        <v>10321</v>
      </c>
      <c r="LZH1" t="s">
        <v>10322</v>
      </c>
      <c r="LZI1" t="s">
        <v>10323</v>
      </c>
      <c r="LZJ1" t="s">
        <v>10324</v>
      </c>
      <c r="LZK1" t="s">
        <v>10325</v>
      </c>
      <c r="LZL1" t="s">
        <v>10326</v>
      </c>
      <c r="LZM1" t="s">
        <v>10327</v>
      </c>
      <c r="LZN1" t="s">
        <v>10328</v>
      </c>
      <c r="LZO1" t="s">
        <v>10329</v>
      </c>
      <c r="LZP1" t="s">
        <v>10330</v>
      </c>
      <c r="LZQ1" t="s">
        <v>10331</v>
      </c>
      <c r="LZR1" t="s">
        <v>10332</v>
      </c>
      <c r="LZS1" t="s">
        <v>10333</v>
      </c>
      <c r="LZT1" t="s">
        <v>10334</v>
      </c>
      <c r="LZU1" t="s">
        <v>10335</v>
      </c>
      <c r="LZV1" t="s">
        <v>10336</v>
      </c>
      <c r="LZW1" t="s">
        <v>10337</v>
      </c>
      <c r="LZX1" t="s">
        <v>10338</v>
      </c>
      <c r="LZY1" t="s">
        <v>10339</v>
      </c>
      <c r="LZZ1" t="s">
        <v>10340</v>
      </c>
      <c r="MAA1" t="s">
        <v>10341</v>
      </c>
      <c r="MAB1" t="s">
        <v>10342</v>
      </c>
      <c r="MAC1" t="s">
        <v>10343</v>
      </c>
      <c r="MAD1" t="s">
        <v>10344</v>
      </c>
      <c r="MAE1" t="s">
        <v>10345</v>
      </c>
      <c r="MAF1" t="s">
        <v>10346</v>
      </c>
      <c r="MAG1" t="s">
        <v>10347</v>
      </c>
      <c r="MAH1" t="s">
        <v>10348</v>
      </c>
      <c r="MAI1" t="s">
        <v>10349</v>
      </c>
      <c r="MAJ1" t="s">
        <v>10350</v>
      </c>
      <c r="MAK1" t="s">
        <v>10351</v>
      </c>
      <c r="MAL1" t="s">
        <v>10352</v>
      </c>
      <c r="MAM1" t="s">
        <v>10353</v>
      </c>
      <c r="MAN1" t="s">
        <v>10354</v>
      </c>
      <c r="MAO1" t="s">
        <v>10355</v>
      </c>
      <c r="MAP1" t="s">
        <v>10356</v>
      </c>
      <c r="MAQ1" t="s">
        <v>10357</v>
      </c>
      <c r="MAR1" t="s">
        <v>10358</v>
      </c>
      <c r="MAS1" t="s">
        <v>10359</v>
      </c>
      <c r="MAT1" t="s">
        <v>10360</v>
      </c>
      <c r="MAU1" t="s">
        <v>10361</v>
      </c>
      <c r="MAV1" t="s">
        <v>10362</v>
      </c>
      <c r="MAW1" t="s">
        <v>10363</v>
      </c>
      <c r="MAX1" t="s">
        <v>10364</v>
      </c>
      <c r="MAY1" t="s">
        <v>10365</v>
      </c>
      <c r="MAZ1" t="s">
        <v>10366</v>
      </c>
      <c r="MBA1" t="s">
        <v>10367</v>
      </c>
      <c r="MBB1" t="s">
        <v>10368</v>
      </c>
      <c r="MBC1" t="s">
        <v>10369</v>
      </c>
      <c r="MBD1" t="s">
        <v>10370</v>
      </c>
      <c r="MBE1" t="s">
        <v>10371</v>
      </c>
      <c r="MBF1" t="s">
        <v>10372</v>
      </c>
      <c r="MBG1" t="s">
        <v>10373</v>
      </c>
      <c r="MBH1" t="s">
        <v>10374</v>
      </c>
      <c r="MBI1" t="s">
        <v>10375</v>
      </c>
      <c r="MBJ1" t="s">
        <v>10376</v>
      </c>
      <c r="MBK1" t="s">
        <v>10377</v>
      </c>
      <c r="MBL1" t="s">
        <v>10378</v>
      </c>
      <c r="MBM1" t="s">
        <v>10379</v>
      </c>
      <c r="MBN1" t="s">
        <v>10380</v>
      </c>
      <c r="MBO1" t="s">
        <v>10381</v>
      </c>
      <c r="MBP1" t="s">
        <v>10382</v>
      </c>
      <c r="MBQ1" t="s">
        <v>10383</v>
      </c>
      <c r="MBR1" t="s">
        <v>10384</v>
      </c>
      <c r="MBS1" t="s">
        <v>10385</v>
      </c>
      <c r="MBT1" t="s">
        <v>10386</v>
      </c>
      <c r="MBU1" t="s">
        <v>10387</v>
      </c>
      <c r="MBV1" t="s">
        <v>10388</v>
      </c>
      <c r="MBW1" t="s">
        <v>10389</v>
      </c>
      <c r="MBX1" t="s">
        <v>10390</v>
      </c>
      <c r="MBY1" t="s">
        <v>10391</v>
      </c>
      <c r="MBZ1" t="s">
        <v>10392</v>
      </c>
      <c r="MCA1" t="s">
        <v>10393</v>
      </c>
      <c r="MCB1" t="s">
        <v>10394</v>
      </c>
      <c r="MCC1" t="s">
        <v>10395</v>
      </c>
      <c r="MCD1" t="s">
        <v>10396</v>
      </c>
      <c r="MCE1" t="s">
        <v>10397</v>
      </c>
      <c r="MCF1" t="s">
        <v>10398</v>
      </c>
      <c r="MCG1" t="s">
        <v>10399</v>
      </c>
      <c r="MCH1" t="s">
        <v>10400</v>
      </c>
      <c r="MCI1" t="s">
        <v>10401</v>
      </c>
      <c r="MCJ1" t="s">
        <v>10402</v>
      </c>
      <c r="MCK1" t="s">
        <v>10403</v>
      </c>
      <c r="MCL1" t="s">
        <v>10404</v>
      </c>
      <c r="MCM1" t="s">
        <v>10405</v>
      </c>
      <c r="MCN1" t="s">
        <v>10406</v>
      </c>
      <c r="MCO1" t="s">
        <v>10407</v>
      </c>
      <c r="MCP1" t="s">
        <v>10408</v>
      </c>
      <c r="MCQ1" t="s">
        <v>10409</v>
      </c>
      <c r="MCR1" t="s">
        <v>10410</v>
      </c>
      <c r="MCS1" t="s">
        <v>10411</v>
      </c>
      <c r="MCT1" t="s">
        <v>10412</v>
      </c>
      <c r="MCU1" t="s">
        <v>10413</v>
      </c>
      <c r="MCV1" t="s">
        <v>10414</v>
      </c>
      <c r="MCW1" t="s">
        <v>10415</v>
      </c>
      <c r="MCX1" t="s">
        <v>10416</v>
      </c>
      <c r="MCY1" t="s">
        <v>10417</v>
      </c>
      <c r="MCZ1" t="s">
        <v>10418</v>
      </c>
      <c r="MDA1" t="s">
        <v>10419</v>
      </c>
      <c r="MDB1" t="s">
        <v>10420</v>
      </c>
      <c r="MDC1" t="s">
        <v>10421</v>
      </c>
      <c r="MDD1" t="s">
        <v>10422</v>
      </c>
      <c r="MDE1" t="s">
        <v>10423</v>
      </c>
      <c r="MDF1" t="s">
        <v>10424</v>
      </c>
      <c r="MDG1" t="s">
        <v>10425</v>
      </c>
      <c r="MDH1" t="s">
        <v>10426</v>
      </c>
      <c r="MDI1" t="s">
        <v>10427</v>
      </c>
      <c r="MDJ1" t="s">
        <v>10428</v>
      </c>
      <c r="MDK1" t="s">
        <v>10429</v>
      </c>
      <c r="MDL1" t="s">
        <v>10430</v>
      </c>
      <c r="MDM1" t="s">
        <v>10431</v>
      </c>
      <c r="MDN1" t="s">
        <v>10432</v>
      </c>
      <c r="MDO1" t="s">
        <v>10433</v>
      </c>
      <c r="MDP1" t="s">
        <v>10434</v>
      </c>
      <c r="MDQ1" t="s">
        <v>10435</v>
      </c>
      <c r="MDR1" t="s">
        <v>10436</v>
      </c>
      <c r="MDS1" t="s">
        <v>10437</v>
      </c>
      <c r="MDT1" t="s">
        <v>10438</v>
      </c>
      <c r="MDU1" t="s">
        <v>10439</v>
      </c>
      <c r="MDV1" t="s">
        <v>10440</v>
      </c>
      <c r="MDW1" t="s">
        <v>10441</v>
      </c>
      <c r="MDX1" t="s">
        <v>10442</v>
      </c>
      <c r="MDY1" t="s">
        <v>10443</v>
      </c>
      <c r="MDZ1" t="s">
        <v>10444</v>
      </c>
      <c r="MEA1" t="s">
        <v>10445</v>
      </c>
      <c r="MEB1" t="s">
        <v>10446</v>
      </c>
      <c r="MEC1" t="s">
        <v>10447</v>
      </c>
      <c r="MED1" t="s">
        <v>10448</v>
      </c>
      <c r="MEE1" t="s">
        <v>10449</v>
      </c>
      <c r="MEF1" t="s">
        <v>10450</v>
      </c>
      <c r="MEG1" t="s">
        <v>10451</v>
      </c>
      <c r="MEH1" t="s">
        <v>10452</v>
      </c>
      <c r="MEI1" t="s">
        <v>10453</v>
      </c>
      <c r="MEJ1" t="s">
        <v>10454</v>
      </c>
      <c r="MEK1" t="s">
        <v>10455</v>
      </c>
      <c r="MEL1" t="s">
        <v>10456</v>
      </c>
      <c r="MEM1" t="s">
        <v>10457</v>
      </c>
      <c r="MEN1" t="s">
        <v>10458</v>
      </c>
      <c r="MEO1" t="s">
        <v>10459</v>
      </c>
      <c r="MEP1" t="s">
        <v>10460</v>
      </c>
      <c r="MEQ1" t="s">
        <v>10461</v>
      </c>
      <c r="MER1" t="s">
        <v>10462</v>
      </c>
      <c r="MES1" t="s">
        <v>10463</v>
      </c>
      <c r="MET1" t="s">
        <v>10464</v>
      </c>
      <c r="MEU1" t="s">
        <v>10465</v>
      </c>
      <c r="MEV1" t="s">
        <v>10466</v>
      </c>
      <c r="MEW1" t="s">
        <v>10467</v>
      </c>
      <c r="MEX1" t="s">
        <v>10468</v>
      </c>
      <c r="MEY1" t="s">
        <v>10469</v>
      </c>
      <c r="MEZ1" t="s">
        <v>10470</v>
      </c>
      <c r="MFA1" t="s">
        <v>10471</v>
      </c>
      <c r="MFB1" t="s">
        <v>10472</v>
      </c>
      <c r="MFC1" t="s">
        <v>10473</v>
      </c>
      <c r="MFD1" t="s">
        <v>10474</v>
      </c>
      <c r="MFE1" t="s">
        <v>10475</v>
      </c>
      <c r="MFF1" t="s">
        <v>10476</v>
      </c>
      <c r="MFG1" t="s">
        <v>10477</v>
      </c>
      <c r="MFH1" t="s">
        <v>10478</v>
      </c>
      <c r="MFI1" t="s">
        <v>10479</v>
      </c>
      <c r="MFJ1" t="s">
        <v>10480</v>
      </c>
      <c r="MFK1" t="s">
        <v>10481</v>
      </c>
      <c r="MFL1" t="s">
        <v>10482</v>
      </c>
      <c r="MFM1" t="s">
        <v>10483</v>
      </c>
      <c r="MFN1" t="s">
        <v>10484</v>
      </c>
      <c r="MFO1" t="s">
        <v>10485</v>
      </c>
      <c r="MFP1" t="s">
        <v>10486</v>
      </c>
      <c r="MFQ1" t="s">
        <v>10487</v>
      </c>
      <c r="MFR1" t="s">
        <v>10488</v>
      </c>
      <c r="MFS1" t="s">
        <v>10489</v>
      </c>
      <c r="MFT1" t="s">
        <v>10490</v>
      </c>
      <c r="MFU1" t="s">
        <v>10491</v>
      </c>
      <c r="MFV1" t="s">
        <v>10492</v>
      </c>
      <c r="MFW1" t="s">
        <v>10493</v>
      </c>
      <c r="MFX1" t="s">
        <v>10494</v>
      </c>
      <c r="MFY1" t="s">
        <v>10495</v>
      </c>
      <c r="MFZ1" t="s">
        <v>10496</v>
      </c>
      <c r="MGA1" t="s">
        <v>10497</v>
      </c>
      <c r="MGB1" t="s">
        <v>10498</v>
      </c>
      <c r="MGC1" t="s">
        <v>10499</v>
      </c>
      <c r="MGD1" t="s">
        <v>10500</v>
      </c>
      <c r="MGE1" t="s">
        <v>10501</v>
      </c>
      <c r="MGF1" t="s">
        <v>10502</v>
      </c>
      <c r="MGG1" t="s">
        <v>10503</v>
      </c>
      <c r="MGH1" t="s">
        <v>10504</v>
      </c>
      <c r="MGI1" t="s">
        <v>10505</v>
      </c>
      <c r="MGJ1" t="s">
        <v>10506</v>
      </c>
      <c r="MGK1" t="s">
        <v>10507</v>
      </c>
      <c r="MGL1" t="s">
        <v>10508</v>
      </c>
      <c r="MGM1" t="s">
        <v>10509</v>
      </c>
      <c r="MGN1" t="s">
        <v>10510</v>
      </c>
      <c r="MGO1" t="s">
        <v>10511</v>
      </c>
      <c r="MGP1" t="s">
        <v>10512</v>
      </c>
      <c r="MGQ1" t="s">
        <v>10513</v>
      </c>
      <c r="MGR1" t="s">
        <v>10514</v>
      </c>
      <c r="MGS1" t="s">
        <v>10515</v>
      </c>
      <c r="MGT1" t="s">
        <v>10516</v>
      </c>
      <c r="MGU1" t="s">
        <v>10517</v>
      </c>
      <c r="MGV1" t="s">
        <v>10518</v>
      </c>
      <c r="MGW1" t="s">
        <v>10519</v>
      </c>
      <c r="MGX1" t="s">
        <v>10520</v>
      </c>
      <c r="MGY1" t="s">
        <v>10521</v>
      </c>
      <c r="MGZ1" t="s">
        <v>10522</v>
      </c>
      <c r="MHA1" t="s">
        <v>10523</v>
      </c>
      <c r="MHB1" t="s">
        <v>10524</v>
      </c>
      <c r="MHC1" t="s">
        <v>10525</v>
      </c>
      <c r="MHD1" t="s">
        <v>10526</v>
      </c>
      <c r="MHE1" t="s">
        <v>10527</v>
      </c>
      <c r="MHF1" t="s">
        <v>10528</v>
      </c>
      <c r="MHG1" t="s">
        <v>10529</v>
      </c>
      <c r="MHH1" t="s">
        <v>10530</v>
      </c>
      <c r="MHI1" t="s">
        <v>10531</v>
      </c>
      <c r="MHJ1" t="s">
        <v>10532</v>
      </c>
      <c r="MHK1" t="s">
        <v>10533</v>
      </c>
      <c r="MHL1" t="s">
        <v>10534</v>
      </c>
      <c r="MHM1" t="s">
        <v>10535</v>
      </c>
      <c r="MHN1" t="s">
        <v>10536</v>
      </c>
      <c r="MHO1" t="s">
        <v>10537</v>
      </c>
      <c r="MHP1" t="s">
        <v>10538</v>
      </c>
      <c r="MHQ1" t="s">
        <v>10539</v>
      </c>
      <c r="MHR1" t="s">
        <v>10540</v>
      </c>
      <c r="MHS1" t="s">
        <v>10541</v>
      </c>
      <c r="MHT1" t="s">
        <v>10542</v>
      </c>
      <c r="MHU1" t="s">
        <v>10543</v>
      </c>
      <c r="MHV1" t="s">
        <v>10544</v>
      </c>
      <c r="MHW1" t="s">
        <v>10545</v>
      </c>
      <c r="MHX1" t="s">
        <v>10546</v>
      </c>
      <c r="MHY1" t="s">
        <v>10547</v>
      </c>
      <c r="MHZ1" t="s">
        <v>10548</v>
      </c>
      <c r="MIA1" t="s">
        <v>10549</v>
      </c>
      <c r="MIB1" t="s">
        <v>10550</v>
      </c>
      <c r="MIC1" t="s">
        <v>10551</v>
      </c>
      <c r="MID1" t="s">
        <v>10552</v>
      </c>
      <c r="MIE1" t="s">
        <v>10553</v>
      </c>
      <c r="MIF1" t="s">
        <v>10554</v>
      </c>
      <c r="MIG1" t="s">
        <v>10555</v>
      </c>
      <c r="MIH1" t="s">
        <v>10556</v>
      </c>
      <c r="MII1" t="s">
        <v>10557</v>
      </c>
      <c r="MIJ1" t="s">
        <v>10558</v>
      </c>
      <c r="MIK1" t="s">
        <v>10559</v>
      </c>
      <c r="MIL1" t="s">
        <v>10560</v>
      </c>
      <c r="MIM1" t="s">
        <v>10561</v>
      </c>
      <c r="MIN1" t="s">
        <v>10562</v>
      </c>
      <c r="MIO1" t="s">
        <v>10563</v>
      </c>
      <c r="MIP1" t="s">
        <v>10564</v>
      </c>
      <c r="MIQ1" t="s">
        <v>10565</v>
      </c>
      <c r="MIR1" t="s">
        <v>10566</v>
      </c>
      <c r="MIS1" t="s">
        <v>10567</v>
      </c>
      <c r="MIT1" t="s">
        <v>10568</v>
      </c>
      <c r="MIU1" t="s">
        <v>10569</v>
      </c>
      <c r="MIV1" t="s">
        <v>10570</v>
      </c>
      <c r="MIW1" t="s">
        <v>10571</v>
      </c>
      <c r="MIX1" t="s">
        <v>10572</v>
      </c>
      <c r="MIY1" t="s">
        <v>10573</v>
      </c>
      <c r="MIZ1" t="s">
        <v>10574</v>
      </c>
      <c r="MJA1" t="s">
        <v>10575</v>
      </c>
      <c r="MJB1" t="s">
        <v>10576</v>
      </c>
      <c r="MJC1" t="s">
        <v>10577</v>
      </c>
      <c r="MJD1" t="s">
        <v>10578</v>
      </c>
      <c r="MJE1" t="s">
        <v>10579</v>
      </c>
      <c r="MJF1" t="s">
        <v>10580</v>
      </c>
      <c r="MJG1" t="s">
        <v>10581</v>
      </c>
      <c r="MJH1" t="s">
        <v>10582</v>
      </c>
      <c r="MJI1" t="s">
        <v>10583</v>
      </c>
      <c r="MJJ1" t="s">
        <v>10584</v>
      </c>
      <c r="MJK1" t="s">
        <v>10585</v>
      </c>
      <c r="MJL1" t="s">
        <v>10586</v>
      </c>
      <c r="MJM1" t="s">
        <v>10587</v>
      </c>
      <c r="MJN1" t="s">
        <v>10588</v>
      </c>
      <c r="MJO1" t="s">
        <v>10589</v>
      </c>
      <c r="MJP1" t="s">
        <v>10590</v>
      </c>
      <c r="MJQ1" t="s">
        <v>10591</v>
      </c>
      <c r="MJR1" t="s">
        <v>10592</v>
      </c>
      <c r="MJS1" t="s">
        <v>10593</v>
      </c>
      <c r="MJT1" t="s">
        <v>10594</v>
      </c>
      <c r="MJU1" t="s">
        <v>10595</v>
      </c>
      <c r="MJV1" t="s">
        <v>10596</v>
      </c>
      <c r="MJW1" t="s">
        <v>10597</v>
      </c>
      <c r="MJX1" t="s">
        <v>10598</v>
      </c>
      <c r="MJY1" t="s">
        <v>10599</v>
      </c>
      <c r="MJZ1" t="s">
        <v>10600</v>
      </c>
      <c r="MKA1" t="s">
        <v>10601</v>
      </c>
      <c r="MKB1" t="s">
        <v>10602</v>
      </c>
      <c r="MKC1" t="s">
        <v>10603</v>
      </c>
      <c r="MKD1" t="s">
        <v>10604</v>
      </c>
      <c r="MKE1" t="s">
        <v>10605</v>
      </c>
      <c r="MKF1" t="s">
        <v>10606</v>
      </c>
      <c r="MKG1" t="s">
        <v>10607</v>
      </c>
      <c r="MKH1" t="s">
        <v>10608</v>
      </c>
      <c r="MKI1" t="s">
        <v>10609</v>
      </c>
      <c r="MKJ1" t="s">
        <v>10610</v>
      </c>
      <c r="MKK1" t="s">
        <v>10611</v>
      </c>
      <c r="MKL1" t="s">
        <v>10612</v>
      </c>
      <c r="MKM1" t="s">
        <v>10613</v>
      </c>
      <c r="MKN1" t="s">
        <v>10614</v>
      </c>
      <c r="MKO1" t="s">
        <v>10615</v>
      </c>
      <c r="MKP1" t="s">
        <v>10616</v>
      </c>
      <c r="MKQ1" t="s">
        <v>10617</v>
      </c>
      <c r="MKR1" t="s">
        <v>10618</v>
      </c>
      <c r="MKS1" t="s">
        <v>10619</v>
      </c>
      <c r="MKT1" t="s">
        <v>10620</v>
      </c>
      <c r="MKU1" t="s">
        <v>10621</v>
      </c>
      <c r="MKV1" t="s">
        <v>10622</v>
      </c>
      <c r="MKW1" t="s">
        <v>10623</v>
      </c>
      <c r="MKX1" t="s">
        <v>10624</v>
      </c>
      <c r="MKY1" t="s">
        <v>10625</v>
      </c>
      <c r="MKZ1" t="s">
        <v>10626</v>
      </c>
      <c r="MLA1" t="s">
        <v>10627</v>
      </c>
      <c r="MLB1" t="s">
        <v>10628</v>
      </c>
      <c r="MLC1" t="s">
        <v>10629</v>
      </c>
      <c r="MLD1" t="s">
        <v>10630</v>
      </c>
      <c r="MLE1" t="s">
        <v>10631</v>
      </c>
      <c r="MLF1" t="s">
        <v>10632</v>
      </c>
      <c r="MLG1" t="s">
        <v>10633</v>
      </c>
      <c r="MLH1" t="s">
        <v>10634</v>
      </c>
      <c r="MLI1" t="s">
        <v>10635</v>
      </c>
      <c r="MLJ1" t="s">
        <v>10636</v>
      </c>
      <c r="MLK1" t="s">
        <v>10637</v>
      </c>
      <c r="MLL1" t="s">
        <v>10638</v>
      </c>
      <c r="MLM1" t="s">
        <v>10639</v>
      </c>
      <c r="MLN1" t="s">
        <v>10640</v>
      </c>
      <c r="MLO1" t="s">
        <v>10641</v>
      </c>
      <c r="MLP1" t="s">
        <v>10642</v>
      </c>
      <c r="MLQ1" t="s">
        <v>10643</v>
      </c>
      <c r="MLR1" t="s">
        <v>10644</v>
      </c>
      <c r="MLS1" t="s">
        <v>10645</v>
      </c>
      <c r="MLT1" t="s">
        <v>10646</v>
      </c>
      <c r="MLU1" t="s">
        <v>10647</v>
      </c>
      <c r="MLV1" t="s">
        <v>10648</v>
      </c>
      <c r="MLW1" t="s">
        <v>10649</v>
      </c>
      <c r="MLX1" t="s">
        <v>10650</v>
      </c>
      <c r="MLY1" t="s">
        <v>10651</v>
      </c>
      <c r="MLZ1" t="s">
        <v>10652</v>
      </c>
      <c r="MMA1" t="s">
        <v>10653</v>
      </c>
      <c r="MMB1" t="s">
        <v>10654</v>
      </c>
      <c r="MMC1" t="s">
        <v>10655</v>
      </c>
      <c r="MMD1" t="s">
        <v>10656</v>
      </c>
      <c r="MME1" t="s">
        <v>10657</v>
      </c>
      <c r="MMF1" t="s">
        <v>10658</v>
      </c>
      <c r="MMG1" t="s">
        <v>10659</v>
      </c>
      <c r="MMH1" t="s">
        <v>10660</v>
      </c>
      <c r="MMI1" t="s">
        <v>10661</v>
      </c>
      <c r="MMJ1" t="s">
        <v>10662</v>
      </c>
      <c r="MMK1" t="s">
        <v>10663</v>
      </c>
      <c r="MML1" t="s">
        <v>10664</v>
      </c>
      <c r="MMM1" t="s">
        <v>10665</v>
      </c>
      <c r="MMN1" t="s">
        <v>10666</v>
      </c>
      <c r="MMO1" t="s">
        <v>10667</v>
      </c>
      <c r="MMP1" t="s">
        <v>10668</v>
      </c>
      <c r="MMQ1" t="s">
        <v>10669</v>
      </c>
      <c r="MMR1" t="s">
        <v>10670</v>
      </c>
      <c r="MMS1" t="s">
        <v>10671</v>
      </c>
      <c r="MMT1" t="s">
        <v>10672</v>
      </c>
      <c r="MMU1" t="s">
        <v>10673</v>
      </c>
      <c r="MMV1" t="s">
        <v>10674</v>
      </c>
      <c r="MMW1" t="s">
        <v>10675</v>
      </c>
      <c r="MMX1" t="s">
        <v>10676</v>
      </c>
      <c r="MMY1" t="s">
        <v>10677</v>
      </c>
      <c r="MMZ1" t="s">
        <v>10678</v>
      </c>
      <c r="MNA1" t="s">
        <v>10679</v>
      </c>
      <c r="MNB1" t="s">
        <v>10680</v>
      </c>
      <c r="MNC1" t="s">
        <v>10681</v>
      </c>
      <c r="MND1" t="s">
        <v>10682</v>
      </c>
      <c r="MNE1" t="s">
        <v>10683</v>
      </c>
      <c r="MNF1" t="s">
        <v>10684</v>
      </c>
      <c r="MNG1" t="s">
        <v>10685</v>
      </c>
      <c r="MNH1" t="s">
        <v>10686</v>
      </c>
      <c r="MNI1" t="s">
        <v>10687</v>
      </c>
      <c r="MNJ1" t="s">
        <v>10688</v>
      </c>
      <c r="MNK1" t="s">
        <v>10689</v>
      </c>
      <c r="MNL1" t="s">
        <v>10690</v>
      </c>
      <c r="MNM1" t="s">
        <v>10691</v>
      </c>
      <c r="MNN1" t="s">
        <v>10692</v>
      </c>
      <c r="MNO1" t="s">
        <v>10693</v>
      </c>
      <c r="MNP1" t="s">
        <v>10694</v>
      </c>
      <c r="MNQ1" t="s">
        <v>10695</v>
      </c>
      <c r="MNR1" t="s">
        <v>10696</v>
      </c>
      <c r="MNS1" t="s">
        <v>10697</v>
      </c>
      <c r="MNT1" t="s">
        <v>10698</v>
      </c>
      <c r="MNU1" t="s">
        <v>10699</v>
      </c>
      <c r="MNV1" t="s">
        <v>10700</v>
      </c>
      <c r="MNW1" t="s">
        <v>10701</v>
      </c>
      <c r="MNX1" t="s">
        <v>10702</v>
      </c>
      <c r="MNY1" t="s">
        <v>10703</v>
      </c>
      <c r="MNZ1" t="s">
        <v>10704</v>
      </c>
      <c r="MOA1" t="s">
        <v>10705</v>
      </c>
      <c r="MOB1" t="s">
        <v>10706</v>
      </c>
      <c r="MOC1" t="s">
        <v>10707</v>
      </c>
      <c r="MOD1" t="s">
        <v>10708</v>
      </c>
      <c r="MOE1" t="s">
        <v>10709</v>
      </c>
      <c r="MOF1" t="s">
        <v>10710</v>
      </c>
      <c r="MOG1" t="s">
        <v>10711</v>
      </c>
      <c r="MOH1" t="s">
        <v>10712</v>
      </c>
      <c r="MOI1" t="s">
        <v>10713</v>
      </c>
      <c r="MOJ1" t="s">
        <v>10714</v>
      </c>
      <c r="MOK1" t="s">
        <v>10715</v>
      </c>
      <c r="MOL1" t="s">
        <v>10716</v>
      </c>
      <c r="MOM1" t="s">
        <v>10717</v>
      </c>
      <c r="MON1" t="s">
        <v>10718</v>
      </c>
      <c r="MOO1" t="s">
        <v>10719</v>
      </c>
      <c r="MOP1" t="s">
        <v>10720</v>
      </c>
      <c r="MOQ1" t="s">
        <v>10721</v>
      </c>
      <c r="MOR1" t="s">
        <v>10722</v>
      </c>
      <c r="MOS1" t="s">
        <v>10723</v>
      </c>
      <c r="MOT1" t="s">
        <v>10724</v>
      </c>
      <c r="MOU1" t="s">
        <v>10725</v>
      </c>
      <c r="MOV1" t="s">
        <v>10726</v>
      </c>
      <c r="MOW1" t="s">
        <v>10727</v>
      </c>
      <c r="MOX1" t="s">
        <v>10728</v>
      </c>
      <c r="MOY1" t="s">
        <v>10729</v>
      </c>
      <c r="MOZ1" t="s">
        <v>10730</v>
      </c>
      <c r="MPA1" t="s">
        <v>10731</v>
      </c>
      <c r="MPB1" t="s">
        <v>10732</v>
      </c>
      <c r="MPC1" t="s">
        <v>10733</v>
      </c>
      <c r="MPD1" t="s">
        <v>10734</v>
      </c>
      <c r="MPE1" t="s">
        <v>10735</v>
      </c>
      <c r="MPF1" t="s">
        <v>10736</v>
      </c>
      <c r="MPG1" t="s">
        <v>10737</v>
      </c>
      <c r="MPH1" t="s">
        <v>10738</v>
      </c>
      <c r="MPI1" t="s">
        <v>10739</v>
      </c>
      <c r="MPJ1" t="s">
        <v>10740</v>
      </c>
      <c r="MPK1" t="s">
        <v>10741</v>
      </c>
      <c r="MPL1" t="s">
        <v>10742</v>
      </c>
      <c r="MPM1" t="s">
        <v>10743</v>
      </c>
      <c r="MPN1" t="s">
        <v>10744</v>
      </c>
      <c r="MPO1" t="s">
        <v>10745</v>
      </c>
      <c r="MPP1" t="s">
        <v>10746</v>
      </c>
      <c r="MPQ1" t="s">
        <v>10747</v>
      </c>
      <c r="MPR1" t="s">
        <v>10748</v>
      </c>
      <c r="MPS1" t="s">
        <v>10749</v>
      </c>
      <c r="MPT1" t="s">
        <v>10750</v>
      </c>
      <c r="MPU1" t="s">
        <v>10751</v>
      </c>
      <c r="MPV1" t="s">
        <v>10752</v>
      </c>
      <c r="MPW1" t="s">
        <v>10753</v>
      </c>
      <c r="MPX1" t="s">
        <v>10754</v>
      </c>
      <c r="MPY1" t="s">
        <v>10755</v>
      </c>
      <c r="MPZ1" t="s">
        <v>10756</v>
      </c>
      <c r="MQA1" t="s">
        <v>10757</v>
      </c>
      <c r="MQB1" t="s">
        <v>10758</v>
      </c>
      <c r="MQC1" t="s">
        <v>10759</v>
      </c>
      <c r="MQD1" t="s">
        <v>10760</v>
      </c>
      <c r="MQE1" t="s">
        <v>10761</v>
      </c>
      <c r="MQF1" t="s">
        <v>10762</v>
      </c>
      <c r="MQG1" t="s">
        <v>10763</v>
      </c>
      <c r="MQH1" t="s">
        <v>10764</v>
      </c>
      <c r="MQI1" t="s">
        <v>10765</v>
      </c>
      <c r="MQJ1" t="s">
        <v>10766</v>
      </c>
      <c r="MQK1" t="s">
        <v>10767</v>
      </c>
      <c r="MQL1" t="s">
        <v>10768</v>
      </c>
      <c r="MQM1" t="s">
        <v>10769</v>
      </c>
      <c r="MQN1" t="s">
        <v>10770</v>
      </c>
      <c r="MQO1" t="s">
        <v>10771</v>
      </c>
      <c r="MQP1" t="s">
        <v>10772</v>
      </c>
      <c r="MQQ1" t="s">
        <v>10773</v>
      </c>
      <c r="MQR1" t="s">
        <v>10774</v>
      </c>
      <c r="MQS1" t="s">
        <v>10775</v>
      </c>
      <c r="MQT1" t="s">
        <v>10776</v>
      </c>
      <c r="MQU1" t="s">
        <v>10777</v>
      </c>
      <c r="MQV1" t="s">
        <v>10778</v>
      </c>
      <c r="MQW1" t="s">
        <v>10779</v>
      </c>
      <c r="MQX1" t="s">
        <v>10780</v>
      </c>
      <c r="MQY1" t="s">
        <v>10781</v>
      </c>
      <c r="MQZ1" t="s">
        <v>10782</v>
      </c>
      <c r="MRA1" t="s">
        <v>10783</v>
      </c>
      <c r="MRB1" t="s">
        <v>10784</v>
      </c>
      <c r="MRC1" t="s">
        <v>10785</v>
      </c>
      <c r="MRD1" t="s">
        <v>10786</v>
      </c>
      <c r="MRE1" t="s">
        <v>10787</v>
      </c>
      <c r="MRF1" t="s">
        <v>10788</v>
      </c>
      <c r="MRG1" t="s">
        <v>10789</v>
      </c>
      <c r="MRH1" t="s">
        <v>10790</v>
      </c>
      <c r="MRI1" t="s">
        <v>10791</v>
      </c>
      <c r="MRJ1" t="s">
        <v>10792</v>
      </c>
      <c r="MRK1" t="s">
        <v>10793</v>
      </c>
      <c r="MRL1" t="s">
        <v>10794</v>
      </c>
      <c r="MRM1" t="s">
        <v>10795</v>
      </c>
      <c r="MRN1" t="s">
        <v>10796</v>
      </c>
      <c r="MRO1" t="s">
        <v>10797</v>
      </c>
      <c r="MRP1" t="s">
        <v>10798</v>
      </c>
      <c r="MRQ1" t="s">
        <v>10799</v>
      </c>
      <c r="MRR1" t="s">
        <v>10800</v>
      </c>
      <c r="MRS1" t="s">
        <v>10801</v>
      </c>
      <c r="MRT1" t="s">
        <v>10802</v>
      </c>
      <c r="MRU1" t="s">
        <v>10803</v>
      </c>
      <c r="MRV1" t="s">
        <v>10804</v>
      </c>
      <c r="MRW1" t="s">
        <v>10805</v>
      </c>
      <c r="MRX1" t="s">
        <v>10806</v>
      </c>
      <c r="MRY1" t="s">
        <v>10807</v>
      </c>
      <c r="MRZ1" t="s">
        <v>10808</v>
      </c>
      <c r="MSA1" t="s">
        <v>10809</v>
      </c>
      <c r="MSB1" t="s">
        <v>10810</v>
      </c>
      <c r="MSC1" t="s">
        <v>10811</v>
      </c>
      <c r="MSD1" t="s">
        <v>10812</v>
      </c>
      <c r="MSE1" t="s">
        <v>10813</v>
      </c>
      <c r="MSF1" t="s">
        <v>10814</v>
      </c>
      <c r="MSG1" t="s">
        <v>10815</v>
      </c>
      <c r="MSH1" t="s">
        <v>10816</v>
      </c>
      <c r="MSI1" t="s">
        <v>10817</v>
      </c>
      <c r="MSJ1" t="s">
        <v>10818</v>
      </c>
      <c r="MSK1" t="s">
        <v>10819</v>
      </c>
      <c r="MSL1" t="s">
        <v>10820</v>
      </c>
      <c r="MSM1" t="s">
        <v>10821</v>
      </c>
      <c r="MSN1" t="s">
        <v>10822</v>
      </c>
      <c r="MSO1" t="s">
        <v>10823</v>
      </c>
      <c r="MSP1" t="s">
        <v>10824</v>
      </c>
      <c r="MSQ1" t="s">
        <v>10825</v>
      </c>
      <c r="MSR1" t="s">
        <v>10826</v>
      </c>
      <c r="MSS1" t="s">
        <v>10827</v>
      </c>
      <c r="MST1" t="s">
        <v>10828</v>
      </c>
      <c r="MSU1" t="s">
        <v>10829</v>
      </c>
      <c r="MSV1" t="s">
        <v>10830</v>
      </c>
      <c r="MSW1" t="s">
        <v>10831</v>
      </c>
      <c r="MSX1" t="s">
        <v>10832</v>
      </c>
      <c r="MSY1" t="s">
        <v>10833</v>
      </c>
      <c r="MSZ1" t="s">
        <v>10834</v>
      </c>
      <c r="MTA1" t="s">
        <v>10835</v>
      </c>
      <c r="MTB1" t="s">
        <v>10836</v>
      </c>
      <c r="MTC1" t="s">
        <v>10837</v>
      </c>
      <c r="MTD1" t="s">
        <v>10838</v>
      </c>
      <c r="MTE1" t="s">
        <v>10839</v>
      </c>
      <c r="MTF1" t="s">
        <v>10840</v>
      </c>
      <c r="MTG1" t="s">
        <v>10841</v>
      </c>
      <c r="MTH1" t="s">
        <v>10842</v>
      </c>
      <c r="MTI1" t="s">
        <v>10843</v>
      </c>
      <c r="MTJ1" t="s">
        <v>10844</v>
      </c>
      <c r="MTK1" t="s">
        <v>10845</v>
      </c>
      <c r="MTL1" t="s">
        <v>10846</v>
      </c>
      <c r="MTM1" t="s">
        <v>10847</v>
      </c>
      <c r="MTN1" t="s">
        <v>10848</v>
      </c>
      <c r="MTO1" t="s">
        <v>10849</v>
      </c>
      <c r="MTP1" t="s">
        <v>10850</v>
      </c>
      <c r="MTQ1" t="s">
        <v>10851</v>
      </c>
      <c r="MTR1" t="s">
        <v>10852</v>
      </c>
      <c r="MTS1" t="s">
        <v>10853</v>
      </c>
      <c r="MTT1" t="s">
        <v>10854</v>
      </c>
      <c r="MTU1" t="s">
        <v>10855</v>
      </c>
      <c r="MTV1" t="s">
        <v>10856</v>
      </c>
      <c r="MTW1" t="s">
        <v>10857</v>
      </c>
      <c r="MTX1" t="s">
        <v>10858</v>
      </c>
      <c r="MTY1" t="s">
        <v>10859</v>
      </c>
      <c r="MTZ1" t="s">
        <v>10860</v>
      </c>
      <c r="MUA1" t="s">
        <v>10861</v>
      </c>
      <c r="MUB1" t="s">
        <v>10862</v>
      </c>
      <c r="MUC1" t="s">
        <v>10863</v>
      </c>
      <c r="MUD1" t="s">
        <v>10864</v>
      </c>
      <c r="MUE1" t="s">
        <v>10865</v>
      </c>
      <c r="MUF1" t="s">
        <v>10866</v>
      </c>
      <c r="MUG1" t="s">
        <v>10867</v>
      </c>
      <c r="MUH1" t="s">
        <v>10868</v>
      </c>
      <c r="MUI1" t="s">
        <v>10869</v>
      </c>
      <c r="MUJ1" t="s">
        <v>10870</v>
      </c>
      <c r="MUK1" t="s">
        <v>10871</v>
      </c>
      <c r="MUL1" t="s">
        <v>10872</v>
      </c>
      <c r="MUM1" t="s">
        <v>10873</v>
      </c>
      <c r="MUN1" t="s">
        <v>10874</v>
      </c>
      <c r="MUO1" t="s">
        <v>10875</v>
      </c>
      <c r="MUP1" t="s">
        <v>10876</v>
      </c>
      <c r="MUQ1" t="s">
        <v>10877</v>
      </c>
      <c r="MUR1" t="s">
        <v>10878</v>
      </c>
      <c r="MUS1" t="s">
        <v>10879</v>
      </c>
      <c r="MUT1" t="s">
        <v>10880</v>
      </c>
      <c r="MUU1" t="s">
        <v>10881</v>
      </c>
      <c r="MUV1" t="s">
        <v>10882</v>
      </c>
      <c r="MUW1" t="s">
        <v>10883</v>
      </c>
      <c r="MUX1" t="s">
        <v>10884</v>
      </c>
      <c r="MUY1" t="s">
        <v>10885</v>
      </c>
      <c r="MUZ1" t="s">
        <v>10886</v>
      </c>
      <c r="MVA1" t="s">
        <v>10887</v>
      </c>
      <c r="MVB1" t="s">
        <v>10888</v>
      </c>
      <c r="MVC1" t="s">
        <v>10889</v>
      </c>
      <c r="MVD1" t="s">
        <v>10890</v>
      </c>
      <c r="MVE1" t="s">
        <v>10891</v>
      </c>
      <c r="MVF1" t="s">
        <v>10892</v>
      </c>
      <c r="MVG1" t="s">
        <v>10893</v>
      </c>
      <c r="MVH1" t="s">
        <v>10894</v>
      </c>
      <c r="MVI1" t="s">
        <v>10895</v>
      </c>
      <c r="MVJ1" t="s">
        <v>10896</v>
      </c>
      <c r="MVK1" t="s">
        <v>10897</v>
      </c>
      <c r="MVL1" t="s">
        <v>10898</v>
      </c>
      <c r="MVM1" t="s">
        <v>10899</v>
      </c>
      <c r="MVN1" t="s">
        <v>10900</v>
      </c>
      <c r="MVO1" t="s">
        <v>10901</v>
      </c>
      <c r="MVP1" t="s">
        <v>10902</v>
      </c>
      <c r="MVQ1" t="s">
        <v>10903</v>
      </c>
      <c r="MVR1" t="s">
        <v>10904</v>
      </c>
      <c r="MVS1" t="s">
        <v>10905</v>
      </c>
      <c r="MVT1" t="s">
        <v>10906</v>
      </c>
      <c r="MVU1" t="s">
        <v>10907</v>
      </c>
      <c r="MVV1" t="s">
        <v>10908</v>
      </c>
      <c r="MVW1" t="s">
        <v>10909</v>
      </c>
      <c r="MVX1" t="s">
        <v>10910</v>
      </c>
      <c r="MVY1" t="s">
        <v>10911</v>
      </c>
      <c r="MVZ1" t="s">
        <v>10912</v>
      </c>
      <c r="MWA1" t="s">
        <v>10913</v>
      </c>
      <c r="MWB1" t="s">
        <v>10914</v>
      </c>
      <c r="MWC1" t="s">
        <v>10915</v>
      </c>
      <c r="MWD1" t="s">
        <v>10916</v>
      </c>
      <c r="MWE1" t="s">
        <v>10917</v>
      </c>
      <c r="MWF1" t="s">
        <v>10918</v>
      </c>
      <c r="MWG1" t="s">
        <v>10919</v>
      </c>
      <c r="MWH1" t="s">
        <v>10920</v>
      </c>
      <c r="MWI1" t="s">
        <v>10921</v>
      </c>
      <c r="MWJ1" t="s">
        <v>10922</v>
      </c>
      <c r="MWK1" t="s">
        <v>10923</v>
      </c>
      <c r="MWL1" t="s">
        <v>10924</v>
      </c>
      <c r="MWM1" t="s">
        <v>10925</v>
      </c>
      <c r="MWN1" t="s">
        <v>10926</v>
      </c>
      <c r="MWO1" t="s">
        <v>10927</v>
      </c>
      <c r="MWP1" t="s">
        <v>10928</v>
      </c>
      <c r="MWQ1" t="s">
        <v>10929</v>
      </c>
      <c r="MWR1" t="s">
        <v>10930</v>
      </c>
      <c r="MWS1" t="s">
        <v>10931</v>
      </c>
      <c r="MWT1" t="s">
        <v>10932</v>
      </c>
      <c r="MWU1" t="s">
        <v>10933</v>
      </c>
      <c r="MWV1" t="s">
        <v>10934</v>
      </c>
      <c r="MWW1" t="s">
        <v>10935</v>
      </c>
      <c r="MWX1" t="s">
        <v>10936</v>
      </c>
      <c r="MWY1" t="s">
        <v>10937</v>
      </c>
      <c r="MWZ1" t="s">
        <v>10938</v>
      </c>
      <c r="MXA1" t="s">
        <v>10939</v>
      </c>
      <c r="MXB1" t="s">
        <v>10940</v>
      </c>
      <c r="MXC1" t="s">
        <v>10941</v>
      </c>
      <c r="MXD1" t="s">
        <v>10942</v>
      </c>
      <c r="MXE1" t="s">
        <v>10943</v>
      </c>
      <c r="MXF1" t="s">
        <v>10944</v>
      </c>
      <c r="MXG1" t="s">
        <v>10945</v>
      </c>
      <c r="MXH1" t="s">
        <v>10946</v>
      </c>
      <c r="MXI1" t="s">
        <v>10947</v>
      </c>
      <c r="MXJ1" t="s">
        <v>10948</v>
      </c>
      <c r="MXK1" t="s">
        <v>10949</v>
      </c>
      <c r="MXL1" t="s">
        <v>10950</v>
      </c>
      <c r="MXM1" t="s">
        <v>10951</v>
      </c>
      <c r="MXN1" t="s">
        <v>10952</v>
      </c>
      <c r="MXO1" t="s">
        <v>10953</v>
      </c>
      <c r="MXP1" t="s">
        <v>10954</v>
      </c>
      <c r="MXQ1" t="s">
        <v>10955</v>
      </c>
      <c r="MXR1" t="s">
        <v>10956</v>
      </c>
      <c r="MXS1" t="s">
        <v>10957</v>
      </c>
      <c r="MXT1" t="s">
        <v>10958</v>
      </c>
      <c r="MXU1" t="s">
        <v>10959</v>
      </c>
      <c r="MXV1" t="s">
        <v>10960</v>
      </c>
      <c r="MXW1" t="s">
        <v>10961</v>
      </c>
      <c r="MXX1" t="s">
        <v>10962</v>
      </c>
      <c r="MXY1" t="s">
        <v>10963</v>
      </c>
      <c r="MXZ1" t="s">
        <v>10964</v>
      </c>
      <c r="MYA1" t="s">
        <v>10965</v>
      </c>
      <c r="MYB1" t="s">
        <v>10966</v>
      </c>
      <c r="MYC1" t="s">
        <v>10967</v>
      </c>
      <c r="MYD1" t="s">
        <v>10968</v>
      </c>
      <c r="MYE1" t="s">
        <v>10969</v>
      </c>
      <c r="MYF1" t="s">
        <v>10970</v>
      </c>
      <c r="MYG1" t="s">
        <v>10971</v>
      </c>
      <c r="MYH1" t="s">
        <v>10972</v>
      </c>
      <c r="MYI1" t="s">
        <v>10973</v>
      </c>
      <c r="MYJ1" t="s">
        <v>10974</v>
      </c>
      <c r="MYK1" t="s">
        <v>10975</v>
      </c>
      <c r="MYL1" t="s">
        <v>10976</v>
      </c>
      <c r="MYM1" t="s">
        <v>10977</v>
      </c>
      <c r="MYN1" t="s">
        <v>10978</v>
      </c>
      <c r="MYO1" t="s">
        <v>10979</v>
      </c>
      <c r="MYP1" t="s">
        <v>10980</v>
      </c>
      <c r="MYQ1" t="s">
        <v>10981</v>
      </c>
      <c r="MYR1" t="s">
        <v>10982</v>
      </c>
      <c r="MYS1" t="s">
        <v>10983</v>
      </c>
      <c r="MYT1" t="s">
        <v>10984</v>
      </c>
      <c r="MYU1" t="s">
        <v>10985</v>
      </c>
      <c r="MYV1" t="s">
        <v>10986</v>
      </c>
      <c r="MYW1" t="s">
        <v>10987</v>
      </c>
      <c r="MYX1" t="s">
        <v>10988</v>
      </c>
      <c r="MYY1" t="s">
        <v>10989</v>
      </c>
      <c r="MYZ1" t="s">
        <v>10990</v>
      </c>
      <c r="MZA1" t="s">
        <v>10991</v>
      </c>
      <c r="MZB1" t="s">
        <v>10992</v>
      </c>
      <c r="MZC1" t="s">
        <v>10993</v>
      </c>
      <c r="MZD1" t="s">
        <v>10994</v>
      </c>
      <c r="MZE1" t="s">
        <v>10995</v>
      </c>
      <c r="MZF1" t="s">
        <v>10996</v>
      </c>
      <c r="MZG1" t="s">
        <v>10997</v>
      </c>
      <c r="MZH1" t="s">
        <v>10998</v>
      </c>
      <c r="MZI1" t="s">
        <v>10999</v>
      </c>
      <c r="MZJ1" t="s">
        <v>11000</v>
      </c>
      <c r="MZK1" t="s">
        <v>11001</v>
      </c>
      <c r="MZL1" t="s">
        <v>11002</v>
      </c>
      <c r="MZM1" t="s">
        <v>11003</v>
      </c>
      <c r="MZN1" t="s">
        <v>11004</v>
      </c>
      <c r="MZO1" t="s">
        <v>11005</v>
      </c>
      <c r="MZP1" t="s">
        <v>11006</v>
      </c>
      <c r="MZQ1" t="s">
        <v>11007</v>
      </c>
      <c r="MZR1" t="s">
        <v>11008</v>
      </c>
      <c r="MZS1" t="s">
        <v>11009</v>
      </c>
      <c r="MZT1" t="s">
        <v>11010</v>
      </c>
      <c r="MZU1" t="s">
        <v>11011</v>
      </c>
      <c r="MZV1" t="s">
        <v>11012</v>
      </c>
      <c r="MZW1" t="s">
        <v>11013</v>
      </c>
      <c r="MZX1" t="s">
        <v>11014</v>
      </c>
      <c r="MZY1" t="s">
        <v>11015</v>
      </c>
      <c r="MZZ1" t="s">
        <v>11016</v>
      </c>
      <c r="NAA1" t="s">
        <v>11017</v>
      </c>
      <c r="NAB1" t="s">
        <v>11018</v>
      </c>
      <c r="NAC1" t="s">
        <v>11019</v>
      </c>
      <c r="NAD1" t="s">
        <v>11020</v>
      </c>
      <c r="NAE1" t="s">
        <v>11021</v>
      </c>
      <c r="NAF1" t="s">
        <v>11022</v>
      </c>
      <c r="NAG1" t="s">
        <v>11023</v>
      </c>
      <c r="NAH1" t="s">
        <v>11024</v>
      </c>
      <c r="NAI1" t="s">
        <v>11025</v>
      </c>
      <c r="NAJ1" t="s">
        <v>11026</v>
      </c>
      <c r="NAK1" t="s">
        <v>11027</v>
      </c>
      <c r="NAL1" t="s">
        <v>11028</v>
      </c>
      <c r="NAM1" t="s">
        <v>11029</v>
      </c>
      <c r="NAN1" t="s">
        <v>11030</v>
      </c>
      <c r="NAO1" t="s">
        <v>11031</v>
      </c>
      <c r="NAP1" t="s">
        <v>11032</v>
      </c>
      <c r="NAQ1" t="s">
        <v>11033</v>
      </c>
      <c r="NAR1" t="s">
        <v>11034</v>
      </c>
      <c r="NAS1" t="s">
        <v>11035</v>
      </c>
      <c r="NAT1" t="s">
        <v>11036</v>
      </c>
      <c r="NAU1" t="s">
        <v>11037</v>
      </c>
      <c r="NAV1" t="s">
        <v>11038</v>
      </c>
      <c r="NAW1" t="s">
        <v>11039</v>
      </c>
      <c r="NAX1" t="s">
        <v>11040</v>
      </c>
      <c r="NAY1" t="s">
        <v>11041</v>
      </c>
      <c r="NAZ1" t="s">
        <v>11042</v>
      </c>
      <c r="NBA1" t="s">
        <v>11043</v>
      </c>
      <c r="NBB1" t="s">
        <v>11044</v>
      </c>
      <c r="NBC1" t="s">
        <v>11045</v>
      </c>
      <c r="NBD1" t="s">
        <v>11046</v>
      </c>
      <c r="NBE1" t="s">
        <v>11047</v>
      </c>
      <c r="NBF1" t="s">
        <v>11048</v>
      </c>
      <c r="NBG1" t="s">
        <v>11049</v>
      </c>
      <c r="NBH1" t="s">
        <v>11050</v>
      </c>
      <c r="NBI1" t="s">
        <v>11051</v>
      </c>
      <c r="NBJ1" t="s">
        <v>11052</v>
      </c>
      <c r="NBK1" t="s">
        <v>11053</v>
      </c>
      <c r="NBL1" t="s">
        <v>11054</v>
      </c>
      <c r="NBM1" t="s">
        <v>11055</v>
      </c>
      <c r="NBN1" t="s">
        <v>11056</v>
      </c>
      <c r="NBO1" t="s">
        <v>11057</v>
      </c>
      <c r="NBP1" t="s">
        <v>11058</v>
      </c>
      <c r="NBQ1" t="s">
        <v>11059</v>
      </c>
      <c r="NBR1" t="s">
        <v>11060</v>
      </c>
      <c r="NBS1" t="s">
        <v>11061</v>
      </c>
      <c r="NBT1" t="s">
        <v>11062</v>
      </c>
      <c r="NBU1" t="s">
        <v>11063</v>
      </c>
      <c r="NBV1" t="s">
        <v>11064</v>
      </c>
      <c r="NBW1" t="s">
        <v>11065</v>
      </c>
      <c r="NBX1" t="s">
        <v>11066</v>
      </c>
      <c r="NBY1" t="s">
        <v>11067</v>
      </c>
      <c r="NBZ1" t="s">
        <v>11068</v>
      </c>
      <c r="NCA1" t="s">
        <v>11069</v>
      </c>
      <c r="NCB1" t="s">
        <v>11070</v>
      </c>
      <c r="NCC1" t="s">
        <v>11071</v>
      </c>
      <c r="NCD1" t="s">
        <v>11072</v>
      </c>
      <c r="NCE1" t="s">
        <v>11073</v>
      </c>
      <c r="NCF1" t="s">
        <v>11074</v>
      </c>
      <c r="NCG1" t="s">
        <v>11075</v>
      </c>
      <c r="NCH1" t="s">
        <v>11076</v>
      </c>
      <c r="NCI1" t="s">
        <v>11077</v>
      </c>
      <c r="NCJ1" t="s">
        <v>11078</v>
      </c>
      <c r="NCK1" t="s">
        <v>11079</v>
      </c>
      <c r="NCL1" t="s">
        <v>11080</v>
      </c>
      <c r="NCM1" t="s">
        <v>11081</v>
      </c>
      <c r="NCN1" t="s">
        <v>11082</v>
      </c>
      <c r="NCO1" t="s">
        <v>11083</v>
      </c>
      <c r="NCP1" t="s">
        <v>11084</v>
      </c>
      <c r="NCQ1" t="s">
        <v>11085</v>
      </c>
      <c r="NCR1" t="s">
        <v>11086</v>
      </c>
      <c r="NCS1" t="s">
        <v>11087</v>
      </c>
      <c r="NCT1" t="s">
        <v>11088</v>
      </c>
      <c r="NCU1" t="s">
        <v>11089</v>
      </c>
      <c r="NCV1" t="s">
        <v>11090</v>
      </c>
      <c r="NCW1" t="s">
        <v>11091</v>
      </c>
      <c r="NCX1" t="s">
        <v>11092</v>
      </c>
      <c r="NCY1" t="s">
        <v>11093</v>
      </c>
      <c r="NCZ1" t="s">
        <v>11094</v>
      </c>
      <c r="NDA1" t="s">
        <v>11095</v>
      </c>
      <c r="NDB1" t="s">
        <v>11096</v>
      </c>
      <c r="NDC1" t="s">
        <v>11097</v>
      </c>
      <c r="NDD1" t="s">
        <v>11098</v>
      </c>
      <c r="NDE1" t="s">
        <v>11099</v>
      </c>
      <c r="NDF1" t="s">
        <v>11100</v>
      </c>
      <c r="NDG1" t="s">
        <v>11101</v>
      </c>
      <c r="NDH1" t="s">
        <v>11102</v>
      </c>
      <c r="NDI1" t="s">
        <v>11103</v>
      </c>
      <c r="NDJ1" t="s">
        <v>11104</v>
      </c>
      <c r="NDK1" t="s">
        <v>11105</v>
      </c>
      <c r="NDL1" t="s">
        <v>11106</v>
      </c>
      <c r="NDM1" t="s">
        <v>11107</v>
      </c>
      <c r="NDN1" t="s">
        <v>11108</v>
      </c>
      <c r="NDO1" t="s">
        <v>11109</v>
      </c>
      <c r="NDP1" t="s">
        <v>11110</v>
      </c>
      <c r="NDQ1" t="s">
        <v>11111</v>
      </c>
      <c r="NDR1" t="s">
        <v>11112</v>
      </c>
      <c r="NDS1" t="s">
        <v>11113</v>
      </c>
      <c r="NDT1" t="s">
        <v>11114</v>
      </c>
      <c r="NDU1" t="s">
        <v>11115</v>
      </c>
      <c r="NDV1" t="s">
        <v>11116</v>
      </c>
      <c r="NDW1" t="s">
        <v>11117</v>
      </c>
      <c r="NDX1" t="s">
        <v>11118</v>
      </c>
      <c r="NDY1" t="s">
        <v>11119</v>
      </c>
      <c r="NDZ1" t="s">
        <v>11120</v>
      </c>
      <c r="NEA1" t="s">
        <v>11121</v>
      </c>
      <c r="NEB1" t="s">
        <v>11122</v>
      </c>
      <c r="NEC1" t="s">
        <v>11123</v>
      </c>
      <c r="NED1" t="s">
        <v>11124</v>
      </c>
      <c r="NEE1" t="s">
        <v>11125</v>
      </c>
      <c r="NEF1" t="s">
        <v>11126</v>
      </c>
      <c r="NEG1" t="s">
        <v>11127</v>
      </c>
      <c r="NEH1" t="s">
        <v>11128</v>
      </c>
      <c r="NEI1" t="s">
        <v>11129</v>
      </c>
      <c r="NEJ1" t="s">
        <v>11130</v>
      </c>
      <c r="NEK1" t="s">
        <v>11131</v>
      </c>
      <c r="NEL1" t="s">
        <v>11132</v>
      </c>
      <c r="NEM1" t="s">
        <v>11133</v>
      </c>
      <c r="NEN1" t="s">
        <v>11134</v>
      </c>
      <c r="NEO1" t="s">
        <v>11135</v>
      </c>
      <c r="NEP1" t="s">
        <v>11136</v>
      </c>
      <c r="NEQ1" t="s">
        <v>11137</v>
      </c>
      <c r="NER1" t="s">
        <v>11138</v>
      </c>
      <c r="NES1" t="s">
        <v>11139</v>
      </c>
      <c r="NET1" t="s">
        <v>11140</v>
      </c>
      <c r="NEU1" t="s">
        <v>11141</v>
      </c>
      <c r="NEV1" t="s">
        <v>11142</v>
      </c>
      <c r="NEW1" t="s">
        <v>11143</v>
      </c>
      <c r="NEX1" t="s">
        <v>11144</v>
      </c>
      <c r="NEY1" t="s">
        <v>11145</v>
      </c>
      <c r="NEZ1" t="s">
        <v>11146</v>
      </c>
      <c r="NFA1" t="s">
        <v>11147</v>
      </c>
      <c r="NFB1" t="s">
        <v>11148</v>
      </c>
      <c r="NFC1" t="s">
        <v>11149</v>
      </c>
      <c r="NFD1" t="s">
        <v>11150</v>
      </c>
      <c r="NFE1" t="s">
        <v>11151</v>
      </c>
      <c r="NFF1" t="s">
        <v>11152</v>
      </c>
      <c r="NFG1" t="s">
        <v>11153</v>
      </c>
      <c r="NFH1" t="s">
        <v>11154</v>
      </c>
      <c r="NFI1" t="s">
        <v>11155</v>
      </c>
      <c r="NFJ1" t="s">
        <v>11156</v>
      </c>
      <c r="NFK1" t="s">
        <v>11157</v>
      </c>
      <c r="NFL1" t="s">
        <v>11158</v>
      </c>
      <c r="NFM1" t="s">
        <v>11159</v>
      </c>
      <c r="NFN1" t="s">
        <v>11160</v>
      </c>
      <c r="NFO1" t="s">
        <v>11161</v>
      </c>
      <c r="NFP1" t="s">
        <v>11162</v>
      </c>
      <c r="NFQ1" t="s">
        <v>11163</v>
      </c>
      <c r="NFR1" t="s">
        <v>11164</v>
      </c>
      <c r="NFS1" t="s">
        <v>11165</v>
      </c>
      <c r="NFT1" t="s">
        <v>11166</v>
      </c>
      <c r="NFU1" t="s">
        <v>11167</v>
      </c>
      <c r="NFV1" t="s">
        <v>11168</v>
      </c>
      <c r="NFW1" t="s">
        <v>11169</v>
      </c>
      <c r="NFX1" t="s">
        <v>11170</v>
      </c>
      <c r="NFY1" t="s">
        <v>11171</v>
      </c>
      <c r="NFZ1" t="s">
        <v>11172</v>
      </c>
      <c r="NGA1" t="s">
        <v>11173</v>
      </c>
      <c r="NGB1" t="s">
        <v>11174</v>
      </c>
      <c r="NGC1" t="s">
        <v>11175</v>
      </c>
      <c r="NGD1" t="s">
        <v>11176</v>
      </c>
      <c r="NGE1" t="s">
        <v>11177</v>
      </c>
      <c r="NGF1" t="s">
        <v>11178</v>
      </c>
      <c r="NGG1" t="s">
        <v>11179</v>
      </c>
      <c r="NGH1" t="s">
        <v>11180</v>
      </c>
      <c r="NGI1" t="s">
        <v>11181</v>
      </c>
      <c r="NGJ1" t="s">
        <v>11182</v>
      </c>
      <c r="NGK1" t="s">
        <v>11183</v>
      </c>
      <c r="NGL1" t="s">
        <v>11184</v>
      </c>
      <c r="NGM1" t="s">
        <v>11185</v>
      </c>
      <c r="NGN1" t="s">
        <v>11186</v>
      </c>
      <c r="NGO1" t="s">
        <v>11187</v>
      </c>
      <c r="NGP1" t="s">
        <v>11188</v>
      </c>
      <c r="NGQ1" t="s">
        <v>11189</v>
      </c>
      <c r="NGR1" t="s">
        <v>11190</v>
      </c>
      <c r="NGS1" t="s">
        <v>11191</v>
      </c>
      <c r="NGT1" t="s">
        <v>11192</v>
      </c>
      <c r="NGU1" t="s">
        <v>11193</v>
      </c>
      <c r="NGV1" t="s">
        <v>11194</v>
      </c>
      <c r="NGW1" t="s">
        <v>11195</v>
      </c>
      <c r="NGX1" t="s">
        <v>11196</v>
      </c>
      <c r="NGY1" t="s">
        <v>11197</v>
      </c>
      <c r="NGZ1" t="s">
        <v>11198</v>
      </c>
      <c r="NHA1" t="s">
        <v>11199</v>
      </c>
      <c r="NHB1" t="s">
        <v>11200</v>
      </c>
      <c r="NHC1" t="s">
        <v>11201</v>
      </c>
      <c r="NHD1" t="s">
        <v>11202</v>
      </c>
      <c r="NHE1" t="s">
        <v>11203</v>
      </c>
      <c r="NHF1" t="s">
        <v>11204</v>
      </c>
      <c r="NHG1" t="s">
        <v>11205</v>
      </c>
      <c r="NHH1" t="s">
        <v>11206</v>
      </c>
      <c r="NHI1" t="s">
        <v>11207</v>
      </c>
      <c r="NHJ1" t="s">
        <v>11208</v>
      </c>
      <c r="NHK1" t="s">
        <v>11209</v>
      </c>
      <c r="NHL1" t="s">
        <v>11210</v>
      </c>
      <c r="NHM1" t="s">
        <v>11211</v>
      </c>
      <c r="NHN1" t="s">
        <v>11212</v>
      </c>
      <c r="NHO1" t="s">
        <v>11213</v>
      </c>
      <c r="NHP1" t="s">
        <v>11214</v>
      </c>
      <c r="NHQ1" t="s">
        <v>11215</v>
      </c>
      <c r="NHR1" t="s">
        <v>11216</v>
      </c>
      <c r="NHS1" t="s">
        <v>11217</v>
      </c>
      <c r="NHT1" t="s">
        <v>11218</v>
      </c>
      <c r="NHU1" t="s">
        <v>11219</v>
      </c>
      <c r="NHV1" t="s">
        <v>11220</v>
      </c>
      <c r="NHW1" t="s">
        <v>11221</v>
      </c>
      <c r="NHX1" t="s">
        <v>11222</v>
      </c>
      <c r="NHY1" t="s">
        <v>11223</v>
      </c>
      <c r="NHZ1" t="s">
        <v>11224</v>
      </c>
      <c r="NIA1" t="s">
        <v>11225</v>
      </c>
      <c r="NIB1" t="s">
        <v>11226</v>
      </c>
      <c r="NIC1" t="s">
        <v>11227</v>
      </c>
      <c r="NID1" t="s">
        <v>11228</v>
      </c>
      <c r="NIE1" t="s">
        <v>11229</v>
      </c>
      <c r="NIF1" t="s">
        <v>11230</v>
      </c>
      <c r="NIG1" t="s">
        <v>11231</v>
      </c>
      <c r="NIH1" t="s">
        <v>11232</v>
      </c>
      <c r="NII1" t="s">
        <v>11233</v>
      </c>
      <c r="NIJ1" t="s">
        <v>11234</v>
      </c>
      <c r="NIK1" t="s">
        <v>11235</v>
      </c>
      <c r="NIL1" t="s">
        <v>11236</v>
      </c>
      <c r="NIM1" t="s">
        <v>11237</v>
      </c>
      <c r="NIN1" t="s">
        <v>11238</v>
      </c>
      <c r="NIO1" t="s">
        <v>11239</v>
      </c>
      <c r="NIP1" t="s">
        <v>11240</v>
      </c>
      <c r="NIQ1" t="s">
        <v>11241</v>
      </c>
      <c r="NIR1" t="s">
        <v>11242</v>
      </c>
      <c r="NIS1" t="s">
        <v>11243</v>
      </c>
      <c r="NIT1" t="s">
        <v>11244</v>
      </c>
      <c r="NIU1" t="s">
        <v>11245</v>
      </c>
      <c r="NIV1" t="s">
        <v>11246</v>
      </c>
      <c r="NIW1" t="s">
        <v>11247</v>
      </c>
      <c r="NIX1" t="s">
        <v>11248</v>
      </c>
      <c r="NIY1" t="s">
        <v>11249</v>
      </c>
      <c r="NIZ1" t="s">
        <v>11250</v>
      </c>
      <c r="NJA1" t="s">
        <v>11251</v>
      </c>
      <c r="NJB1" t="s">
        <v>11252</v>
      </c>
      <c r="NJC1" t="s">
        <v>11253</v>
      </c>
      <c r="NJD1" t="s">
        <v>11254</v>
      </c>
      <c r="NJE1" t="s">
        <v>11255</v>
      </c>
      <c r="NJF1" t="s">
        <v>11256</v>
      </c>
      <c r="NJG1" t="s">
        <v>11257</v>
      </c>
      <c r="NJH1" t="s">
        <v>11258</v>
      </c>
      <c r="NJI1" t="s">
        <v>11259</v>
      </c>
      <c r="NJJ1" t="s">
        <v>11260</v>
      </c>
      <c r="NJK1" t="s">
        <v>11261</v>
      </c>
      <c r="NJL1" t="s">
        <v>11262</v>
      </c>
      <c r="NJM1" t="s">
        <v>11263</v>
      </c>
      <c r="NJN1" t="s">
        <v>11264</v>
      </c>
      <c r="NJO1" t="s">
        <v>11265</v>
      </c>
      <c r="NJP1" t="s">
        <v>11266</v>
      </c>
      <c r="NJQ1" t="s">
        <v>11267</v>
      </c>
      <c r="NJR1" t="s">
        <v>11268</v>
      </c>
      <c r="NJS1" t="s">
        <v>11269</v>
      </c>
      <c r="NJT1" t="s">
        <v>11270</v>
      </c>
      <c r="NJU1" t="s">
        <v>11271</v>
      </c>
      <c r="NJV1" t="s">
        <v>11272</v>
      </c>
      <c r="NJW1" t="s">
        <v>11273</v>
      </c>
      <c r="NJX1" t="s">
        <v>11274</v>
      </c>
      <c r="NJY1" t="s">
        <v>11275</v>
      </c>
      <c r="NJZ1" t="s">
        <v>11276</v>
      </c>
      <c r="NKA1" t="s">
        <v>11277</v>
      </c>
      <c r="NKB1" t="s">
        <v>11278</v>
      </c>
      <c r="NKC1" t="s">
        <v>11279</v>
      </c>
      <c r="NKD1" t="s">
        <v>11280</v>
      </c>
      <c r="NKE1" t="s">
        <v>11281</v>
      </c>
      <c r="NKF1" t="s">
        <v>11282</v>
      </c>
      <c r="NKG1" t="s">
        <v>11283</v>
      </c>
      <c r="NKH1" t="s">
        <v>11284</v>
      </c>
      <c r="NKI1" t="s">
        <v>11285</v>
      </c>
      <c r="NKJ1" t="s">
        <v>11286</v>
      </c>
      <c r="NKK1" t="s">
        <v>11287</v>
      </c>
      <c r="NKL1" t="s">
        <v>11288</v>
      </c>
      <c r="NKM1" t="s">
        <v>11289</v>
      </c>
      <c r="NKN1" t="s">
        <v>11290</v>
      </c>
      <c r="NKO1" t="s">
        <v>11291</v>
      </c>
      <c r="NKP1" t="s">
        <v>11292</v>
      </c>
      <c r="NKQ1" t="s">
        <v>11293</v>
      </c>
      <c r="NKR1" t="s">
        <v>11294</v>
      </c>
      <c r="NKS1" t="s">
        <v>11295</v>
      </c>
      <c r="NKT1" t="s">
        <v>11296</v>
      </c>
      <c r="NKU1" t="s">
        <v>11297</v>
      </c>
      <c r="NKV1" t="s">
        <v>11298</v>
      </c>
      <c r="NKW1" t="s">
        <v>11299</v>
      </c>
      <c r="NKX1" t="s">
        <v>11300</v>
      </c>
      <c r="NKY1" t="s">
        <v>11301</v>
      </c>
      <c r="NKZ1" t="s">
        <v>11302</v>
      </c>
      <c r="NLA1" t="s">
        <v>11303</v>
      </c>
      <c r="NLB1" t="s">
        <v>11304</v>
      </c>
      <c r="NLC1" t="s">
        <v>11305</v>
      </c>
      <c r="NLD1" t="s">
        <v>11306</v>
      </c>
      <c r="NLE1" t="s">
        <v>11307</v>
      </c>
      <c r="NLF1" t="s">
        <v>11308</v>
      </c>
      <c r="NLG1" t="s">
        <v>11309</v>
      </c>
      <c r="NLH1" t="s">
        <v>11310</v>
      </c>
      <c r="NLI1" t="s">
        <v>11311</v>
      </c>
      <c r="NLJ1" t="s">
        <v>11312</v>
      </c>
      <c r="NLK1" t="s">
        <v>11313</v>
      </c>
      <c r="NLL1" t="s">
        <v>11314</v>
      </c>
      <c r="NLM1" t="s">
        <v>11315</v>
      </c>
      <c r="NLN1" t="s">
        <v>11316</v>
      </c>
      <c r="NLO1" t="s">
        <v>11317</v>
      </c>
      <c r="NLP1" t="s">
        <v>11318</v>
      </c>
      <c r="NLQ1" t="s">
        <v>11319</v>
      </c>
      <c r="NLR1" t="s">
        <v>11320</v>
      </c>
      <c r="NLS1" t="s">
        <v>11321</v>
      </c>
      <c r="NLT1" t="s">
        <v>11322</v>
      </c>
      <c r="NLU1" t="s">
        <v>11323</v>
      </c>
      <c r="NLV1" t="s">
        <v>11324</v>
      </c>
      <c r="NLW1" t="s">
        <v>11325</v>
      </c>
      <c r="NLX1" t="s">
        <v>11326</v>
      </c>
      <c r="NLY1" t="s">
        <v>11327</v>
      </c>
      <c r="NLZ1" t="s">
        <v>11328</v>
      </c>
      <c r="NMA1" t="s">
        <v>11329</v>
      </c>
      <c r="NMB1" t="s">
        <v>11330</v>
      </c>
      <c r="NMC1" t="s">
        <v>11331</v>
      </c>
      <c r="NMD1" t="s">
        <v>11332</v>
      </c>
      <c r="NME1" t="s">
        <v>11333</v>
      </c>
      <c r="NMF1" t="s">
        <v>11334</v>
      </c>
      <c r="NMG1" t="s">
        <v>11335</v>
      </c>
      <c r="NMH1" t="s">
        <v>11336</v>
      </c>
      <c r="NMI1" t="s">
        <v>11337</v>
      </c>
      <c r="NMJ1" t="s">
        <v>11338</v>
      </c>
      <c r="NMK1" t="s">
        <v>11339</v>
      </c>
      <c r="NML1" t="s">
        <v>11340</v>
      </c>
      <c r="NMM1" t="s">
        <v>11341</v>
      </c>
      <c r="NMN1" t="s">
        <v>11342</v>
      </c>
      <c r="NMO1" t="s">
        <v>11343</v>
      </c>
      <c r="NMP1" t="s">
        <v>11344</v>
      </c>
      <c r="NMQ1" t="s">
        <v>11345</v>
      </c>
      <c r="NMR1" t="s">
        <v>11346</v>
      </c>
      <c r="NMS1" t="s">
        <v>11347</v>
      </c>
      <c r="NMT1" t="s">
        <v>11348</v>
      </c>
      <c r="NMU1" t="s">
        <v>11349</v>
      </c>
      <c r="NMV1" t="s">
        <v>11350</v>
      </c>
      <c r="NMW1" t="s">
        <v>11351</v>
      </c>
      <c r="NMX1" t="s">
        <v>11352</v>
      </c>
      <c r="NMY1" t="s">
        <v>11353</v>
      </c>
      <c r="NMZ1" t="s">
        <v>11354</v>
      </c>
      <c r="NNA1" t="s">
        <v>11355</v>
      </c>
      <c r="NNB1" t="s">
        <v>11356</v>
      </c>
      <c r="NNC1" t="s">
        <v>11357</v>
      </c>
      <c r="NND1" t="s">
        <v>11358</v>
      </c>
      <c r="NNE1" t="s">
        <v>11359</v>
      </c>
      <c r="NNF1" t="s">
        <v>11360</v>
      </c>
      <c r="NNG1" t="s">
        <v>11361</v>
      </c>
      <c r="NNH1" t="s">
        <v>11362</v>
      </c>
      <c r="NNI1" t="s">
        <v>11363</v>
      </c>
      <c r="NNJ1" t="s">
        <v>11364</v>
      </c>
      <c r="NNK1" t="s">
        <v>11365</v>
      </c>
      <c r="NNL1" t="s">
        <v>11366</v>
      </c>
      <c r="NNM1" t="s">
        <v>11367</v>
      </c>
      <c r="NNN1" t="s">
        <v>11368</v>
      </c>
      <c r="NNO1" t="s">
        <v>11369</v>
      </c>
      <c r="NNP1" t="s">
        <v>11370</v>
      </c>
      <c r="NNQ1" t="s">
        <v>11371</v>
      </c>
      <c r="NNR1" t="s">
        <v>11372</v>
      </c>
      <c r="NNS1" t="s">
        <v>11373</v>
      </c>
      <c r="NNT1" t="s">
        <v>11374</v>
      </c>
      <c r="NNU1" t="s">
        <v>11375</v>
      </c>
      <c r="NNV1" t="s">
        <v>11376</v>
      </c>
      <c r="NNW1" t="s">
        <v>11377</v>
      </c>
      <c r="NNX1" t="s">
        <v>11378</v>
      </c>
      <c r="NNY1" t="s">
        <v>11379</v>
      </c>
      <c r="NNZ1" t="s">
        <v>11380</v>
      </c>
      <c r="NOA1" t="s">
        <v>11381</v>
      </c>
      <c r="NOB1" t="s">
        <v>11382</v>
      </c>
      <c r="NOC1" t="s">
        <v>11383</v>
      </c>
      <c r="NOD1" t="s">
        <v>11384</v>
      </c>
      <c r="NOE1" t="s">
        <v>11385</v>
      </c>
      <c r="NOF1" t="s">
        <v>11386</v>
      </c>
      <c r="NOG1" t="s">
        <v>11387</v>
      </c>
      <c r="NOH1" t="s">
        <v>11388</v>
      </c>
      <c r="NOI1" t="s">
        <v>11389</v>
      </c>
      <c r="NOJ1" t="s">
        <v>11390</v>
      </c>
      <c r="NOK1" t="s">
        <v>11391</v>
      </c>
      <c r="NOL1" t="s">
        <v>11392</v>
      </c>
      <c r="NOM1" t="s">
        <v>11393</v>
      </c>
      <c r="NON1" t="s">
        <v>11394</v>
      </c>
      <c r="NOO1" t="s">
        <v>11395</v>
      </c>
      <c r="NOP1" t="s">
        <v>11396</v>
      </c>
      <c r="NOQ1" t="s">
        <v>11397</v>
      </c>
      <c r="NOR1" t="s">
        <v>11398</v>
      </c>
      <c r="NOS1" t="s">
        <v>11399</v>
      </c>
      <c r="NOT1" t="s">
        <v>11400</v>
      </c>
      <c r="NOU1" t="s">
        <v>11401</v>
      </c>
      <c r="NOV1" t="s">
        <v>11402</v>
      </c>
      <c r="NOW1" t="s">
        <v>11403</v>
      </c>
      <c r="NOX1" t="s">
        <v>11404</v>
      </c>
      <c r="NOY1" t="s">
        <v>11405</v>
      </c>
      <c r="NOZ1" t="s">
        <v>11406</v>
      </c>
      <c r="NPA1" t="s">
        <v>11407</v>
      </c>
      <c r="NPB1" t="s">
        <v>11408</v>
      </c>
      <c r="NPC1" t="s">
        <v>11409</v>
      </c>
      <c r="NPD1" t="s">
        <v>11410</v>
      </c>
      <c r="NPE1" t="s">
        <v>11411</v>
      </c>
      <c r="NPF1" t="s">
        <v>11412</v>
      </c>
      <c r="NPG1" t="s">
        <v>11413</v>
      </c>
      <c r="NPH1" t="s">
        <v>11414</v>
      </c>
      <c r="NPI1" t="s">
        <v>11415</v>
      </c>
      <c r="NPJ1" t="s">
        <v>11416</v>
      </c>
      <c r="NPK1" t="s">
        <v>11417</v>
      </c>
      <c r="NPL1" t="s">
        <v>11418</v>
      </c>
      <c r="NPM1" t="s">
        <v>11419</v>
      </c>
      <c r="NPN1" t="s">
        <v>11420</v>
      </c>
      <c r="NPO1" t="s">
        <v>11421</v>
      </c>
      <c r="NPP1" t="s">
        <v>11422</v>
      </c>
      <c r="NPQ1" t="s">
        <v>11423</v>
      </c>
      <c r="NPR1" t="s">
        <v>11424</v>
      </c>
      <c r="NPS1" t="s">
        <v>11425</v>
      </c>
      <c r="NPT1" t="s">
        <v>11426</v>
      </c>
      <c r="NPU1" t="s">
        <v>11427</v>
      </c>
      <c r="NPV1" t="s">
        <v>11428</v>
      </c>
      <c r="NPW1" t="s">
        <v>11429</v>
      </c>
      <c r="NPX1" t="s">
        <v>11430</v>
      </c>
      <c r="NPY1" t="s">
        <v>11431</v>
      </c>
      <c r="NPZ1" t="s">
        <v>11432</v>
      </c>
      <c r="NQA1" t="s">
        <v>11433</v>
      </c>
      <c r="NQB1" t="s">
        <v>11434</v>
      </c>
      <c r="NQC1" t="s">
        <v>11435</v>
      </c>
      <c r="NQD1" t="s">
        <v>11436</v>
      </c>
      <c r="NQE1" t="s">
        <v>11437</v>
      </c>
      <c r="NQF1" t="s">
        <v>11438</v>
      </c>
      <c r="NQG1" t="s">
        <v>11439</v>
      </c>
      <c r="NQH1" t="s">
        <v>11440</v>
      </c>
      <c r="NQI1" t="s">
        <v>11441</v>
      </c>
      <c r="NQJ1" t="s">
        <v>11442</v>
      </c>
      <c r="NQK1" t="s">
        <v>11443</v>
      </c>
      <c r="NQL1" t="s">
        <v>11444</v>
      </c>
      <c r="NQM1" t="s">
        <v>11445</v>
      </c>
      <c r="NQN1" t="s">
        <v>11446</v>
      </c>
      <c r="NQO1" t="s">
        <v>11447</v>
      </c>
      <c r="NQP1" t="s">
        <v>11448</v>
      </c>
      <c r="NQQ1" t="s">
        <v>11449</v>
      </c>
      <c r="NQR1" t="s">
        <v>11450</v>
      </c>
      <c r="NQS1" t="s">
        <v>11451</v>
      </c>
      <c r="NQT1" t="s">
        <v>11452</v>
      </c>
      <c r="NQU1" t="s">
        <v>11453</v>
      </c>
      <c r="NQV1" t="s">
        <v>11454</v>
      </c>
      <c r="NQW1" t="s">
        <v>11455</v>
      </c>
      <c r="NQX1" t="s">
        <v>11456</v>
      </c>
      <c r="NQY1" t="s">
        <v>11457</v>
      </c>
      <c r="NQZ1" t="s">
        <v>11458</v>
      </c>
      <c r="NRA1" t="s">
        <v>11459</v>
      </c>
      <c r="NRB1" t="s">
        <v>11460</v>
      </c>
      <c r="NRC1" t="s">
        <v>11461</v>
      </c>
      <c r="NRD1" t="s">
        <v>11462</v>
      </c>
      <c r="NRE1" t="s">
        <v>11463</v>
      </c>
      <c r="NRF1" t="s">
        <v>11464</v>
      </c>
      <c r="NRG1" t="s">
        <v>11465</v>
      </c>
      <c r="NRH1" t="s">
        <v>11466</v>
      </c>
      <c r="NRI1" t="s">
        <v>11467</v>
      </c>
      <c r="NRJ1" t="s">
        <v>11468</v>
      </c>
      <c r="NRK1" t="s">
        <v>11469</v>
      </c>
      <c r="NRL1" t="s">
        <v>11470</v>
      </c>
      <c r="NRM1" t="s">
        <v>11471</v>
      </c>
      <c r="NRN1" t="s">
        <v>11472</v>
      </c>
      <c r="NRO1" t="s">
        <v>11473</v>
      </c>
      <c r="NRP1" t="s">
        <v>11474</v>
      </c>
      <c r="NRQ1" t="s">
        <v>11475</v>
      </c>
      <c r="NRR1" t="s">
        <v>11476</v>
      </c>
      <c r="NRS1" t="s">
        <v>11477</v>
      </c>
      <c r="NRT1" t="s">
        <v>11478</v>
      </c>
      <c r="NRU1" t="s">
        <v>11479</v>
      </c>
      <c r="NRV1" t="s">
        <v>11480</v>
      </c>
      <c r="NRW1" t="s">
        <v>11481</v>
      </c>
      <c r="NRX1" t="s">
        <v>11482</v>
      </c>
      <c r="NRY1" t="s">
        <v>11483</v>
      </c>
      <c r="NRZ1" t="s">
        <v>11484</v>
      </c>
      <c r="NSA1" t="s">
        <v>11485</v>
      </c>
      <c r="NSB1" t="s">
        <v>11486</v>
      </c>
      <c r="NSC1" t="s">
        <v>11487</v>
      </c>
      <c r="NSD1" t="s">
        <v>11488</v>
      </c>
      <c r="NSE1" t="s">
        <v>11489</v>
      </c>
      <c r="NSF1" t="s">
        <v>11490</v>
      </c>
      <c r="NSG1" t="s">
        <v>11491</v>
      </c>
      <c r="NSH1" t="s">
        <v>11492</v>
      </c>
      <c r="NSI1" t="s">
        <v>11493</v>
      </c>
      <c r="NSJ1" t="s">
        <v>11494</v>
      </c>
      <c r="NSK1" t="s">
        <v>11495</v>
      </c>
      <c r="NSL1" t="s">
        <v>11496</v>
      </c>
      <c r="NSM1" t="s">
        <v>11497</v>
      </c>
      <c r="NSN1" t="s">
        <v>11498</v>
      </c>
      <c r="NSO1" t="s">
        <v>11499</v>
      </c>
      <c r="NSP1" t="s">
        <v>11500</v>
      </c>
      <c r="NSQ1" t="s">
        <v>11501</v>
      </c>
      <c r="NSR1" t="s">
        <v>11502</v>
      </c>
      <c r="NSS1" t="s">
        <v>11503</v>
      </c>
      <c r="NST1" t="s">
        <v>11504</v>
      </c>
      <c r="NSU1" t="s">
        <v>11505</v>
      </c>
      <c r="NSV1" t="s">
        <v>11506</v>
      </c>
      <c r="NSW1" t="s">
        <v>11507</v>
      </c>
      <c r="NSX1" t="s">
        <v>11508</v>
      </c>
      <c r="NSY1" t="s">
        <v>11509</v>
      </c>
      <c r="NSZ1" t="s">
        <v>11510</v>
      </c>
      <c r="NTA1" t="s">
        <v>11511</v>
      </c>
      <c r="NTB1" t="s">
        <v>11512</v>
      </c>
      <c r="NTC1" t="s">
        <v>11513</v>
      </c>
      <c r="NTD1" t="s">
        <v>11514</v>
      </c>
      <c r="NTE1" t="s">
        <v>11515</v>
      </c>
      <c r="NTF1" t="s">
        <v>11516</v>
      </c>
      <c r="NTG1" t="s">
        <v>11517</v>
      </c>
      <c r="NTH1" t="s">
        <v>11518</v>
      </c>
      <c r="NTI1" t="s">
        <v>11519</v>
      </c>
      <c r="NTJ1" t="s">
        <v>11520</v>
      </c>
      <c r="NTK1" t="s">
        <v>11521</v>
      </c>
      <c r="NTL1" t="s">
        <v>11522</v>
      </c>
      <c r="NTM1" t="s">
        <v>11523</v>
      </c>
      <c r="NTN1" t="s">
        <v>11524</v>
      </c>
      <c r="NTO1" t="s">
        <v>11525</v>
      </c>
      <c r="NTP1" t="s">
        <v>11526</v>
      </c>
      <c r="NTQ1" t="s">
        <v>11527</v>
      </c>
      <c r="NTR1" t="s">
        <v>11528</v>
      </c>
      <c r="NTS1" t="s">
        <v>11529</v>
      </c>
      <c r="NTT1" t="s">
        <v>11530</v>
      </c>
      <c r="NTU1" t="s">
        <v>11531</v>
      </c>
      <c r="NTV1" t="s">
        <v>11532</v>
      </c>
      <c r="NTW1" t="s">
        <v>11533</v>
      </c>
      <c r="NTX1" t="s">
        <v>11534</v>
      </c>
      <c r="NTY1" t="s">
        <v>11535</v>
      </c>
      <c r="NTZ1" t="s">
        <v>11536</v>
      </c>
      <c r="NUA1" t="s">
        <v>11537</v>
      </c>
      <c r="NUB1" t="s">
        <v>11538</v>
      </c>
      <c r="NUC1" t="s">
        <v>11539</v>
      </c>
      <c r="NUD1" t="s">
        <v>11540</v>
      </c>
      <c r="NUE1" t="s">
        <v>11541</v>
      </c>
      <c r="NUF1" t="s">
        <v>11542</v>
      </c>
      <c r="NUG1" t="s">
        <v>11543</v>
      </c>
      <c r="NUH1" t="s">
        <v>11544</v>
      </c>
      <c r="NUI1" t="s">
        <v>11545</v>
      </c>
      <c r="NUJ1" t="s">
        <v>11546</v>
      </c>
      <c r="NUK1" t="s">
        <v>11547</v>
      </c>
      <c r="NUL1" t="s">
        <v>11548</v>
      </c>
      <c r="NUM1" t="s">
        <v>11549</v>
      </c>
      <c r="NUN1" t="s">
        <v>11550</v>
      </c>
      <c r="NUO1" t="s">
        <v>11551</v>
      </c>
      <c r="NUP1" t="s">
        <v>11552</v>
      </c>
      <c r="NUQ1" t="s">
        <v>11553</v>
      </c>
      <c r="NUR1" t="s">
        <v>11554</v>
      </c>
      <c r="NUS1" t="s">
        <v>11555</v>
      </c>
      <c r="NUT1" t="s">
        <v>11556</v>
      </c>
      <c r="NUU1" t="s">
        <v>11557</v>
      </c>
      <c r="NUV1" t="s">
        <v>11558</v>
      </c>
      <c r="NUW1" t="s">
        <v>11559</v>
      </c>
      <c r="NUX1" t="s">
        <v>11560</v>
      </c>
      <c r="NUY1" t="s">
        <v>11561</v>
      </c>
      <c r="NUZ1" t="s">
        <v>11562</v>
      </c>
      <c r="NVA1" t="s">
        <v>11563</v>
      </c>
      <c r="NVB1" t="s">
        <v>11564</v>
      </c>
      <c r="NVC1" t="s">
        <v>11565</v>
      </c>
      <c r="NVD1" t="s">
        <v>11566</v>
      </c>
      <c r="NVE1" t="s">
        <v>11567</v>
      </c>
      <c r="NVF1" t="s">
        <v>11568</v>
      </c>
      <c r="NVG1" t="s">
        <v>11569</v>
      </c>
      <c r="NVH1" t="s">
        <v>11570</v>
      </c>
      <c r="NVI1" t="s">
        <v>11571</v>
      </c>
      <c r="NVJ1" t="s">
        <v>11572</v>
      </c>
      <c r="NVK1" t="s">
        <v>11573</v>
      </c>
      <c r="NVL1" t="s">
        <v>11574</v>
      </c>
      <c r="NVM1" t="s">
        <v>11575</v>
      </c>
      <c r="NVN1" t="s">
        <v>11576</v>
      </c>
      <c r="NVO1" t="s">
        <v>11577</v>
      </c>
      <c r="NVP1" t="s">
        <v>11578</v>
      </c>
      <c r="NVQ1" t="s">
        <v>11579</v>
      </c>
      <c r="NVR1" t="s">
        <v>11580</v>
      </c>
      <c r="NVS1" t="s">
        <v>11581</v>
      </c>
      <c r="NVT1" t="s">
        <v>11582</v>
      </c>
      <c r="NVU1" t="s">
        <v>11583</v>
      </c>
      <c r="NVV1" t="s">
        <v>11584</v>
      </c>
      <c r="NVW1" t="s">
        <v>11585</v>
      </c>
      <c r="NVX1" t="s">
        <v>11586</v>
      </c>
      <c r="NVY1" t="s">
        <v>11587</v>
      </c>
      <c r="NVZ1" t="s">
        <v>11588</v>
      </c>
      <c r="NWA1" t="s">
        <v>11589</v>
      </c>
      <c r="NWB1" t="s">
        <v>11590</v>
      </c>
      <c r="NWC1" t="s">
        <v>11591</v>
      </c>
      <c r="NWD1" t="s">
        <v>11592</v>
      </c>
      <c r="NWE1" t="s">
        <v>11593</v>
      </c>
      <c r="NWF1" t="s">
        <v>11594</v>
      </c>
      <c r="NWG1" t="s">
        <v>11595</v>
      </c>
      <c r="NWH1" t="s">
        <v>11596</v>
      </c>
      <c r="NWI1" t="s">
        <v>11597</v>
      </c>
      <c r="NWJ1" t="s">
        <v>11598</v>
      </c>
      <c r="NWK1" t="s">
        <v>11599</v>
      </c>
      <c r="NWL1" t="s">
        <v>11600</v>
      </c>
      <c r="NWM1" t="s">
        <v>11601</v>
      </c>
      <c r="NWN1" t="s">
        <v>11602</v>
      </c>
      <c r="NWO1" t="s">
        <v>11603</v>
      </c>
      <c r="NWP1" t="s">
        <v>11604</v>
      </c>
      <c r="NWQ1" t="s">
        <v>11605</v>
      </c>
      <c r="NWR1" t="s">
        <v>11606</v>
      </c>
      <c r="NWS1" t="s">
        <v>11607</v>
      </c>
      <c r="NWT1" t="s">
        <v>11608</v>
      </c>
      <c r="NWU1" t="s">
        <v>11609</v>
      </c>
      <c r="NWV1" t="s">
        <v>11610</v>
      </c>
      <c r="NWW1" t="s">
        <v>11611</v>
      </c>
      <c r="NWX1" t="s">
        <v>11612</v>
      </c>
      <c r="NWY1" t="s">
        <v>11613</v>
      </c>
      <c r="NWZ1" t="s">
        <v>11614</v>
      </c>
      <c r="NXA1" t="s">
        <v>11615</v>
      </c>
      <c r="NXB1" t="s">
        <v>11616</v>
      </c>
      <c r="NXC1" t="s">
        <v>11617</v>
      </c>
      <c r="NXD1" t="s">
        <v>11618</v>
      </c>
      <c r="NXE1" t="s">
        <v>11619</v>
      </c>
      <c r="NXF1" t="s">
        <v>11620</v>
      </c>
      <c r="NXG1" t="s">
        <v>11621</v>
      </c>
      <c r="NXH1" t="s">
        <v>11622</v>
      </c>
      <c r="NXI1" t="s">
        <v>11623</v>
      </c>
      <c r="NXJ1" t="s">
        <v>11624</v>
      </c>
      <c r="NXK1" t="s">
        <v>11625</v>
      </c>
      <c r="NXL1" t="s">
        <v>11626</v>
      </c>
      <c r="NXM1" t="s">
        <v>11627</v>
      </c>
      <c r="NXN1" t="s">
        <v>11628</v>
      </c>
      <c r="NXO1" t="s">
        <v>11629</v>
      </c>
      <c r="NXP1" t="s">
        <v>11630</v>
      </c>
      <c r="NXQ1" t="s">
        <v>11631</v>
      </c>
      <c r="NXR1" t="s">
        <v>11632</v>
      </c>
      <c r="NXS1" t="s">
        <v>11633</v>
      </c>
      <c r="NXT1" t="s">
        <v>11634</v>
      </c>
      <c r="NXU1" t="s">
        <v>11635</v>
      </c>
      <c r="NXV1" t="s">
        <v>11636</v>
      </c>
      <c r="NXW1" t="s">
        <v>11637</v>
      </c>
      <c r="NXX1" t="s">
        <v>11638</v>
      </c>
      <c r="NXY1" t="s">
        <v>11639</v>
      </c>
      <c r="NXZ1" t="s">
        <v>11640</v>
      </c>
      <c r="NYA1" t="s">
        <v>11641</v>
      </c>
      <c r="NYB1" t="s">
        <v>11642</v>
      </c>
      <c r="NYC1" t="s">
        <v>11643</v>
      </c>
      <c r="NYD1" t="s">
        <v>11644</v>
      </c>
      <c r="NYE1" t="s">
        <v>11645</v>
      </c>
      <c r="NYF1" t="s">
        <v>11646</v>
      </c>
      <c r="NYG1" t="s">
        <v>11647</v>
      </c>
      <c r="NYH1" t="s">
        <v>11648</v>
      </c>
      <c r="NYI1" t="s">
        <v>11649</v>
      </c>
      <c r="NYJ1" t="s">
        <v>11650</v>
      </c>
      <c r="NYK1" t="s">
        <v>11651</v>
      </c>
      <c r="NYL1" t="s">
        <v>11652</v>
      </c>
      <c r="NYM1" t="s">
        <v>11653</v>
      </c>
      <c r="NYN1" t="s">
        <v>11654</v>
      </c>
      <c r="NYO1" t="s">
        <v>11655</v>
      </c>
      <c r="NYP1" t="s">
        <v>11656</v>
      </c>
      <c r="NYQ1" t="s">
        <v>11657</v>
      </c>
      <c r="NYR1" t="s">
        <v>11658</v>
      </c>
      <c r="NYS1" t="s">
        <v>11659</v>
      </c>
      <c r="NYT1" t="s">
        <v>11660</v>
      </c>
      <c r="NYU1" t="s">
        <v>11661</v>
      </c>
      <c r="NYV1" t="s">
        <v>11662</v>
      </c>
      <c r="NYW1" t="s">
        <v>11663</v>
      </c>
      <c r="NYX1" t="s">
        <v>11664</v>
      </c>
      <c r="NYY1" t="s">
        <v>11665</v>
      </c>
      <c r="NYZ1" t="s">
        <v>11666</v>
      </c>
      <c r="NZA1" t="s">
        <v>11667</v>
      </c>
      <c r="NZB1" t="s">
        <v>11668</v>
      </c>
      <c r="NZC1" t="s">
        <v>11669</v>
      </c>
      <c r="NZD1" t="s">
        <v>11670</v>
      </c>
      <c r="NZE1" t="s">
        <v>11671</v>
      </c>
      <c r="NZF1" t="s">
        <v>11672</v>
      </c>
      <c r="NZG1" t="s">
        <v>11673</v>
      </c>
      <c r="NZH1" t="s">
        <v>11674</v>
      </c>
      <c r="NZI1" t="s">
        <v>11675</v>
      </c>
      <c r="NZJ1" t="s">
        <v>11676</v>
      </c>
      <c r="NZK1" t="s">
        <v>11677</v>
      </c>
      <c r="NZL1" t="s">
        <v>11678</v>
      </c>
      <c r="NZM1" t="s">
        <v>11679</v>
      </c>
      <c r="NZN1" t="s">
        <v>11680</v>
      </c>
      <c r="NZO1" t="s">
        <v>11681</v>
      </c>
      <c r="NZP1" t="s">
        <v>11682</v>
      </c>
      <c r="NZQ1" t="s">
        <v>11683</v>
      </c>
      <c r="NZR1" t="s">
        <v>11684</v>
      </c>
      <c r="NZS1" t="s">
        <v>11685</v>
      </c>
      <c r="NZT1" t="s">
        <v>11686</v>
      </c>
      <c r="NZU1" t="s">
        <v>11687</v>
      </c>
      <c r="NZV1" t="s">
        <v>11688</v>
      </c>
      <c r="NZW1" t="s">
        <v>11689</v>
      </c>
      <c r="NZX1" t="s">
        <v>11690</v>
      </c>
      <c r="NZY1" t="s">
        <v>11691</v>
      </c>
      <c r="NZZ1" t="s">
        <v>11692</v>
      </c>
      <c r="OAA1" t="s">
        <v>11693</v>
      </c>
      <c r="OAB1" t="s">
        <v>11694</v>
      </c>
      <c r="OAC1" t="s">
        <v>11695</v>
      </c>
      <c r="OAD1" t="s">
        <v>11696</v>
      </c>
      <c r="OAE1" t="s">
        <v>11697</v>
      </c>
      <c r="OAF1" t="s">
        <v>11698</v>
      </c>
      <c r="OAG1" t="s">
        <v>11699</v>
      </c>
      <c r="OAH1" t="s">
        <v>11700</v>
      </c>
      <c r="OAI1" t="s">
        <v>11701</v>
      </c>
      <c r="OAJ1" t="s">
        <v>11702</v>
      </c>
      <c r="OAK1" t="s">
        <v>11703</v>
      </c>
      <c r="OAL1" t="s">
        <v>11704</v>
      </c>
      <c r="OAM1" t="s">
        <v>11705</v>
      </c>
      <c r="OAN1" t="s">
        <v>11706</v>
      </c>
      <c r="OAO1" t="s">
        <v>11707</v>
      </c>
      <c r="OAP1" t="s">
        <v>11708</v>
      </c>
      <c r="OAQ1" t="s">
        <v>11709</v>
      </c>
      <c r="OAR1" t="s">
        <v>11710</v>
      </c>
      <c r="OAS1" t="s">
        <v>11711</v>
      </c>
      <c r="OAT1" t="s">
        <v>11712</v>
      </c>
      <c r="OAU1" t="s">
        <v>11713</v>
      </c>
      <c r="OAV1" t="s">
        <v>11714</v>
      </c>
      <c r="OAW1" t="s">
        <v>11715</v>
      </c>
      <c r="OAX1" t="s">
        <v>11716</v>
      </c>
      <c r="OAY1" t="s">
        <v>11717</v>
      </c>
      <c r="OAZ1" t="s">
        <v>11718</v>
      </c>
      <c r="OBA1" t="s">
        <v>11719</v>
      </c>
      <c r="OBB1" t="s">
        <v>11720</v>
      </c>
      <c r="OBC1" t="s">
        <v>11721</v>
      </c>
      <c r="OBD1" t="s">
        <v>11722</v>
      </c>
      <c r="OBE1" t="s">
        <v>11723</v>
      </c>
      <c r="OBF1" t="s">
        <v>11724</v>
      </c>
      <c r="OBG1" t="s">
        <v>11725</v>
      </c>
      <c r="OBH1" t="s">
        <v>11726</v>
      </c>
      <c r="OBI1" t="s">
        <v>11727</v>
      </c>
      <c r="OBJ1" t="s">
        <v>11728</v>
      </c>
      <c r="OBK1" t="s">
        <v>11729</v>
      </c>
      <c r="OBL1" t="s">
        <v>11730</v>
      </c>
      <c r="OBM1" t="s">
        <v>11731</v>
      </c>
      <c r="OBN1" t="s">
        <v>11732</v>
      </c>
      <c r="OBO1" t="s">
        <v>11733</v>
      </c>
      <c r="OBP1" t="s">
        <v>11734</v>
      </c>
      <c r="OBQ1" t="s">
        <v>11735</v>
      </c>
      <c r="OBR1" t="s">
        <v>11736</v>
      </c>
      <c r="OBS1" t="s">
        <v>11737</v>
      </c>
      <c r="OBT1" t="s">
        <v>11738</v>
      </c>
      <c r="OBU1" t="s">
        <v>11739</v>
      </c>
      <c r="OBV1" t="s">
        <v>11740</v>
      </c>
      <c r="OBW1" t="s">
        <v>11741</v>
      </c>
      <c r="OBX1" t="s">
        <v>11742</v>
      </c>
      <c r="OBY1" t="s">
        <v>11743</v>
      </c>
      <c r="OBZ1" t="s">
        <v>11744</v>
      </c>
      <c r="OCA1" t="s">
        <v>11745</v>
      </c>
      <c r="OCB1" t="s">
        <v>11746</v>
      </c>
      <c r="OCC1" t="s">
        <v>11747</v>
      </c>
      <c r="OCD1" t="s">
        <v>11748</v>
      </c>
      <c r="OCE1" t="s">
        <v>11749</v>
      </c>
      <c r="OCF1" t="s">
        <v>11750</v>
      </c>
      <c r="OCG1" t="s">
        <v>11751</v>
      </c>
      <c r="OCH1" t="s">
        <v>11752</v>
      </c>
      <c r="OCI1" t="s">
        <v>11753</v>
      </c>
      <c r="OCJ1" t="s">
        <v>11754</v>
      </c>
      <c r="OCK1" t="s">
        <v>11755</v>
      </c>
      <c r="OCL1" t="s">
        <v>11756</v>
      </c>
      <c r="OCM1" t="s">
        <v>11757</v>
      </c>
      <c r="OCN1" t="s">
        <v>11758</v>
      </c>
      <c r="OCO1" t="s">
        <v>11759</v>
      </c>
      <c r="OCP1" t="s">
        <v>11760</v>
      </c>
      <c r="OCQ1" t="s">
        <v>11761</v>
      </c>
      <c r="OCR1" t="s">
        <v>11762</v>
      </c>
      <c r="OCS1" t="s">
        <v>11763</v>
      </c>
      <c r="OCT1" t="s">
        <v>11764</v>
      </c>
      <c r="OCU1" t="s">
        <v>11765</v>
      </c>
      <c r="OCV1" t="s">
        <v>11766</v>
      </c>
      <c r="OCW1" t="s">
        <v>11767</v>
      </c>
      <c r="OCX1" t="s">
        <v>11768</v>
      </c>
      <c r="OCY1" t="s">
        <v>11769</v>
      </c>
      <c r="OCZ1" t="s">
        <v>11770</v>
      </c>
      <c r="ODA1" t="s">
        <v>11771</v>
      </c>
      <c r="ODB1" t="s">
        <v>11772</v>
      </c>
      <c r="ODC1" t="s">
        <v>11773</v>
      </c>
      <c r="ODD1" t="s">
        <v>11774</v>
      </c>
      <c r="ODE1" t="s">
        <v>11775</v>
      </c>
      <c r="ODF1" t="s">
        <v>11776</v>
      </c>
      <c r="ODG1" t="s">
        <v>11777</v>
      </c>
      <c r="ODH1" t="s">
        <v>11778</v>
      </c>
      <c r="ODI1" t="s">
        <v>11779</v>
      </c>
      <c r="ODJ1" t="s">
        <v>11780</v>
      </c>
      <c r="ODK1" t="s">
        <v>11781</v>
      </c>
      <c r="ODL1" t="s">
        <v>11782</v>
      </c>
      <c r="ODM1" t="s">
        <v>11783</v>
      </c>
      <c r="ODN1" t="s">
        <v>11784</v>
      </c>
      <c r="ODO1" t="s">
        <v>11785</v>
      </c>
      <c r="ODP1" t="s">
        <v>11786</v>
      </c>
      <c r="ODQ1" t="s">
        <v>11787</v>
      </c>
      <c r="ODR1" t="s">
        <v>11788</v>
      </c>
      <c r="ODS1" t="s">
        <v>11789</v>
      </c>
      <c r="ODT1" t="s">
        <v>11790</v>
      </c>
      <c r="ODU1" t="s">
        <v>11791</v>
      </c>
      <c r="ODV1" t="s">
        <v>11792</v>
      </c>
      <c r="ODW1" t="s">
        <v>11793</v>
      </c>
      <c r="ODX1" t="s">
        <v>11794</v>
      </c>
      <c r="ODY1" t="s">
        <v>11795</v>
      </c>
      <c r="ODZ1" t="s">
        <v>11796</v>
      </c>
      <c r="OEA1" t="s">
        <v>11797</v>
      </c>
      <c r="OEB1" t="s">
        <v>11798</v>
      </c>
      <c r="OEC1" t="s">
        <v>11799</v>
      </c>
      <c r="OED1" t="s">
        <v>11800</v>
      </c>
      <c r="OEE1" t="s">
        <v>11801</v>
      </c>
      <c r="OEF1" t="s">
        <v>11802</v>
      </c>
      <c r="OEG1" t="s">
        <v>11803</v>
      </c>
      <c r="OEH1" t="s">
        <v>11804</v>
      </c>
      <c r="OEI1" t="s">
        <v>11805</v>
      </c>
      <c r="OEJ1" t="s">
        <v>11806</v>
      </c>
      <c r="OEK1" t="s">
        <v>11807</v>
      </c>
      <c r="OEL1" t="s">
        <v>11808</v>
      </c>
      <c r="OEM1" t="s">
        <v>11809</v>
      </c>
      <c r="OEN1" t="s">
        <v>11810</v>
      </c>
      <c r="OEO1" t="s">
        <v>11811</v>
      </c>
      <c r="OEP1" t="s">
        <v>11812</v>
      </c>
      <c r="OEQ1" t="s">
        <v>11813</v>
      </c>
      <c r="OER1" t="s">
        <v>11814</v>
      </c>
      <c r="OES1" t="s">
        <v>11815</v>
      </c>
      <c r="OET1" t="s">
        <v>11816</v>
      </c>
      <c r="OEU1" t="s">
        <v>11817</v>
      </c>
      <c r="OEV1" t="s">
        <v>11818</v>
      </c>
      <c r="OEW1" t="s">
        <v>11819</v>
      </c>
      <c r="OEX1" t="s">
        <v>11820</v>
      </c>
      <c r="OEY1" t="s">
        <v>11821</v>
      </c>
      <c r="OEZ1" t="s">
        <v>11822</v>
      </c>
      <c r="OFA1" t="s">
        <v>11823</v>
      </c>
      <c r="OFB1" t="s">
        <v>11824</v>
      </c>
      <c r="OFC1" t="s">
        <v>11825</v>
      </c>
      <c r="OFD1" t="s">
        <v>11826</v>
      </c>
      <c r="OFE1" t="s">
        <v>11827</v>
      </c>
      <c r="OFF1" t="s">
        <v>11828</v>
      </c>
      <c r="OFG1" t="s">
        <v>11829</v>
      </c>
      <c r="OFH1" t="s">
        <v>11830</v>
      </c>
      <c r="OFI1" t="s">
        <v>11831</v>
      </c>
      <c r="OFJ1" t="s">
        <v>11832</v>
      </c>
      <c r="OFK1" t="s">
        <v>11833</v>
      </c>
      <c r="OFL1" t="s">
        <v>11834</v>
      </c>
      <c r="OFM1" t="s">
        <v>11835</v>
      </c>
      <c r="OFN1" t="s">
        <v>11836</v>
      </c>
      <c r="OFO1" t="s">
        <v>11837</v>
      </c>
      <c r="OFP1" t="s">
        <v>11838</v>
      </c>
      <c r="OFQ1" t="s">
        <v>11839</v>
      </c>
      <c r="OFR1" t="s">
        <v>11840</v>
      </c>
      <c r="OFS1" t="s">
        <v>11841</v>
      </c>
      <c r="OFT1" t="s">
        <v>11842</v>
      </c>
      <c r="OFU1" t="s">
        <v>11843</v>
      </c>
      <c r="OFV1" t="s">
        <v>11844</v>
      </c>
      <c r="OFW1" t="s">
        <v>11845</v>
      </c>
      <c r="OFX1" t="s">
        <v>11846</v>
      </c>
      <c r="OFY1" t="s">
        <v>11847</v>
      </c>
      <c r="OFZ1" t="s">
        <v>11848</v>
      </c>
      <c r="OGA1" t="s">
        <v>11849</v>
      </c>
      <c r="OGB1" t="s">
        <v>11850</v>
      </c>
      <c r="OGC1" t="s">
        <v>11851</v>
      </c>
      <c r="OGD1" t="s">
        <v>11852</v>
      </c>
      <c r="OGE1" t="s">
        <v>11853</v>
      </c>
      <c r="OGF1" t="s">
        <v>11854</v>
      </c>
      <c r="OGG1" t="s">
        <v>11855</v>
      </c>
      <c r="OGH1" t="s">
        <v>11856</v>
      </c>
      <c r="OGI1" t="s">
        <v>11857</v>
      </c>
      <c r="OGJ1" t="s">
        <v>11858</v>
      </c>
      <c r="OGK1" t="s">
        <v>11859</v>
      </c>
      <c r="OGL1" t="s">
        <v>11860</v>
      </c>
      <c r="OGM1" t="s">
        <v>11861</v>
      </c>
      <c r="OGN1" t="s">
        <v>11862</v>
      </c>
      <c r="OGO1" t="s">
        <v>11863</v>
      </c>
      <c r="OGP1" t="s">
        <v>11864</v>
      </c>
      <c r="OGQ1" t="s">
        <v>11865</v>
      </c>
      <c r="OGR1" t="s">
        <v>11866</v>
      </c>
      <c r="OGS1" t="s">
        <v>11867</v>
      </c>
      <c r="OGT1" t="s">
        <v>11868</v>
      </c>
      <c r="OGU1" t="s">
        <v>11869</v>
      </c>
      <c r="OGV1" t="s">
        <v>11870</v>
      </c>
      <c r="OGW1" t="s">
        <v>11871</v>
      </c>
      <c r="OGX1" t="s">
        <v>11872</v>
      </c>
      <c r="OGY1" t="s">
        <v>11873</v>
      </c>
      <c r="OGZ1" t="s">
        <v>11874</v>
      </c>
      <c r="OHA1" t="s">
        <v>11875</v>
      </c>
      <c r="OHB1" t="s">
        <v>11876</v>
      </c>
      <c r="OHC1" t="s">
        <v>11877</v>
      </c>
      <c r="OHD1" t="s">
        <v>11878</v>
      </c>
      <c r="OHE1" t="s">
        <v>11879</v>
      </c>
      <c r="OHF1" t="s">
        <v>11880</v>
      </c>
      <c r="OHG1" t="s">
        <v>11881</v>
      </c>
      <c r="OHH1" t="s">
        <v>11882</v>
      </c>
      <c r="OHI1" t="s">
        <v>11883</v>
      </c>
      <c r="OHJ1" t="s">
        <v>11884</v>
      </c>
      <c r="OHK1" t="s">
        <v>11885</v>
      </c>
      <c r="OHL1" t="s">
        <v>11886</v>
      </c>
      <c r="OHM1" t="s">
        <v>11887</v>
      </c>
      <c r="OHN1" t="s">
        <v>11888</v>
      </c>
      <c r="OHO1" t="s">
        <v>11889</v>
      </c>
      <c r="OHP1" t="s">
        <v>11890</v>
      </c>
      <c r="OHQ1" t="s">
        <v>11891</v>
      </c>
      <c r="OHR1" t="s">
        <v>11892</v>
      </c>
      <c r="OHS1" t="s">
        <v>11893</v>
      </c>
      <c r="OHT1" t="s">
        <v>11894</v>
      </c>
      <c r="OHU1" t="s">
        <v>11895</v>
      </c>
      <c r="OHV1" t="s">
        <v>11896</v>
      </c>
      <c r="OHW1" t="s">
        <v>11897</v>
      </c>
      <c r="OHX1" t="s">
        <v>11898</v>
      </c>
      <c r="OHY1" t="s">
        <v>11899</v>
      </c>
      <c r="OHZ1" t="s">
        <v>11900</v>
      </c>
      <c r="OIA1" t="s">
        <v>11901</v>
      </c>
      <c r="OIB1" t="s">
        <v>11902</v>
      </c>
      <c r="OIC1" t="s">
        <v>11903</v>
      </c>
      <c r="OID1" t="s">
        <v>11904</v>
      </c>
      <c r="OIE1" t="s">
        <v>11905</v>
      </c>
      <c r="OIF1" t="s">
        <v>11906</v>
      </c>
      <c r="OIG1" t="s">
        <v>11907</v>
      </c>
      <c r="OIH1" t="s">
        <v>11908</v>
      </c>
      <c r="OII1" t="s">
        <v>11909</v>
      </c>
      <c r="OIJ1" t="s">
        <v>11910</v>
      </c>
      <c r="OIK1" t="s">
        <v>11911</v>
      </c>
      <c r="OIL1" t="s">
        <v>11912</v>
      </c>
      <c r="OIM1" t="s">
        <v>11913</v>
      </c>
      <c r="OIN1" t="s">
        <v>11914</v>
      </c>
      <c r="OIO1" t="s">
        <v>11915</v>
      </c>
      <c r="OIP1" t="s">
        <v>11916</v>
      </c>
      <c r="OIQ1" t="s">
        <v>11917</v>
      </c>
      <c r="OIR1" t="s">
        <v>11918</v>
      </c>
      <c r="OIS1" t="s">
        <v>11919</v>
      </c>
      <c r="OIT1" t="s">
        <v>11920</v>
      </c>
      <c r="OIU1" t="s">
        <v>11921</v>
      </c>
      <c r="OIV1" t="s">
        <v>11922</v>
      </c>
      <c r="OIW1" t="s">
        <v>11923</v>
      </c>
      <c r="OIX1" t="s">
        <v>11924</v>
      </c>
      <c r="OIY1" t="s">
        <v>11925</v>
      </c>
      <c r="OIZ1" t="s">
        <v>11926</v>
      </c>
      <c r="OJA1" t="s">
        <v>11927</v>
      </c>
      <c r="OJB1" t="s">
        <v>11928</v>
      </c>
      <c r="OJC1" t="s">
        <v>11929</v>
      </c>
      <c r="OJD1" t="s">
        <v>11930</v>
      </c>
      <c r="OJE1" t="s">
        <v>11931</v>
      </c>
      <c r="OJF1" t="s">
        <v>11932</v>
      </c>
      <c r="OJG1" t="s">
        <v>11933</v>
      </c>
      <c r="OJH1" t="s">
        <v>11934</v>
      </c>
      <c r="OJI1" t="s">
        <v>11935</v>
      </c>
      <c r="OJJ1" t="s">
        <v>11936</v>
      </c>
      <c r="OJK1" t="s">
        <v>11937</v>
      </c>
      <c r="OJL1" t="s">
        <v>11938</v>
      </c>
      <c r="OJM1" t="s">
        <v>11939</v>
      </c>
      <c r="OJN1" t="s">
        <v>11940</v>
      </c>
      <c r="OJO1" t="s">
        <v>11941</v>
      </c>
      <c r="OJP1" t="s">
        <v>11942</v>
      </c>
      <c r="OJQ1" t="s">
        <v>11943</v>
      </c>
      <c r="OJR1" t="s">
        <v>11944</v>
      </c>
      <c r="OJS1" t="s">
        <v>11945</v>
      </c>
      <c r="OJT1" t="s">
        <v>11946</v>
      </c>
      <c r="OJU1" t="s">
        <v>11947</v>
      </c>
      <c r="OJV1" t="s">
        <v>11948</v>
      </c>
      <c r="OJW1" t="s">
        <v>11949</v>
      </c>
      <c r="OJX1" t="s">
        <v>11950</v>
      </c>
      <c r="OJY1" t="s">
        <v>11951</v>
      </c>
      <c r="OJZ1" t="s">
        <v>11952</v>
      </c>
      <c r="OKA1" t="s">
        <v>11953</v>
      </c>
      <c r="OKB1" t="s">
        <v>11954</v>
      </c>
      <c r="OKC1" t="s">
        <v>11955</v>
      </c>
      <c r="OKD1" t="s">
        <v>11956</v>
      </c>
      <c r="OKE1" t="s">
        <v>11957</v>
      </c>
      <c r="OKF1" t="s">
        <v>11958</v>
      </c>
      <c r="OKG1" t="s">
        <v>11959</v>
      </c>
      <c r="OKH1" t="s">
        <v>11960</v>
      </c>
      <c r="OKI1" t="s">
        <v>11961</v>
      </c>
      <c r="OKJ1" t="s">
        <v>11962</v>
      </c>
      <c r="OKK1" t="s">
        <v>11963</v>
      </c>
      <c r="OKL1" t="s">
        <v>11964</v>
      </c>
      <c r="OKM1" t="s">
        <v>11965</v>
      </c>
      <c r="OKN1" t="s">
        <v>11966</v>
      </c>
      <c r="OKO1" t="s">
        <v>11967</v>
      </c>
      <c r="OKP1" t="s">
        <v>11968</v>
      </c>
      <c r="OKQ1" t="s">
        <v>11969</v>
      </c>
      <c r="OKR1" t="s">
        <v>11970</v>
      </c>
      <c r="OKS1" t="s">
        <v>11971</v>
      </c>
      <c r="OKT1" t="s">
        <v>11972</v>
      </c>
      <c r="OKU1" t="s">
        <v>11973</v>
      </c>
      <c r="OKV1" t="s">
        <v>11974</v>
      </c>
      <c r="OKW1" t="s">
        <v>11975</v>
      </c>
      <c r="OKX1" t="s">
        <v>11976</v>
      </c>
      <c r="OKY1" t="s">
        <v>11977</v>
      </c>
      <c r="OKZ1" t="s">
        <v>11978</v>
      </c>
      <c r="OLA1" t="s">
        <v>11979</v>
      </c>
      <c r="OLB1" t="s">
        <v>11980</v>
      </c>
      <c r="OLC1" t="s">
        <v>11981</v>
      </c>
      <c r="OLD1" t="s">
        <v>11982</v>
      </c>
      <c r="OLE1" t="s">
        <v>11983</v>
      </c>
      <c r="OLF1" t="s">
        <v>11984</v>
      </c>
      <c r="OLG1" t="s">
        <v>11985</v>
      </c>
      <c r="OLH1" t="s">
        <v>11986</v>
      </c>
      <c r="OLI1" t="s">
        <v>11987</v>
      </c>
      <c r="OLJ1" t="s">
        <v>11988</v>
      </c>
      <c r="OLK1" t="s">
        <v>11989</v>
      </c>
      <c r="OLL1" t="s">
        <v>11990</v>
      </c>
      <c r="OLM1" t="s">
        <v>11991</v>
      </c>
      <c r="OLN1" t="s">
        <v>11992</v>
      </c>
      <c r="OLO1" t="s">
        <v>11993</v>
      </c>
      <c r="OLP1" t="s">
        <v>11994</v>
      </c>
      <c r="OLQ1" t="s">
        <v>11995</v>
      </c>
      <c r="OLR1" t="s">
        <v>11996</v>
      </c>
      <c r="OLS1" t="s">
        <v>11997</v>
      </c>
      <c r="OLT1" t="s">
        <v>11998</v>
      </c>
      <c r="OLU1" t="s">
        <v>11999</v>
      </c>
      <c r="OLV1" t="s">
        <v>12000</v>
      </c>
      <c r="OLW1" t="s">
        <v>12001</v>
      </c>
      <c r="OLX1" t="s">
        <v>12002</v>
      </c>
      <c r="OLY1" t="s">
        <v>12003</v>
      </c>
      <c r="OLZ1" t="s">
        <v>12004</v>
      </c>
      <c r="OMA1" t="s">
        <v>12005</v>
      </c>
      <c r="OMB1" t="s">
        <v>12006</v>
      </c>
      <c r="OMC1" t="s">
        <v>12007</v>
      </c>
      <c r="OMD1" t="s">
        <v>12008</v>
      </c>
      <c r="OME1" t="s">
        <v>12009</v>
      </c>
      <c r="OMF1" t="s">
        <v>12010</v>
      </c>
      <c r="OMG1" t="s">
        <v>12011</v>
      </c>
      <c r="OMH1" t="s">
        <v>12012</v>
      </c>
      <c r="OMI1" t="s">
        <v>12013</v>
      </c>
      <c r="OMJ1" t="s">
        <v>12014</v>
      </c>
      <c r="OMK1" t="s">
        <v>12015</v>
      </c>
      <c r="OML1" t="s">
        <v>12016</v>
      </c>
      <c r="OMM1" t="s">
        <v>12017</v>
      </c>
      <c r="OMN1" t="s">
        <v>12018</v>
      </c>
      <c r="OMO1" t="s">
        <v>12019</v>
      </c>
      <c r="OMP1" t="s">
        <v>12020</v>
      </c>
      <c r="OMQ1" t="s">
        <v>12021</v>
      </c>
      <c r="OMR1" t="s">
        <v>12022</v>
      </c>
      <c r="OMS1" t="s">
        <v>12023</v>
      </c>
      <c r="OMT1" t="s">
        <v>12024</v>
      </c>
      <c r="OMU1" t="s">
        <v>12025</v>
      </c>
      <c r="OMV1" t="s">
        <v>12026</v>
      </c>
      <c r="OMW1" t="s">
        <v>12027</v>
      </c>
      <c r="OMX1" t="s">
        <v>12028</v>
      </c>
      <c r="OMY1" t="s">
        <v>12029</v>
      </c>
      <c r="OMZ1" t="s">
        <v>12030</v>
      </c>
      <c r="ONA1" t="s">
        <v>12031</v>
      </c>
      <c r="ONB1" t="s">
        <v>12032</v>
      </c>
      <c r="ONC1" t="s">
        <v>12033</v>
      </c>
      <c r="OND1" t="s">
        <v>12034</v>
      </c>
      <c r="ONE1" t="s">
        <v>12035</v>
      </c>
      <c r="ONF1" t="s">
        <v>12036</v>
      </c>
      <c r="ONG1" t="s">
        <v>12037</v>
      </c>
      <c r="ONH1" t="s">
        <v>12038</v>
      </c>
      <c r="ONI1" t="s">
        <v>12039</v>
      </c>
      <c r="ONJ1" t="s">
        <v>12040</v>
      </c>
      <c r="ONK1" t="s">
        <v>12041</v>
      </c>
      <c r="ONL1" t="s">
        <v>12042</v>
      </c>
      <c r="ONM1" t="s">
        <v>12043</v>
      </c>
      <c r="ONN1" t="s">
        <v>12044</v>
      </c>
      <c r="ONO1" t="s">
        <v>12045</v>
      </c>
      <c r="ONP1" t="s">
        <v>12046</v>
      </c>
      <c r="ONQ1" t="s">
        <v>12047</v>
      </c>
      <c r="ONR1" t="s">
        <v>12048</v>
      </c>
      <c r="ONS1" t="s">
        <v>12049</v>
      </c>
      <c r="ONT1" t="s">
        <v>12050</v>
      </c>
      <c r="ONU1" t="s">
        <v>12051</v>
      </c>
      <c r="ONV1" t="s">
        <v>12052</v>
      </c>
      <c r="ONW1" t="s">
        <v>12053</v>
      </c>
      <c r="ONX1" t="s">
        <v>12054</v>
      </c>
      <c r="ONY1" t="s">
        <v>12055</v>
      </c>
      <c r="ONZ1" t="s">
        <v>12056</v>
      </c>
      <c r="OOA1" t="s">
        <v>12057</v>
      </c>
      <c r="OOB1" t="s">
        <v>12058</v>
      </c>
      <c r="OOC1" t="s">
        <v>12059</v>
      </c>
      <c r="OOD1" t="s">
        <v>12060</v>
      </c>
      <c r="OOE1" t="s">
        <v>12061</v>
      </c>
      <c r="OOF1" t="s">
        <v>12062</v>
      </c>
      <c r="OOG1" t="s">
        <v>12063</v>
      </c>
      <c r="OOH1" t="s">
        <v>12064</v>
      </c>
      <c r="OOI1" t="s">
        <v>12065</v>
      </c>
      <c r="OOJ1" t="s">
        <v>12066</v>
      </c>
      <c r="OOK1" t="s">
        <v>12067</v>
      </c>
      <c r="OOL1" t="s">
        <v>12068</v>
      </c>
      <c r="OOM1" t="s">
        <v>12069</v>
      </c>
      <c r="OON1" t="s">
        <v>12070</v>
      </c>
      <c r="OOO1" t="s">
        <v>12071</v>
      </c>
      <c r="OOP1" t="s">
        <v>12072</v>
      </c>
      <c r="OOQ1" t="s">
        <v>12073</v>
      </c>
      <c r="OOR1" t="s">
        <v>12074</v>
      </c>
      <c r="OOS1" t="s">
        <v>12075</v>
      </c>
      <c r="OOT1" t="s">
        <v>12076</v>
      </c>
      <c r="OOU1" t="s">
        <v>12077</v>
      </c>
      <c r="OOV1" t="s">
        <v>12078</v>
      </c>
      <c r="OOW1" t="s">
        <v>12079</v>
      </c>
      <c r="OOX1" t="s">
        <v>12080</v>
      </c>
      <c r="OOY1" t="s">
        <v>12081</v>
      </c>
      <c r="OOZ1" t="s">
        <v>12082</v>
      </c>
      <c r="OPA1" t="s">
        <v>12083</v>
      </c>
      <c r="OPB1" t="s">
        <v>12084</v>
      </c>
      <c r="OPC1" t="s">
        <v>12085</v>
      </c>
      <c r="OPD1" t="s">
        <v>12086</v>
      </c>
      <c r="OPE1" t="s">
        <v>12087</v>
      </c>
      <c r="OPF1" t="s">
        <v>12088</v>
      </c>
      <c r="OPG1" t="s">
        <v>12089</v>
      </c>
      <c r="OPH1" t="s">
        <v>12090</v>
      </c>
      <c r="OPI1" t="s">
        <v>12091</v>
      </c>
      <c r="OPJ1" t="s">
        <v>12092</v>
      </c>
      <c r="OPK1" t="s">
        <v>12093</v>
      </c>
      <c r="OPL1" t="s">
        <v>12094</v>
      </c>
      <c r="OPM1" t="s">
        <v>12095</v>
      </c>
      <c r="OPN1" t="s">
        <v>12096</v>
      </c>
      <c r="OPO1" t="s">
        <v>12097</v>
      </c>
      <c r="OPP1" t="s">
        <v>12098</v>
      </c>
      <c r="OPQ1" t="s">
        <v>12099</v>
      </c>
      <c r="OPR1" t="s">
        <v>12100</v>
      </c>
      <c r="OPS1" t="s">
        <v>12101</v>
      </c>
      <c r="OPT1" t="s">
        <v>12102</v>
      </c>
      <c r="OPU1" t="s">
        <v>12103</v>
      </c>
      <c r="OPV1" t="s">
        <v>12104</v>
      </c>
      <c r="OPW1" t="s">
        <v>12105</v>
      </c>
      <c r="OPX1" t="s">
        <v>12106</v>
      </c>
      <c r="OPY1" t="s">
        <v>12107</v>
      </c>
      <c r="OPZ1" t="s">
        <v>12108</v>
      </c>
      <c r="OQA1" t="s">
        <v>12109</v>
      </c>
      <c r="OQB1" t="s">
        <v>12110</v>
      </c>
      <c r="OQC1" t="s">
        <v>12111</v>
      </c>
      <c r="OQD1" t="s">
        <v>12112</v>
      </c>
      <c r="OQE1" t="s">
        <v>12113</v>
      </c>
      <c r="OQF1" t="s">
        <v>12114</v>
      </c>
      <c r="OQG1" t="s">
        <v>12115</v>
      </c>
      <c r="OQH1" t="s">
        <v>12116</v>
      </c>
      <c r="OQI1" t="s">
        <v>12117</v>
      </c>
      <c r="OQJ1" t="s">
        <v>12118</v>
      </c>
      <c r="OQK1" t="s">
        <v>12119</v>
      </c>
      <c r="OQL1" t="s">
        <v>12120</v>
      </c>
      <c r="OQM1" t="s">
        <v>12121</v>
      </c>
      <c r="OQN1" t="s">
        <v>12122</v>
      </c>
      <c r="OQO1" t="s">
        <v>12123</v>
      </c>
      <c r="OQP1" t="s">
        <v>12124</v>
      </c>
      <c r="OQQ1" t="s">
        <v>12125</v>
      </c>
      <c r="OQR1" t="s">
        <v>12126</v>
      </c>
      <c r="OQS1" t="s">
        <v>12127</v>
      </c>
      <c r="OQT1" t="s">
        <v>12128</v>
      </c>
      <c r="OQU1" t="s">
        <v>12129</v>
      </c>
      <c r="OQV1" t="s">
        <v>12130</v>
      </c>
      <c r="OQW1" t="s">
        <v>12131</v>
      </c>
      <c r="OQX1" t="s">
        <v>12132</v>
      </c>
      <c r="OQY1" t="s">
        <v>12133</v>
      </c>
      <c r="OQZ1" t="s">
        <v>12134</v>
      </c>
      <c r="ORA1" t="s">
        <v>12135</v>
      </c>
      <c r="ORB1" t="s">
        <v>12136</v>
      </c>
      <c r="ORC1" t="s">
        <v>12137</v>
      </c>
      <c r="ORD1" t="s">
        <v>12138</v>
      </c>
      <c r="ORE1" t="s">
        <v>12139</v>
      </c>
      <c r="ORF1" t="s">
        <v>12140</v>
      </c>
      <c r="ORG1" t="s">
        <v>12141</v>
      </c>
      <c r="ORH1" t="s">
        <v>12142</v>
      </c>
      <c r="ORI1" t="s">
        <v>12143</v>
      </c>
      <c r="ORJ1" t="s">
        <v>12144</v>
      </c>
      <c r="ORK1" t="s">
        <v>12145</v>
      </c>
      <c r="ORL1" t="s">
        <v>12146</v>
      </c>
      <c r="ORM1" t="s">
        <v>12147</v>
      </c>
      <c r="ORN1" t="s">
        <v>12148</v>
      </c>
      <c r="ORO1" t="s">
        <v>12149</v>
      </c>
      <c r="ORP1" t="s">
        <v>12150</v>
      </c>
      <c r="ORQ1" t="s">
        <v>12151</v>
      </c>
      <c r="ORR1" t="s">
        <v>12152</v>
      </c>
      <c r="ORS1" t="s">
        <v>12153</v>
      </c>
      <c r="ORT1" t="s">
        <v>12154</v>
      </c>
      <c r="ORU1" t="s">
        <v>12155</v>
      </c>
      <c r="ORV1" t="s">
        <v>12156</v>
      </c>
      <c r="ORW1" t="s">
        <v>12157</v>
      </c>
      <c r="ORX1" t="s">
        <v>12158</v>
      </c>
      <c r="ORY1" t="s">
        <v>12159</v>
      </c>
      <c r="ORZ1" t="s">
        <v>12160</v>
      </c>
      <c r="OSA1" t="s">
        <v>12161</v>
      </c>
      <c r="OSB1" t="s">
        <v>12162</v>
      </c>
      <c r="OSC1" t="s">
        <v>12163</v>
      </c>
      <c r="OSD1" t="s">
        <v>12164</v>
      </c>
      <c r="OSE1" t="s">
        <v>12165</v>
      </c>
      <c r="OSF1" t="s">
        <v>12166</v>
      </c>
      <c r="OSG1" t="s">
        <v>12167</v>
      </c>
      <c r="OSH1" t="s">
        <v>12168</v>
      </c>
      <c r="OSI1" t="s">
        <v>12169</v>
      </c>
      <c r="OSJ1" t="s">
        <v>12170</v>
      </c>
      <c r="OSK1" t="s">
        <v>12171</v>
      </c>
      <c r="OSL1" t="s">
        <v>12172</v>
      </c>
      <c r="OSM1" t="s">
        <v>12173</v>
      </c>
      <c r="OSN1" t="s">
        <v>12174</v>
      </c>
      <c r="OSO1" t="s">
        <v>12175</v>
      </c>
      <c r="OSP1" t="s">
        <v>12176</v>
      </c>
      <c r="OSQ1" t="s">
        <v>12177</v>
      </c>
      <c r="OSR1" t="s">
        <v>12178</v>
      </c>
      <c r="OSS1" t="s">
        <v>12179</v>
      </c>
      <c r="OST1" t="s">
        <v>12180</v>
      </c>
      <c r="OSU1" t="s">
        <v>12181</v>
      </c>
      <c r="OSV1" t="s">
        <v>12182</v>
      </c>
      <c r="OSW1" t="s">
        <v>12183</v>
      </c>
      <c r="OSX1" t="s">
        <v>12184</v>
      </c>
      <c r="OSY1" t="s">
        <v>12185</v>
      </c>
      <c r="OSZ1" t="s">
        <v>12186</v>
      </c>
      <c r="OTA1" t="s">
        <v>12187</v>
      </c>
      <c r="OTB1" t="s">
        <v>12188</v>
      </c>
      <c r="OTC1" t="s">
        <v>12189</v>
      </c>
      <c r="OTD1" t="s">
        <v>12190</v>
      </c>
      <c r="OTE1" t="s">
        <v>12191</v>
      </c>
      <c r="OTF1" t="s">
        <v>12192</v>
      </c>
      <c r="OTG1" t="s">
        <v>12193</v>
      </c>
      <c r="OTH1" t="s">
        <v>12194</v>
      </c>
      <c r="OTI1" t="s">
        <v>12195</v>
      </c>
      <c r="OTJ1" t="s">
        <v>12196</v>
      </c>
      <c r="OTK1" t="s">
        <v>12197</v>
      </c>
      <c r="OTL1" t="s">
        <v>12198</v>
      </c>
      <c r="OTM1" t="s">
        <v>12199</v>
      </c>
      <c r="OTN1" t="s">
        <v>12200</v>
      </c>
      <c r="OTO1" t="s">
        <v>12201</v>
      </c>
      <c r="OTP1" t="s">
        <v>12202</v>
      </c>
      <c r="OTQ1" t="s">
        <v>12203</v>
      </c>
      <c r="OTR1" t="s">
        <v>12204</v>
      </c>
      <c r="OTS1" t="s">
        <v>12205</v>
      </c>
      <c r="OTT1" t="s">
        <v>12206</v>
      </c>
      <c r="OTU1" t="s">
        <v>12207</v>
      </c>
      <c r="OTV1" t="s">
        <v>12208</v>
      </c>
      <c r="OTW1" t="s">
        <v>12209</v>
      </c>
      <c r="OTX1" t="s">
        <v>12210</v>
      </c>
      <c r="OTY1" t="s">
        <v>12211</v>
      </c>
      <c r="OTZ1" t="s">
        <v>12212</v>
      </c>
      <c r="OUA1" t="s">
        <v>12213</v>
      </c>
      <c r="OUB1" t="s">
        <v>12214</v>
      </c>
      <c r="OUC1" t="s">
        <v>12215</v>
      </c>
      <c r="OUD1" t="s">
        <v>12216</v>
      </c>
      <c r="OUE1" t="s">
        <v>12217</v>
      </c>
      <c r="OUF1" t="s">
        <v>12218</v>
      </c>
      <c r="OUG1" t="s">
        <v>12219</v>
      </c>
      <c r="OUH1" t="s">
        <v>12220</v>
      </c>
      <c r="OUI1" t="s">
        <v>12221</v>
      </c>
      <c r="OUJ1" t="s">
        <v>12222</v>
      </c>
      <c r="OUK1" t="s">
        <v>12223</v>
      </c>
      <c r="OUL1" t="s">
        <v>12224</v>
      </c>
      <c r="OUM1" t="s">
        <v>12225</v>
      </c>
      <c r="OUN1" t="s">
        <v>12226</v>
      </c>
      <c r="OUO1" t="s">
        <v>12227</v>
      </c>
      <c r="OUP1" t="s">
        <v>12228</v>
      </c>
      <c r="OUQ1" t="s">
        <v>12229</v>
      </c>
      <c r="OUR1" t="s">
        <v>12230</v>
      </c>
      <c r="OUS1" t="s">
        <v>12231</v>
      </c>
      <c r="OUT1" t="s">
        <v>12232</v>
      </c>
      <c r="OUU1" t="s">
        <v>12233</v>
      </c>
      <c r="OUV1" t="s">
        <v>12234</v>
      </c>
      <c r="OUW1" t="s">
        <v>12235</v>
      </c>
      <c r="OUX1" t="s">
        <v>12236</v>
      </c>
      <c r="OUY1" t="s">
        <v>12237</v>
      </c>
      <c r="OUZ1" t="s">
        <v>12238</v>
      </c>
      <c r="OVA1" t="s">
        <v>12239</v>
      </c>
      <c r="OVB1" t="s">
        <v>12240</v>
      </c>
      <c r="OVC1" t="s">
        <v>12241</v>
      </c>
      <c r="OVD1" t="s">
        <v>12242</v>
      </c>
      <c r="OVE1" t="s">
        <v>12243</v>
      </c>
      <c r="OVF1" t="s">
        <v>12244</v>
      </c>
      <c r="OVG1" t="s">
        <v>12245</v>
      </c>
      <c r="OVH1" t="s">
        <v>12246</v>
      </c>
      <c r="OVI1" t="s">
        <v>12247</v>
      </c>
      <c r="OVJ1" t="s">
        <v>12248</v>
      </c>
      <c r="OVK1" t="s">
        <v>12249</v>
      </c>
      <c r="OVL1" t="s">
        <v>12250</v>
      </c>
      <c r="OVM1" t="s">
        <v>12251</v>
      </c>
      <c r="OVN1" t="s">
        <v>12252</v>
      </c>
      <c r="OVO1" t="s">
        <v>12253</v>
      </c>
      <c r="OVP1" t="s">
        <v>12254</v>
      </c>
      <c r="OVQ1" t="s">
        <v>12255</v>
      </c>
      <c r="OVR1" t="s">
        <v>12256</v>
      </c>
      <c r="OVS1" t="s">
        <v>12257</v>
      </c>
      <c r="OVT1" t="s">
        <v>12258</v>
      </c>
      <c r="OVU1" t="s">
        <v>12259</v>
      </c>
      <c r="OVV1" t="s">
        <v>12260</v>
      </c>
      <c r="OVW1" t="s">
        <v>12261</v>
      </c>
      <c r="OVX1" t="s">
        <v>12262</v>
      </c>
      <c r="OVY1" t="s">
        <v>12263</v>
      </c>
      <c r="OVZ1" t="s">
        <v>12264</v>
      </c>
      <c r="OWA1" t="s">
        <v>12265</v>
      </c>
      <c r="OWB1" t="s">
        <v>12266</v>
      </c>
      <c r="OWC1" t="s">
        <v>12267</v>
      </c>
      <c r="OWD1" t="s">
        <v>12268</v>
      </c>
      <c r="OWE1" t="s">
        <v>12269</v>
      </c>
      <c r="OWF1" t="s">
        <v>12270</v>
      </c>
      <c r="OWG1" t="s">
        <v>12271</v>
      </c>
      <c r="OWH1" t="s">
        <v>12272</v>
      </c>
      <c r="OWI1" t="s">
        <v>12273</v>
      </c>
      <c r="OWJ1" t="s">
        <v>12274</v>
      </c>
      <c r="OWK1" t="s">
        <v>12275</v>
      </c>
      <c r="OWL1" t="s">
        <v>12276</v>
      </c>
      <c r="OWM1" t="s">
        <v>12277</v>
      </c>
      <c r="OWN1" t="s">
        <v>12278</v>
      </c>
      <c r="OWO1" t="s">
        <v>12279</v>
      </c>
      <c r="OWP1" t="s">
        <v>12280</v>
      </c>
      <c r="OWQ1" t="s">
        <v>12281</v>
      </c>
      <c r="OWR1" t="s">
        <v>12282</v>
      </c>
      <c r="OWS1" t="s">
        <v>12283</v>
      </c>
      <c r="OWT1" t="s">
        <v>12284</v>
      </c>
      <c r="OWU1" t="s">
        <v>12285</v>
      </c>
      <c r="OWV1" t="s">
        <v>12286</v>
      </c>
      <c r="OWW1" t="s">
        <v>12287</v>
      </c>
      <c r="OWX1" t="s">
        <v>12288</v>
      </c>
      <c r="OWY1" t="s">
        <v>12289</v>
      </c>
      <c r="OWZ1" t="s">
        <v>12290</v>
      </c>
      <c r="OXA1" t="s">
        <v>12291</v>
      </c>
      <c r="OXB1" t="s">
        <v>12292</v>
      </c>
      <c r="OXC1" t="s">
        <v>12293</v>
      </c>
      <c r="OXD1" t="s">
        <v>12294</v>
      </c>
      <c r="OXE1" t="s">
        <v>12295</v>
      </c>
      <c r="OXF1" t="s">
        <v>12296</v>
      </c>
      <c r="OXG1" t="s">
        <v>12297</v>
      </c>
      <c r="OXH1" t="s">
        <v>12298</v>
      </c>
      <c r="OXI1" t="s">
        <v>12299</v>
      </c>
      <c r="OXJ1" t="s">
        <v>12300</v>
      </c>
      <c r="OXK1" t="s">
        <v>12301</v>
      </c>
      <c r="OXL1" t="s">
        <v>12302</v>
      </c>
      <c r="OXM1" t="s">
        <v>12303</v>
      </c>
      <c r="OXN1" t="s">
        <v>12304</v>
      </c>
      <c r="OXO1" t="s">
        <v>12305</v>
      </c>
      <c r="OXP1" t="s">
        <v>12306</v>
      </c>
      <c r="OXQ1" t="s">
        <v>12307</v>
      </c>
      <c r="OXR1" t="s">
        <v>12308</v>
      </c>
      <c r="OXS1" t="s">
        <v>12309</v>
      </c>
      <c r="OXT1" t="s">
        <v>12310</v>
      </c>
      <c r="OXU1" t="s">
        <v>12311</v>
      </c>
      <c r="OXV1" t="s">
        <v>12312</v>
      </c>
      <c r="OXW1" t="s">
        <v>12313</v>
      </c>
      <c r="OXX1" t="s">
        <v>12314</v>
      </c>
      <c r="OXY1" t="s">
        <v>12315</v>
      </c>
      <c r="OXZ1" t="s">
        <v>12316</v>
      </c>
      <c r="OYA1" t="s">
        <v>12317</v>
      </c>
      <c r="OYB1" t="s">
        <v>12318</v>
      </c>
      <c r="OYC1" t="s">
        <v>12319</v>
      </c>
      <c r="OYD1" t="s">
        <v>12320</v>
      </c>
      <c r="OYE1" t="s">
        <v>12321</v>
      </c>
      <c r="OYF1" t="s">
        <v>12322</v>
      </c>
      <c r="OYG1" t="s">
        <v>12323</v>
      </c>
      <c r="OYH1" t="s">
        <v>12324</v>
      </c>
      <c r="OYI1" t="s">
        <v>12325</v>
      </c>
      <c r="OYJ1" t="s">
        <v>12326</v>
      </c>
      <c r="OYK1" t="s">
        <v>12327</v>
      </c>
      <c r="OYL1" t="s">
        <v>12328</v>
      </c>
      <c r="OYM1" t="s">
        <v>12329</v>
      </c>
      <c r="OYN1" t="s">
        <v>12330</v>
      </c>
      <c r="OYO1" t="s">
        <v>12331</v>
      </c>
      <c r="OYP1" t="s">
        <v>12332</v>
      </c>
      <c r="OYQ1" t="s">
        <v>12333</v>
      </c>
      <c r="OYR1" t="s">
        <v>12334</v>
      </c>
      <c r="OYS1" t="s">
        <v>12335</v>
      </c>
      <c r="OYT1" t="s">
        <v>12336</v>
      </c>
      <c r="OYU1" t="s">
        <v>12337</v>
      </c>
      <c r="OYV1" t="s">
        <v>12338</v>
      </c>
      <c r="OYW1" t="s">
        <v>12339</v>
      </c>
      <c r="OYX1" t="s">
        <v>12340</v>
      </c>
      <c r="OYY1" t="s">
        <v>12341</v>
      </c>
      <c r="OYZ1" t="s">
        <v>12342</v>
      </c>
      <c r="OZA1" t="s">
        <v>12343</v>
      </c>
      <c r="OZB1" t="s">
        <v>12344</v>
      </c>
      <c r="OZC1" t="s">
        <v>12345</v>
      </c>
      <c r="OZD1" t="s">
        <v>12346</v>
      </c>
      <c r="OZE1" t="s">
        <v>12347</v>
      </c>
      <c r="OZF1" t="s">
        <v>12348</v>
      </c>
      <c r="OZG1" t="s">
        <v>12349</v>
      </c>
      <c r="OZH1" t="s">
        <v>12350</v>
      </c>
      <c r="OZI1" t="s">
        <v>12351</v>
      </c>
      <c r="OZJ1" t="s">
        <v>12352</v>
      </c>
      <c r="OZK1" t="s">
        <v>12353</v>
      </c>
      <c r="OZL1" t="s">
        <v>12354</v>
      </c>
      <c r="OZM1" t="s">
        <v>12355</v>
      </c>
      <c r="OZN1" t="s">
        <v>12356</v>
      </c>
      <c r="OZO1" t="s">
        <v>12357</v>
      </c>
      <c r="OZP1" t="s">
        <v>12358</v>
      </c>
      <c r="OZQ1" t="s">
        <v>12359</v>
      </c>
      <c r="OZR1" t="s">
        <v>12360</v>
      </c>
      <c r="OZS1" t="s">
        <v>12361</v>
      </c>
      <c r="OZT1" t="s">
        <v>12362</v>
      </c>
      <c r="OZU1" t="s">
        <v>12363</v>
      </c>
      <c r="OZV1" t="s">
        <v>12364</v>
      </c>
      <c r="OZW1" t="s">
        <v>12365</v>
      </c>
      <c r="OZX1" t="s">
        <v>12366</v>
      </c>
      <c r="OZY1" t="s">
        <v>12367</v>
      </c>
      <c r="OZZ1" t="s">
        <v>12368</v>
      </c>
      <c r="PAA1" t="s">
        <v>12369</v>
      </c>
      <c r="PAB1" t="s">
        <v>12370</v>
      </c>
      <c r="PAC1" t="s">
        <v>12371</v>
      </c>
      <c r="PAD1" t="s">
        <v>12372</v>
      </c>
      <c r="PAE1" t="s">
        <v>12373</v>
      </c>
      <c r="PAF1" t="s">
        <v>12374</v>
      </c>
      <c r="PAG1" t="s">
        <v>12375</v>
      </c>
      <c r="PAH1" t="s">
        <v>12376</v>
      </c>
      <c r="PAI1" t="s">
        <v>12377</v>
      </c>
      <c r="PAJ1" t="s">
        <v>12378</v>
      </c>
      <c r="PAK1" t="s">
        <v>12379</v>
      </c>
      <c r="PAL1" t="s">
        <v>12380</v>
      </c>
      <c r="PAM1" t="s">
        <v>12381</v>
      </c>
      <c r="PAN1" t="s">
        <v>12382</v>
      </c>
      <c r="PAO1" t="s">
        <v>12383</v>
      </c>
      <c r="PAP1" t="s">
        <v>12384</v>
      </c>
      <c r="PAQ1" t="s">
        <v>12385</v>
      </c>
      <c r="PAR1" t="s">
        <v>12386</v>
      </c>
      <c r="PAS1" t="s">
        <v>12387</v>
      </c>
      <c r="PAT1" t="s">
        <v>12388</v>
      </c>
      <c r="PAU1" t="s">
        <v>12389</v>
      </c>
      <c r="PAV1" t="s">
        <v>12390</v>
      </c>
      <c r="PAW1" t="s">
        <v>12391</v>
      </c>
      <c r="PAX1" t="s">
        <v>12392</v>
      </c>
      <c r="PAY1" t="s">
        <v>12393</v>
      </c>
      <c r="PAZ1" t="s">
        <v>12394</v>
      </c>
      <c r="PBA1" t="s">
        <v>12395</v>
      </c>
      <c r="PBB1" t="s">
        <v>12396</v>
      </c>
      <c r="PBC1" t="s">
        <v>12397</v>
      </c>
      <c r="PBD1" t="s">
        <v>12398</v>
      </c>
      <c r="PBE1" t="s">
        <v>12399</v>
      </c>
      <c r="PBF1" t="s">
        <v>12400</v>
      </c>
      <c r="PBG1" t="s">
        <v>12401</v>
      </c>
      <c r="PBH1" t="s">
        <v>12402</v>
      </c>
      <c r="PBI1" t="s">
        <v>12403</v>
      </c>
      <c r="PBJ1" t="s">
        <v>12404</v>
      </c>
      <c r="PBK1" t="s">
        <v>12405</v>
      </c>
      <c r="PBL1" t="s">
        <v>12406</v>
      </c>
      <c r="PBM1" t="s">
        <v>12407</v>
      </c>
      <c r="PBN1" t="s">
        <v>12408</v>
      </c>
      <c r="PBO1" t="s">
        <v>12409</v>
      </c>
      <c r="PBP1" t="s">
        <v>12410</v>
      </c>
      <c r="PBQ1" t="s">
        <v>12411</v>
      </c>
      <c r="PBR1" t="s">
        <v>12412</v>
      </c>
      <c r="PBS1" t="s">
        <v>12413</v>
      </c>
      <c r="PBT1" t="s">
        <v>12414</v>
      </c>
      <c r="PBU1" t="s">
        <v>12415</v>
      </c>
      <c r="PBV1" t="s">
        <v>12416</v>
      </c>
      <c r="PBW1" t="s">
        <v>12417</v>
      </c>
      <c r="PBX1" t="s">
        <v>12418</v>
      </c>
      <c r="PBY1" t="s">
        <v>12419</v>
      </c>
      <c r="PBZ1" t="s">
        <v>12420</v>
      </c>
      <c r="PCA1" t="s">
        <v>12421</v>
      </c>
      <c r="PCB1" t="s">
        <v>12422</v>
      </c>
      <c r="PCC1" t="s">
        <v>12423</v>
      </c>
      <c r="PCD1" t="s">
        <v>12424</v>
      </c>
      <c r="PCE1" t="s">
        <v>12425</v>
      </c>
      <c r="PCF1" t="s">
        <v>12426</v>
      </c>
      <c r="PCG1" t="s">
        <v>12427</v>
      </c>
      <c r="PCH1" t="s">
        <v>12428</v>
      </c>
      <c r="PCI1" t="s">
        <v>12429</v>
      </c>
      <c r="PCJ1" t="s">
        <v>12430</v>
      </c>
      <c r="PCK1" t="s">
        <v>12431</v>
      </c>
      <c r="PCL1" t="s">
        <v>12432</v>
      </c>
      <c r="PCM1" t="s">
        <v>12433</v>
      </c>
      <c r="PCN1" t="s">
        <v>12434</v>
      </c>
      <c r="PCO1" t="s">
        <v>12435</v>
      </c>
      <c r="PCP1" t="s">
        <v>12436</v>
      </c>
      <c r="PCQ1" t="s">
        <v>12437</v>
      </c>
      <c r="PCR1" t="s">
        <v>12438</v>
      </c>
      <c r="PCS1" t="s">
        <v>12439</v>
      </c>
      <c r="PCT1" t="s">
        <v>12440</v>
      </c>
      <c r="PCU1" t="s">
        <v>12441</v>
      </c>
      <c r="PCV1" t="s">
        <v>12442</v>
      </c>
      <c r="PCW1" t="s">
        <v>12443</v>
      </c>
      <c r="PCX1" t="s">
        <v>12444</v>
      </c>
      <c r="PCY1" t="s">
        <v>12445</v>
      </c>
      <c r="PCZ1" t="s">
        <v>12446</v>
      </c>
      <c r="PDA1" t="s">
        <v>12447</v>
      </c>
      <c r="PDB1" t="s">
        <v>12448</v>
      </c>
      <c r="PDC1" t="s">
        <v>12449</v>
      </c>
      <c r="PDD1" t="s">
        <v>12450</v>
      </c>
      <c r="PDE1" t="s">
        <v>12451</v>
      </c>
      <c r="PDF1" t="s">
        <v>12452</v>
      </c>
      <c r="PDG1" t="s">
        <v>12453</v>
      </c>
      <c r="PDH1" t="s">
        <v>12454</v>
      </c>
      <c r="PDI1" t="s">
        <v>12455</v>
      </c>
      <c r="PDJ1" t="s">
        <v>12456</v>
      </c>
      <c r="PDK1" t="s">
        <v>12457</v>
      </c>
      <c r="PDL1" t="s">
        <v>12458</v>
      </c>
      <c r="PDM1" t="s">
        <v>12459</v>
      </c>
      <c r="PDN1" t="s">
        <v>12460</v>
      </c>
      <c r="PDO1" t="s">
        <v>12461</v>
      </c>
      <c r="PDP1" t="s">
        <v>12462</v>
      </c>
      <c r="PDQ1" t="s">
        <v>12463</v>
      </c>
      <c r="PDR1" t="s">
        <v>12464</v>
      </c>
      <c r="PDS1" t="s">
        <v>12465</v>
      </c>
      <c r="PDT1" t="s">
        <v>12466</v>
      </c>
      <c r="PDU1" t="s">
        <v>12467</v>
      </c>
      <c r="PDV1" t="s">
        <v>12468</v>
      </c>
      <c r="PDW1" t="s">
        <v>12469</v>
      </c>
      <c r="PDX1" t="s">
        <v>12470</v>
      </c>
      <c r="PDY1" t="s">
        <v>12471</v>
      </c>
      <c r="PDZ1" t="s">
        <v>12472</v>
      </c>
      <c r="PEA1" t="s">
        <v>12473</v>
      </c>
      <c r="PEB1" t="s">
        <v>12474</v>
      </c>
      <c r="PEC1" t="s">
        <v>12475</v>
      </c>
      <c r="PED1" t="s">
        <v>12476</v>
      </c>
      <c r="PEE1" t="s">
        <v>12477</v>
      </c>
      <c r="PEF1" t="s">
        <v>12478</v>
      </c>
      <c r="PEG1" t="s">
        <v>12479</v>
      </c>
      <c r="PEH1" t="s">
        <v>12480</v>
      </c>
      <c r="PEI1" t="s">
        <v>12481</v>
      </c>
      <c r="PEJ1" t="s">
        <v>12482</v>
      </c>
      <c r="PEK1" t="s">
        <v>12483</v>
      </c>
      <c r="PEL1" t="s">
        <v>12484</v>
      </c>
      <c r="PEM1" t="s">
        <v>12485</v>
      </c>
      <c r="PEN1" t="s">
        <v>12486</v>
      </c>
      <c r="PEO1" t="s">
        <v>12487</v>
      </c>
      <c r="PEP1" t="s">
        <v>12488</v>
      </c>
      <c r="PEQ1" t="s">
        <v>12489</v>
      </c>
      <c r="PER1" t="s">
        <v>12490</v>
      </c>
      <c r="PES1" t="s">
        <v>12491</v>
      </c>
      <c r="PET1" t="s">
        <v>12492</v>
      </c>
      <c r="PEU1" t="s">
        <v>12493</v>
      </c>
      <c r="PEV1" t="s">
        <v>12494</v>
      </c>
      <c r="PEW1" t="s">
        <v>12495</v>
      </c>
      <c r="PEX1" t="s">
        <v>12496</v>
      </c>
      <c r="PEY1" t="s">
        <v>12497</v>
      </c>
      <c r="PEZ1" t="s">
        <v>12498</v>
      </c>
      <c r="PFA1" t="s">
        <v>12499</v>
      </c>
      <c r="PFB1" t="s">
        <v>12500</v>
      </c>
      <c r="PFC1" t="s">
        <v>12501</v>
      </c>
      <c r="PFD1" t="s">
        <v>12502</v>
      </c>
      <c r="PFE1" t="s">
        <v>12503</v>
      </c>
      <c r="PFF1" t="s">
        <v>12504</v>
      </c>
      <c r="PFG1" t="s">
        <v>12505</v>
      </c>
      <c r="PFH1" t="s">
        <v>12506</v>
      </c>
      <c r="PFI1" t="s">
        <v>12507</v>
      </c>
      <c r="PFJ1" t="s">
        <v>12508</v>
      </c>
      <c r="PFK1" t="s">
        <v>12509</v>
      </c>
      <c r="PFL1" t="s">
        <v>12510</v>
      </c>
      <c r="PFM1" t="s">
        <v>12511</v>
      </c>
      <c r="PFN1" t="s">
        <v>12512</v>
      </c>
      <c r="PFO1" t="s">
        <v>12513</v>
      </c>
      <c r="PFP1" t="s">
        <v>12514</v>
      </c>
      <c r="PFQ1" t="s">
        <v>12515</v>
      </c>
      <c r="PFR1" t="s">
        <v>12516</v>
      </c>
      <c r="PFS1" t="s">
        <v>12517</v>
      </c>
      <c r="PFT1" t="s">
        <v>12518</v>
      </c>
      <c r="PFU1" t="s">
        <v>12519</v>
      </c>
      <c r="PFV1" t="s">
        <v>12520</v>
      </c>
      <c r="PFW1" t="s">
        <v>12521</v>
      </c>
      <c r="PFX1" t="s">
        <v>12522</v>
      </c>
      <c r="PFY1" t="s">
        <v>12523</v>
      </c>
      <c r="PFZ1" t="s">
        <v>12524</v>
      </c>
      <c r="PGA1" t="s">
        <v>12525</v>
      </c>
      <c r="PGB1" t="s">
        <v>12526</v>
      </c>
      <c r="PGC1" t="s">
        <v>12527</v>
      </c>
      <c r="PGD1" t="s">
        <v>12528</v>
      </c>
      <c r="PGE1" t="s">
        <v>12529</v>
      </c>
      <c r="PGF1" t="s">
        <v>12530</v>
      </c>
      <c r="PGG1" t="s">
        <v>12531</v>
      </c>
      <c r="PGH1" t="s">
        <v>12532</v>
      </c>
      <c r="PGI1" t="s">
        <v>12533</v>
      </c>
      <c r="PGJ1" t="s">
        <v>12534</v>
      </c>
      <c r="PGK1" t="s">
        <v>12535</v>
      </c>
      <c r="PGL1" t="s">
        <v>12536</v>
      </c>
      <c r="PGM1" t="s">
        <v>12537</v>
      </c>
      <c r="PGN1" t="s">
        <v>12538</v>
      </c>
      <c r="PGO1" t="s">
        <v>12539</v>
      </c>
      <c r="PGP1" t="s">
        <v>12540</v>
      </c>
      <c r="PGQ1" t="s">
        <v>12541</v>
      </c>
      <c r="PGR1" t="s">
        <v>12542</v>
      </c>
      <c r="PGS1" t="s">
        <v>12543</v>
      </c>
      <c r="PGT1" t="s">
        <v>12544</v>
      </c>
      <c r="PGU1" t="s">
        <v>12545</v>
      </c>
      <c r="PGV1" t="s">
        <v>12546</v>
      </c>
      <c r="PGW1" t="s">
        <v>12547</v>
      </c>
      <c r="PGX1" t="s">
        <v>12548</v>
      </c>
      <c r="PGY1" t="s">
        <v>12549</v>
      </c>
      <c r="PGZ1" t="s">
        <v>12550</v>
      </c>
      <c r="PHA1" t="s">
        <v>12551</v>
      </c>
      <c r="PHB1" t="s">
        <v>12552</v>
      </c>
      <c r="PHC1" t="s">
        <v>12553</v>
      </c>
      <c r="PHD1" t="s">
        <v>12554</v>
      </c>
      <c r="PHE1" t="s">
        <v>12555</v>
      </c>
      <c r="PHF1" t="s">
        <v>12556</v>
      </c>
      <c r="PHG1" t="s">
        <v>12557</v>
      </c>
      <c r="PHH1" t="s">
        <v>12558</v>
      </c>
      <c r="PHI1" t="s">
        <v>12559</v>
      </c>
      <c r="PHJ1" t="s">
        <v>12560</v>
      </c>
      <c r="PHK1" t="s">
        <v>12561</v>
      </c>
      <c r="PHL1" t="s">
        <v>12562</v>
      </c>
      <c r="PHM1" t="s">
        <v>12563</v>
      </c>
      <c r="PHN1" t="s">
        <v>12564</v>
      </c>
      <c r="PHO1" t="s">
        <v>12565</v>
      </c>
      <c r="PHP1" t="s">
        <v>12566</v>
      </c>
      <c r="PHQ1" t="s">
        <v>12567</v>
      </c>
      <c r="PHR1" t="s">
        <v>12568</v>
      </c>
      <c r="PHS1" t="s">
        <v>12569</v>
      </c>
      <c r="PHT1" t="s">
        <v>12570</v>
      </c>
      <c r="PHU1" t="s">
        <v>12571</v>
      </c>
      <c r="PHV1" t="s">
        <v>12572</v>
      </c>
      <c r="PHW1" t="s">
        <v>12573</v>
      </c>
      <c r="PHX1" t="s">
        <v>12574</v>
      </c>
      <c r="PHY1" t="s">
        <v>12575</v>
      </c>
      <c r="PHZ1" t="s">
        <v>12576</v>
      </c>
      <c r="PIA1" t="s">
        <v>12577</v>
      </c>
      <c r="PIB1" t="s">
        <v>12578</v>
      </c>
      <c r="PIC1" t="s">
        <v>12579</v>
      </c>
      <c r="PID1" t="s">
        <v>12580</v>
      </c>
      <c r="PIE1" t="s">
        <v>12581</v>
      </c>
      <c r="PIF1" t="s">
        <v>12582</v>
      </c>
      <c r="PIG1" t="s">
        <v>12583</v>
      </c>
      <c r="PIH1" t="s">
        <v>12584</v>
      </c>
      <c r="PII1" t="s">
        <v>12585</v>
      </c>
      <c r="PIJ1" t="s">
        <v>12586</v>
      </c>
      <c r="PIK1" t="s">
        <v>12587</v>
      </c>
      <c r="PIL1" t="s">
        <v>12588</v>
      </c>
      <c r="PIM1" t="s">
        <v>12589</v>
      </c>
      <c r="PIN1" t="s">
        <v>12590</v>
      </c>
      <c r="PIO1" t="s">
        <v>12591</v>
      </c>
      <c r="PIP1" t="s">
        <v>12592</v>
      </c>
      <c r="PIQ1" t="s">
        <v>12593</v>
      </c>
      <c r="PIR1" t="s">
        <v>12594</v>
      </c>
      <c r="PIS1" t="s">
        <v>12595</v>
      </c>
      <c r="PIT1" t="s">
        <v>12596</v>
      </c>
      <c r="PIU1" t="s">
        <v>12597</v>
      </c>
      <c r="PIV1" t="s">
        <v>12598</v>
      </c>
      <c r="PIW1" t="s">
        <v>12599</v>
      </c>
      <c r="PIX1" t="s">
        <v>12600</v>
      </c>
      <c r="PIY1" t="s">
        <v>12601</v>
      </c>
      <c r="PIZ1" t="s">
        <v>12602</v>
      </c>
      <c r="PJA1" t="s">
        <v>12603</v>
      </c>
      <c r="PJB1" t="s">
        <v>12604</v>
      </c>
      <c r="PJC1" t="s">
        <v>12605</v>
      </c>
      <c r="PJD1" t="s">
        <v>12606</v>
      </c>
      <c r="PJE1" t="s">
        <v>12607</v>
      </c>
      <c r="PJF1" t="s">
        <v>12608</v>
      </c>
      <c r="PJG1" t="s">
        <v>12609</v>
      </c>
      <c r="PJH1" t="s">
        <v>12610</v>
      </c>
      <c r="PJI1" t="s">
        <v>12611</v>
      </c>
      <c r="PJJ1" t="s">
        <v>12612</v>
      </c>
      <c r="PJK1" t="s">
        <v>12613</v>
      </c>
      <c r="PJL1" t="s">
        <v>12614</v>
      </c>
      <c r="PJM1" t="s">
        <v>12615</v>
      </c>
      <c r="PJN1" t="s">
        <v>12616</v>
      </c>
      <c r="PJO1" t="s">
        <v>12617</v>
      </c>
      <c r="PJP1" t="s">
        <v>12618</v>
      </c>
      <c r="PJQ1" t="s">
        <v>12619</v>
      </c>
      <c r="PJR1" t="s">
        <v>12620</v>
      </c>
      <c r="PJS1" t="s">
        <v>12621</v>
      </c>
      <c r="PJT1" t="s">
        <v>12622</v>
      </c>
      <c r="PJU1" t="s">
        <v>12623</v>
      </c>
      <c r="PJV1" t="s">
        <v>12624</v>
      </c>
      <c r="PJW1" t="s">
        <v>12625</v>
      </c>
      <c r="PJX1" t="s">
        <v>12626</v>
      </c>
      <c r="PJY1" t="s">
        <v>12627</v>
      </c>
      <c r="PJZ1" t="s">
        <v>12628</v>
      </c>
      <c r="PKA1" t="s">
        <v>12629</v>
      </c>
      <c r="PKB1" t="s">
        <v>12630</v>
      </c>
      <c r="PKC1" t="s">
        <v>12631</v>
      </c>
      <c r="PKD1" t="s">
        <v>12632</v>
      </c>
      <c r="PKE1" t="s">
        <v>12633</v>
      </c>
      <c r="PKF1" t="s">
        <v>12634</v>
      </c>
      <c r="PKG1" t="s">
        <v>12635</v>
      </c>
      <c r="PKH1" t="s">
        <v>12636</v>
      </c>
      <c r="PKI1" t="s">
        <v>12637</v>
      </c>
      <c r="PKJ1" t="s">
        <v>12638</v>
      </c>
      <c r="PKK1" t="s">
        <v>12639</v>
      </c>
      <c r="PKL1" t="s">
        <v>12640</v>
      </c>
      <c r="PKM1" t="s">
        <v>12641</v>
      </c>
      <c r="PKN1" t="s">
        <v>12642</v>
      </c>
      <c r="PKO1" t="s">
        <v>12643</v>
      </c>
      <c r="PKP1" t="s">
        <v>12644</v>
      </c>
      <c r="PKQ1" t="s">
        <v>12645</v>
      </c>
      <c r="PKR1" t="s">
        <v>12646</v>
      </c>
      <c r="PKS1" t="s">
        <v>12647</v>
      </c>
      <c r="PKT1" t="s">
        <v>12648</v>
      </c>
      <c r="PKU1" t="s">
        <v>12649</v>
      </c>
      <c r="PKV1" t="s">
        <v>12650</v>
      </c>
      <c r="PKW1" t="s">
        <v>12651</v>
      </c>
      <c r="PKX1" t="s">
        <v>12652</v>
      </c>
      <c r="PKY1" t="s">
        <v>12653</v>
      </c>
      <c r="PKZ1" t="s">
        <v>12654</v>
      </c>
      <c r="PLA1" t="s">
        <v>12655</v>
      </c>
      <c r="PLB1" t="s">
        <v>12656</v>
      </c>
      <c r="PLC1" t="s">
        <v>12657</v>
      </c>
      <c r="PLD1" t="s">
        <v>12658</v>
      </c>
      <c r="PLE1" t="s">
        <v>12659</v>
      </c>
      <c r="PLF1" t="s">
        <v>12660</v>
      </c>
      <c r="PLG1" t="s">
        <v>12661</v>
      </c>
      <c r="PLH1" t="s">
        <v>12662</v>
      </c>
      <c r="PLI1" t="s">
        <v>12663</v>
      </c>
      <c r="PLJ1" t="s">
        <v>12664</v>
      </c>
      <c r="PLK1" t="s">
        <v>12665</v>
      </c>
      <c r="PLL1" t="s">
        <v>12666</v>
      </c>
      <c r="PLM1" t="s">
        <v>12667</v>
      </c>
      <c r="PLN1" t="s">
        <v>12668</v>
      </c>
      <c r="PLO1" t="s">
        <v>12669</v>
      </c>
      <c r="PLP1" t="s">
        <v>12670</v>
      </c>
      <c r="PLQ1" t="s">
        <v>12671</v>
      </c>
      <c r="PLR1" t="s">
        <v>12672</v>
      </c>
      <c r="PLS1" t="s">
        <v>12673</v>
      </c>
      <c r="PLT1" t="s">
        <v>12674</v>
      </c>
      <c r="PLU1" t="s">
        <v>12675</v>
      </c>
      <c r="PLV1" t="s">
        <v>12676</v>
      </c>
      <c r="PLW1" t="s">
        <v>12677</v>
      </c>
      <c r="PLX1" t="s">
        <v>12678</v>
      </c>
      <c r="PLY1" t="s">
        <v>12679</v>
      </c>
      <c r="PLZ1" t="s">
        <v>12680</v>
      </c>
      <c r="PMA1" t="s">
        <v>12681</v>
      </c>
      <c r="PMB1" t="s">
        <v>12682</v>
      </c>
      <c r="PMC1" t="s">
        <v>12683</v>
      </c>
      <c r="PMD1" t="s">
        <v>12684</v>
      </c>
      <c r="PME1" t="s">
        <v>12685</v>
      </c>
      <c r="PMF1" t="s">
        <v>12686</v>
      </c>
      <c r="PMG1" t="s">
        <v>12687</v>
      </c>
      <c r="PMH1" t="s">
        <v>12688</v>
      </c>
      <c r="PMI1" t="s">
        <v>12689</v>
      </c>
      <c r="PMJ1" t="s">
        <v>12690</v>
      </c>
      <c r="PMK1" t="s">
        <v>12691</v>
      </c>
      <c r="PML1" t="s">
        <v>12692</v>
      </c>
      <c r="PMM1" t="s">
        <v>12693</v>
      </c>
      <c r="PMN1" t="s">
        <v>12694</v>
      </c>
      <c r="PMO1" t="s">
        <v>12695</v>
      </c>
      <c r="PMP1" t="s">
        <v>12696</v>
      </c>
      <c r="PMQ1" t="s">
        <v>12697</v>
      </c>
      <c r="PMR1" t="s">
        <v>12698</v>
      </c>
      <c r="PMS1" t="s">
        <v>12699</v>
      </c>
      <c r="PMT1" t="s">
        <v>12700</v>
      </c>
      <c r="PMU1" t="s">
        <v>12701</v>
      </c>
      <c r="PMV1" t="s">
        <v>12702</v>
      </c>
      <c r="PMW1" t="s">
        <v>12703</v>
      </c>
      <c r="PMX1" t="s">
        <v>12704</v>
      </c>
      <c r="PMY1" t="s">
        <v>12705</v>
      </c>
      <c r="PMZ1" t="s">
        <v>12706</v>
      </c>
      <c r="PNA1" t="s">
        <v>12707</v>
      </c>
      <c r="PNB1" t="s">
        <v>12708</v>
      </c>
      <c r="PNC1" t="s">
        <v>12709</v>
      </c>
      <c r="PND1" t="s">
        <v>12710</v>
      </c>
      <c r="PNE1" t="s">
        <v>12711</v>
      </c>
      <c r="PNF1" t="s">
        <v>12712</v>
      </c>
      <c r="PNG1" t="s">
        <v>12713</v>
      </c>
      <c r="PNH1" t="s">
        <v>12714</v>
      </c>
      <c r="PNI1" t="s">
        <v>12715</v>
      </c>
      <c r="PNJ1" t="s">
        <v>12716</v>
      </c>
      <c r="PNK1" t="s">
        <v>12717</v>
      </c>
      <c r="PNL1" t="s">
        <v>12718</v>
      </c>
      <c r="PNM1" t="s">
        <v>12719</v>
      </c>
      <c r="PNN1" t="s">
        <v>12720</v>
      </c>
      <c r="PNO1" t="s">
        <v>12721</v>
      </c>
      <c r="PNP1" t="s">
        <v>12722</v>
      </c>
      <c r="PNQ1" t="s">
        <v>12723</v>
      </c>
      <c r="PNR1" t="s">
        <v>12724</v>
      </c>
      <c r="PNS1" t="s">
        <v>12725</v>
      </c>
      <c r="PNT1" t="s">
        <v>12726</v>
      </c>
      <c r="PNU1" t="s">
        <v>12727</v>
      </c>
      <c r="PNV1" t="s">
        <v>12728</v>
      </c>
      <c r="PNW1" t="s">
        <v>12729</v>
      </c>
      <c r="PNX1" t="s">
        <v>12730</v>
      </c>
      <c r="PNY1" t="s">
        <v>12731</v>
      </c>
      <c r="PNZ1" t="s">
        <v>12732</v>
      </c>
      <c r="POA1" t="s">
        <v>12733</v>
      </c>
      <c r="POB1" t="s">
        <v>12734</v>
      </c>
      <c r="POC1" t="s">
        <v>12735</v>
      </c>
      <c r="POD1" t="s">
        <v>12736</v>
      </c>
      <c r="POE1" t="s">
        <v>12737</v>
      </c>
      <c r="POF1" t="s">
        <v>12738</v>
      </c>
      <c r="POG1" t="s">
        <v>12739</v>
      </c>
      <c r="POH1" t="s">
        <v>12740</v>
      </c>
      <c r="POI1" t="s">
        <v>12741</v>
      </c>
      <c r="POJ1" t="s">
        <v>12742</v>
      </c>
      <c r="POK1" t="s">
        <v>12743</v>
      </c>
      <c r="POL1" t="s">
        <v>12744</v>
      </c>
      <c r="POM1" t="s">
        <v>12745</v>
      </c>
      <c r="PON1" t="s">
        <v>12746</v>
      </c>
      <c r="POO1" t="s">
        <v>12747</v>
      </c>
      <c r="POP1" t="s">
        <v>12748</v>
      </c>
      <c r="POQ1" t="s">
        <v>12749</v>
      </c>
      <c r="POR1" t="s">
        <v>12750</v>
      </c>
      <c r="POS1" t="s">
        <v>12751</v>
      </c>
      <c r="POT1" t="s">
        <v>12752</v>
      </c>
      <c r="POU1" t="s">
        <v>12753</v>
      </c>
      <c r="POV1" t="s">
        <v>12754</v>
      </c>
      <c r="POW1" t="s">
        <v>12755</v>
      </c>
      <c r="POX1" t="s">
        <v>12756</v>
      </c>
      <c r="POY1" t="s">
        <v>12757</v>
      </c>
      <c r="POZ1" t="s">
        <v>12758</v>
      </c>
      <c r="PPA1" t="s">
        <v>12759</v>
      </c>
      <c r="PPB1" t="s">
        <v>12760</v>
      </c>
      <c r="PPC1" t="s">
        <v>12761</v>
      </c>
      <c r="PPD1" t="s">
        <v>12762</v>
      </c>
      <c r="PPE1" t="s">
        <v>12763</v>
      </c>
      <c r="PPF1" t="s">
        <v>12764</v>
      </c>
      <c r="PPG1" t="s">
        <v>12765</v>
      </c>
      <c r="PPH1" t="s">
        <v>12766</v>
      </c>
      <c r="PPI1" t="s">
        <v>12767</v>
      </c>
      <c r="PPJ1" t="s">
        <v>12768</v>
      </c>
      <c r="PPK1" t="s">
        <v>12769</v>
      </c>
      <c r="PPL1" t="s">
        <v>12770</v>
      </c>
      <c r="PPM1" t="s">
        <v>12771</v>
      </c>
      <c r="PPN1" t="s">
        <v>12772</v>
      </c>
      <c r="PPO1" t="s">
        <v>12773</v>
      </c>
      <c r="PPP1" t="s">
        <v>12774</v>
      </c>
      <c r="PPQ1" t="s">
        <v>12775</v>
      </c>
      <c r="PPR1" t="s">
        <v>12776</v>
      </c>
      <c r="PPS1" t="s">
        <v>12777</v>
      </c>
      <c r="PPT1" t="s">
        <v>12778</v>
      </c>
      <c r="PPU1" t="s">
        <v>12779</v>
      </c>
      <c r="PPV1" t="s">
        <v>12780</v>
      </c>
      <c r="PPW1" t="s">
        <v>12781</v>
      </c>
      <c r="PPX1" t="s">
        <v>12782</v>
      </c>
      <c r="PPY1" t="s">
        <v>12783</v>
      </c>
      <c r="PPZ1" t="s">
        <v>12784</v>
      </c>
      <c r="PQA1" t="s">
        <v>12785</v>
      </c>
      <c r="PQB1" t="s">
        <v>12786</v>
      </c>
      <c r="PQC1" t="s">
        <v>12787</v>
      </c>
      <c r="PQD1" t="s">
        <v>12788</v>
      </c>
      <c r="PQE1" t="s">
        <v>12789</v>
      </c>
      <c r="PQF1" t="s">
        <v>12790</v>
      </c>
      <c r="PQG1" t="s">
        <v>12791</v>
      </c>
      <c r="PQH1" t="s">
        <v>12792</v>
      </c>
      <c r="PQI1" t="s">
        <v>12793</v>
      </c>
      <c r="PQJ1" t="s">
        <v>12794</v>
      </c>
      <c r="PQK1" t="s">
        <v>12795</v>
      </c>
      <c r="PQL1" t="s">
        <v>12796</v>
      </c>
      <c r="PQM1" t="s">
        <v>12797</v>
      </c>
      <c r="PQN1" t="s">
        <v>12798</v>
      </c>
      <c r="PQO1" t="s">
        <v>12799</v>
      </c>
      <c r="PQP1" t="s">
        <v>12800</v>
      </c>
      <c r="PQQ1" t="s">
        <v>12801</v>
      </c>
      <c r="PQR1" t="s">
        <v>12802</v>
      </c>
      <c r="PQS1" t="s">
        <v>12803</v>
      </c>
      <c r="PQT1" t="s">
        <v>12804</v>
      </c>
      <c r="PQU1" t="s">
        <v>12805</v>
      </c>
      <c r="PQV1" t="s">
        <v>12806</v>
      </c>
      <c r="PQW1" t="s">
        <v>12807</v>
      </c>
      <c r="PQX1" t="s">
        <v>12808</v>
      </c>
      <c r="PQY1" t="s">
        <v>12809</v>
      </c>
      <c r="PQZ1" t="s">
        <v>12810</v>
      </c>
      <c r="PRA1" t="s">
        <v>12811</v>
      </c>
      <c r="PRB1" t="s">
        <v>12812</v>
      </c>
      <c r="PRC1" t="s">
        <v>12813</v>
      </c>
      <c r="PRD1" t="s">
        <v>12814</v>
      </c>
      <c r="PRE1" t="s">
        <v>12815</v>
      </c>
      <c r="PRF1" t="s">
        <v>12816</v>
      </c>
      <c r="PRG1" t="s">
        <v>12817</v>
      </c>
      <c r="PRH1" t="s">
        <v>12818</v>
      </c>
      <c r="PRI1" t="s">
        <v>12819</v>
      </c>
      <c r="PRJ1" t="s">
        <v>12820</v>
      </c>
      <c r="PRK1" t="s">
        <v>12821</v>
      </c>
      <c r="PRL1" t="s">
        <v>12822</v>
      </c>
      <c r="PRM1" t="s">
        <v>12823</v>
      </c>
      <c r="PRN1" t="s">
        <v>12824</v>
      </c>
      <c r="PRO1" t="s">
        <v>12825</v>
      </c>
      <c r="PRP1" t="s">
        <v>12826</v>
      </c>
      <c r="PRQ1" t="s">
        <v>12827</v>
      </c>
      <c r="PRR1" t="s">
        <v>12828</v>
      </c>
      <c r="PRS1" t="s">
        <v>12829</v>
      </c>
      <c r="PRT1" t="s">
        <v>12830</v>
      </c>
      <c r="PRU1" t="s">
        <v>12831</v>
      </c>
      <c r="PRV1" t="s">
        <v>12832</v>
      </c>
      <c r="PRW1" t="s">
        <v>12833</v>
      </c>
      <c r="PRX1" t="s">
        <v>12834</v>
      </c>
      <c r="PRY1" t="s">
        <v>12835</v>
      </c>
      <c r="PRZ1" t="s">
        <v>12836</v>
      </c>
      <c r="PSA1" t="s">
        <v>12837</v>
      </c>
      <c r="PSB1" t="s">
        <v>12838</v>
      </c>
      <c r="PSC1" t="s">
        <v>12839</v>
      </c>
      <c r="PSD1" t="s">
        <v>12840</v>
      </c>
      <c r="PSE1" t="s">
        <v>12841</v>
      </c>
      <c r="PSF1" t="s">
        <v>12842</v>
      </c>
      <c r="PSG1" t="s">
        <v>12843</v>
      </c>
      <c r="PSH1" t="s">
        <v>12844</v>
      </c>
      <c r="PSI1" t="s">
        <v>12845</v>
      </c>
      <c r="PSJ1" t="s">
        <v>12846</v>
      </c>
      <c r="PSK1" t="s">
        <v>12847</v>
      </c>
      <c r="PSL1" t="s">
        <v>12848</v>
      </c>
      <c r="PSM1" t="s">
        <v>12849</v>
      </c>
      <c r="PSN1" t="s">
        <v>12850</v>
      </c>
      <c r="PSO1" t="s">
        <v>12851</v>
      </c>
      <c r="PSP1" t="s">
        <v>12852</v>
      </c>
      <c r="PSQ1" t="s">
        <v>12853</v>
      </c>
      <c r="PSR1" t="s">
        <v>12854</v>
      </c>
      <c r="PSS1" t="s">
        <v>12855</v>
      </c>
      <c r="PST1" t="s">
        <v>12856</v>
      </c>
      <c r="PSU1" t="s">
        <v>12857</v>
      </c>
      <c r="PSV1" t="s">
        <v>12858</v>
      </c>
      <c r="PSW1" t="s">
        <v>12859</v>
      </c>
      <c r="PSX1" t="s">
        <v>12860</v>
      </c>
      <c r="PSY1" t="s">
        <v>12861</v>
      </c>
      <c r="PSZ1" t="s">
        <v>12862</v>
      </c>
      <c r="PTA1" t="s">
        <v>12863</v>
      </c>
      <c r="PTB1" t="s">
        <v>12864</v>
      </c>
      <c r="PTC1" t="s">
        <v>12865</v>
      </c>
      <c r="PTD1" t="s">
        <v>12866</v>
      </c>
      <c r="PTE1" t="s">
        <v>12867</v>
      </c>
      <c r="PTF1" t="s">
        <v>12868</v>
      </c>
      <c r="PTG1" t="s">
        <v>12869</v>
      </c>
      <c r="PTH1" t="s">
        <v>12870</v>
      </c>
      <c r="PTI1" t="s">
        <v>12871</v>
      </c>
      <c r="PTJ1" t="s">
        <v>12872</v>
      </c>
      <c r="PTK1" t="s">
        <v>12873</v>
      </c>
      <c r="PTL1" t="s">
        <v>12874</v>
      </c>
      <c r="PTM1" t="s">
        <v>12875</v>
      </c>
      <c r="PTN1" t="s">
        <v>12876</v>
      </c>
      <c r="PTO1" t="s">
        <v>12877</v>
      </c>
      <c r="PTP1" t="s">
        <v>12878</v>
      </c>
      <c r="PTQ1" t="s">
        <v>12879</v>
      </c>
      <c r="PTR1" t="s">
        <v>12880</v>
      </c>
      <c r="PTS1" t="s">
        <v>12881</v>
      </c>
      <c r="PTT1" t="s">
        <v>12882</v>
      </c>
      <c r="PTU1" t="s">
        <v>12883</v>
      </c>
      <c r="PTV1" t="s">
        <v>12884</v>
      </c>
      <c r="PTW1" t="s">
        <v>12885</v>
      </c>
      <c r="PTX1" t="s">
        <v>12886</v>
      </c>
      <c r="PTY1" t="s">
        <v>12887</v>
      </c>
      <c r="PTZ1" t="s">
        <v>12888</v>
      </c>
      <c r="PUA1" t="s">
        <v>12889</v>
      </c>
      <c r="PUB1" t="s">
        <v>12890</v>
      </c>
      <c r="PUC1" t="s">
        <v>12891</v>
      </c>
      <c r="PUD1" t="s">
        <v>12892</v>
      </c>
      <c r="PUE1" t="s">
        <v>12893</v>
      </c>
      <c r="PUF1" t="s">
        <v>12894</v>
      </c>
      <c r="PUG1" t="s">
        <v>12895</v>
      </c>
      <c r="PUH1" t="s">
        <v>12896</v>
      </c>
      <c r="PUI1" t="s">
        <v>12897</v>
      </c>
      <c r="PUJ1" t="s">
        <v>12898</v>
      </c>
      <c r="PUK1" t="s">
        <v>12899</v>
      </c>
      <c r="PUL1" t="s">
        <v>12900</v>
      </c>
      <c r="PUM1" t="s">
        <v>12901</v>
      </c>
      <c r="PUN1" t="s">
        <v>12902</v>
      </c>
      <c r="PUO1" t="s">
        <v>12903</v>
      </c>
      <c r="PUP1" t="s">
        <v>12904</v>
      </c>
      <c r="PUQ1" t="s">
        <v>12905</v>
      </c>
      <c r="PUR1" t="s">
        <v>12906</v>
      </c>
      <c r="PUS1" t="s">
        <v>12907</v>
      </c>
      <c r="PUT1" t="s">
        <v>12908</v>
      </c>
      <c r="PUU1" t="s">
        <v>12909</v>
      </c>
      <c r="PUV1" t="s">
        <v>12910</v>
      </c>
      <c r="PUW1" t="s">
        <v>12911</v>
      </c>
      <c r="PUX1" t="s">
        <v>12912</v>
      </c>
      <c r="PUY1" t="s">
        <v>12913</v>
      </c>
      <c r="PUZ1" t="s">
        <v>12914</v>
      </c>
      <c r="PVA1" t="s">
        <v>12915</v>
      </c>
      <c r="PVB1" t="s">
        <v>12916</v>
      </c>
      <c r="PVC1" t="s">
        <v>12917</v>
      </c>
      <c r="PVD1" t="s">
        <v>12918</v>
      </c>
      <c r="PVE1" t="s">
        <v>12919</v>
      </c>
      <c r="PVF1" t="s">
        <v>12920</v>
      </c>
      <c r="PVG1" t="s">
        <v>12921</v>
      </c>
      <c r="PVH1" t="s">
        <v>12922</v>
      </c>
      <c r="PVI1" t="s">
        <v>12923</v>
      </c>
      <c r="PVJ1" t="s">
        <v>12924</v>
      </c>
      <c r="PVK1" t="s">
        <v>12925</v>
      </c>
      <c r="PVL1" t="s">
        <v>12926</v>
      </c>
      <c r="PVM1" t="s">
        <v>12927</v>
      </c>
      <c r="PVN1" t="s">
        <v>12928</v>
      </c>
      <c r="PVO1" t="s">
        <v>12929</v>
      </c>
      <c r="PVP1" t="s">
        <v>12930</v>
      </c>
      <c r="PVQ1" t="s">
        <v>12931</v>
      </c>
      <c r="PVR1" t="s">
        <v>12932</v>
      </c>
      <c r="PVS1" t="s">
        <v>12933</v>
      </c>
      <c r="PVT1" t="s">
        <v>12934</v>
      </c>
      <c r="PVU1" t="s">
        <v>12935</v>
      </c>
      <c r="PVV1" t="s">
        <v>12936</v>
      </c>
      <c r="PVW1" t="s">
        <v>12937</v>
      </c>
      <c r="PVX1" t="s">
        <v>12938</v>
      </c>
      <c r="PVY1" t="s">
        <v>12939</v>
      </c>
      <c r="PVZ1" t="s">
        <v>12940</v>
      </c>
      <c r="PWA1" t="s">
        <v>12941</v>
      </c>
      <c r="PWB1" t="s">
        <v>12942</v>
      </c>
      <c r="PWC1" t="s">
        <v>12943</v>
      </c>
      <c r="PWD1" t="s">
        <v>12944</v>
      </c>
      <c r="PWE1" t="s">
        <v>12945</v>
      </c>
      <c r="PWF1" t="s">
        <v>12946</v>
      </c>
      <c r="PWG1" t="s">
        <v>12947</v>
      </c>
      <c r="PWH1" t="s">
        <v>12948</v>
      </c>
      <c r="PWI1" t="s">
        <v>12949</v>
      </c>
      <c r="PWJ1" t="s">
        <v>12950</v>
      </c>
      <c r="PWK1" t="s">
        <v>12951</v>
      </c>
      <c r="PWL1" t="s">
        <v>12952</v>
      </c>
      <c r="PWM1" t="s">
        <v>12953</v>
      </c>
      <c r="PWN1" t="s">
        <v>12954</v>
      </c>
      <c r="PWO1" t="s">
        <v>12955</v>
      </c>
      <c r="PWP1" t="s">
        <v>12956</v>
      </c>
      <c r="PWQ1" t="s">
        <v>12957</v>
      </c>
      <c r="PWR1" t="s">
        <v>12958</v>
      </c>
      <c r="PWS1" t="s">
        <v>12959</v>
      </c>
      <c r="PWT1" t="s">
        <v>12960</v>
      </c>
      <c r="PWU1" t="s">
        <v>12961</v>
      </c>
      <c r="PWV1" t="s">
        <v>12962</v>
      </c>
      <c r="PWW1" t="s">
        <v>12963</v>
      </c>
      <c r="PWX1" t="s">
        <v>12964</v>
      </c>
      <c r="PWY1" t="s">
        <v>12965</v>
      </c>
      <c r="PWZ1" t="s">
        <v>12966</v>
      </c>
      <c r="PXA1" t="s">
        <v>12967</v>
      </c>
      <c r="PXB1" t="s">
        <v>12968</v>
      </c>
      <c r="PXC1" t="s">
        <v>12969</v>
      </c>
      <c r="PXD1" t="s">
        <v>12970</v>
      </c>
      <c r="PXE1" t="s">
        <v>12971</v>
      </c>
      <c r="PXF1" t="s">
        <v>12972</v>
      </c>
      <c r="PXG1" t="s">
        <v>12973</v>
      </c>
      <c r="PXH1" t="s">
        <v>12974</v>
      </c>
      <c r="PXI1" t="s">
        <v>12975</v>
      </c>
      <c r="PXJ1" t="s">
        <v>12976</v>
      </c>
      <c r="PXK1" t="s">
        <v>12977</v>
      </c>
      <c r="PXL1" t="s">
        <v>12978</v>
      </c>
      <c r="PXM1" t="s">
        <v>12979</v>
      </c>
      <c r="PXN1" t="s">
        <v>12980</v>
      </c>
      <c r="PXO1" t="s">
        <v>12981</v>
      </c>
      <c r="PXP1" t="s">
        <v>12982</v>
      </c>
      <c r="PXQ1" t="s">
        <v>12983</v>
      </c>
      <c r="PXR1" t="s">
        <v>12984</v>
      </c>
      <c r="PXS1" t="s">
        <v>12985</v>
      </c>
      <c r="PXT1" t="s">
        <v>12986</v>
      </c>
      <c r="PXU1" t="s">
        <v>12987</v>
      </c>
      <c r="PXV1" t="s">
        <v>12988</v>
      </c>
      <c r="PXW1" t="s">
        <v>12989</v>
      </c>
      <c r="PXX1" t="s">
        <v>12990</v>
      </c>
      <c r="PXY1" t="s">
        <v>12991</v>
      </c>
      <c r="PXZ1" t="s">
        <v>12992</v>
      </c>
      <c r="PYA1" t="s">
        <v>12993</v>
      </c>
      <c r="PYB1" t="s">
        <v>12994</v>
      </c>
      <c r="PYC1" t="s">
        <v>12995</v>
      </c>
      <c r="PYD1" t="s">
        <v>12996</v>
      </c>
      <c r="PYE1" t="s">
        <v>12997</v>
      </c>
      <c r="PYF1" t="s">
        <v>12998</v>
      </c>
      <c r="PYG1" t="s">
        <v>12999</v>
      </c>
      <c r="PYH1" t="s">
        <v>13000</v>
      </c>
      <c r="PYI1" t="s">
        <v>13001</v>
      </c>
      <c r="PYJ1" t="s">
        <v>13002</v>
      </c>
      <c r="PYK1" t="s">
        <v>13003</v>
      </c>
      <c r="PYL1" t="s">
        <v>13004</v>
      </c>
      <c r="PYM1" t="s">
        <v>13005</v>
      </c>
      <c r="PYN1" t="s">
        <v>13006</v>
      </c>
      <c r="PYO1" t="s">
        <v>13007</v>
      </c>
      <c r="PYP1" t="s">
        <v>13008</v>
      </c>
      <c r="PYQ1" t="s">
        <v>13009</v>
      </c>
      <c r="PYR1" t="s">
        <v>13010</v>
      </c>
      <c r="PYS1" t="s">
        <v>13011</v>
      </c>
      <c r="PYT1" t="s">
        <v>13012</v>
      </c>
      <c r="PYU1" t="s">
        <v>13013</v>
      </c>
      <c r="PYV1" t="s">
        <v>13014</v>
      </c>
      <c r="PYW1" t="s">
        <v>13015</v>
      </c>
      <c r="PYX1" t="s">
        <v>13016</v>
      </c>
      <c r="PYY1" t="s">
        <v>13017</v>
      </c>
      <c r="PYZ1" t="s">
        <v>13018</v>
      </c>
      <c r="PZA1" t="s">
        <v>13019</v>
      </c>
      <c r="PZB1" t="s">
        <v>13020</v>
      </c>
      <c r="PZC1" t="s">
        <v>13021</v>
      </c>
      <c r="PZD1" t="s">
        <v>13022</v>
      </c>
      <c r="PZE1" t="s">
        <v>13023</v>
      </c>
      <c r="PZF1" t="s">
        <v>13024</v>
      </c>
      <c r="PZG1" t="s">
        <v>13025</v>
      </c>
      <c r="PZH1" t="s">
        <v>13026</v>
      </c>
      <c r="PZI1" t="s">
        <v>13027</v>
      </c>
      <c r="PZJ1" t="s">
        <v>13028</v>
      </c>
      <c r="PZK1" t="s">
        <v>13029</v>
      </c>
      <c r="PZL1" t="s">
        <v>13030</v>
      </c>
      <c r="PZM1" t="s">
        <v>13031</v>
      </c>
      <c r="PZN1" t="s">
        <v>13032</v>
      </c>
      <c r="PZO1" t="s">
        <v>13033</v>
      </c>
      <c r="PZP1" t="s">
        <v>13034</v>
      </c>
      <c r="PZQ1" t="s">
        <v>13035</v>
      </c>
      <c r="PZR1" t="s">
        <v>13036</v>
      </c>
      <c r="PZS1" t="s">
        <v>13037</v>
      </c>
      <c r="PZT1" t="s">
        <v>13038</v>
      </c>
      <c r="PZU1" t="s">
        <v>13039</v>
      </c>
      <c r="PZV1" t="s">
        <v>13040</v>
      </c>
      <c r="PZW1" t="s">
        <v>13041</v>
      </c>
      <c r="PZX1" t="s">
        <v>13042</v>
      </c>
      <c r="PZY1" t="s">
        <v>13043</v>
      </c>
      <c r="PZZ1" t="s">
        <v>13044</v>
      </c>
      <c r="QAA1" t="s">
        <v>13045</v>
      </c>
      <c r="QAB1" t="s">
        <v>13046</v>
      </c>
      <c r="QAC1" t="s">
        <v>13047</v>
      </c>
      <c r="QAD1" t="s">
        <v>13048</v>
      </c>
      <c r="QAE1" t="s">
        <v>13049</v>
      </c>
      <c r="QAF1" t="s">
        <v>13050</v>
      </c>
      <c r="QAG1" t="s">
        <v>13051</v>
      </c>
      <c r="QAH1" t="s">
        <v>13052</v>
      </c>
      <c r="QAI1" t="s">
        <v>13053</v>
      </c>
      <c r="QAJ1" t="s">
        <v>13054</v>
      </c>
      <c r="QAK1" t="s">
        <v>13055</v>
      </c>
      <c r="QAL1" t="s">
        <v>13056</v>
      </c>
      <c r="QAM1" t="s">
        <v>13057</v>
      </c>
      <c r="QAN1" t="s">
        <v>13058</v>
      </c>
      <c r="QAO1" t="s">
        <v>13059</v>
      </c>
      <c r="QAP1" t="s">
        <v>13060</v>
      </c>
      <c r="QAQ1" t="s">
        <v>13061</v>
      </c>
      <c r="QAR1" t="s">
        <v>13062</v>
      </c>
      <c r="QAS1" t="s">
        <v>13063</v>
      </c>
      <c r="QAT1" t="s">
        <v>13064</v>
      </c>
      <c r="QAU1" t="s">
        <v>13065</v>
      </c>
      <c r="QAV1" t="s">
        <v>13066</v>
      </c>
      <c r="QAW1" t="s">
        <v>13067</v>
      </c>
      <c r="QAX1" t="s">
        <v>13068</v>
      </c>
      <c r="QAY1" t="s">
        <v>13069</v>
      </c>
      <c r="QAZ1" t="s">
        <v>13070</v>
      </c>
      <c r="QBA1" t="s">
        <v>13071</v>
      </c>
      <c r="QBB1" t="s">
        <v>13072</v>
      </c>
      <c r="QBC1" t="s">
        <v>13073</v>
      </c>
      <c r="QBD1" t="s">
        <v>13074</v>
      </c>
      <c r="QBE1" t="s">
        <v>13075</v>
      </c>
      <c r="QBF1" t="s">
        <v>13076</v>
      </c>
      <c r="QBG1" t="s">
        <v>13077</v>
      </c>
      <c r="QBH1" t="s">
        <v>13078</v>
      </c>
      <c r="QBI1" t="s">
        <v>13079</v>
      </c>
      <c r="QBJ1" t="s">
        <v>13080</v>
      </c>
      <c r="QBK1" t="s">
        <v>13081</v>
      </c>
      <c r="QBL1" t="s">
        <v>13082</v>
      </c>
      <c r="QBM1" t="s">
        <v>13083</v>
      </c>
      <c r="QBN1" t="s">
        <v>13084</v>
      </c>
      <c r="QBO1" t="s">
        <v>13085</v>
      </c>
      <c r="QBP1" t="s">
        <v>13086</v>
      </c>
      <c r="QBQ1" t="s">
        <v>13087</v>
      </c>
      <c r="QBR1" t="s">
        <v>13088</v>
      </c>
      <c r="QBS1" t="s">
        <v>13089</v>
      </c>
      <c r="QBT1" t="s">
        <v>13090</v>
      </c>
      <c r="QBU1" t="s">
        <v>13091</v>
      </c>
      <c r="QBV1" t="s">
        <v>13092</v>
      </c>
      <c r="QBW1" t="s">
        <v>13093</v>
      </c>
      <c r="QBX1" t="s">
        <v>13094</v>
      </c>
      <c r="QBY1" t="s">
        <v>13095</v>
      </c>
      <c r="QBZ1" t="s">
        <v>13096</v>
      </c>
      <c r="QCA1" t="s">
        <v>13097</v>
      </c>
      <c r="QCB1" t="s">
        <v>13098</v>
      </c>
      <c r="QCC1" t="s">
        <v>13099</v>
      </c>
      <c r="QCD1" t="s">
        <v>13100</v>
      </c>
      <c r="QCE1" t="s">
        <v>13101</v>
      </c>
      <c r="QCF1" t="s">
        <v>13102</v>
      </c>
      <c r="QCG1" t="s">
        <v>13103</v>
      </c>
      <c r="QCH1" t="s">
        <v>13104</v>
      </c>
      <c r="QCI1" t="s">
        <v>13105</v>
      </c>
      <c r="QCJ1" t="s">
        <v>13106</v>
      </c>
      <c r="QCK1" t="s">
        <v>13107</v>
      </c>
      <c r="QCL1" t="s">
        <v>13108</v>
      </c>
      <c r="QCM1" t="s">
        <v>13109</v>
      </c>
      <c r="QCN1" t="s">
        <v>13110</v>
      </c>
      <c r="QCO1" t="s">
        <v>13111</v>
      </c>
      <c r="QCP1" t="s">
        <v>13112</v>
      </c>
      <c r="QCQ1" t="s">
        <v>13113</v>
      </c>
      <c r="QCR1" t="s">
        <v>13114</v>
      </c>
      <c r="QCS1" t="s">
        <v>13115</v>
      </c>
      <c r="QCT1" t="s">
        <v>13116</v>
      </c>
      <c r="QCU1" t="s">
        <v>13117</v>
      </c>
      <c r="QCV1" t="s">
        <v>13118</v>
      </c>
      <c r="QCW1" t="s">
        <v>13119</v>
      </c>
      <c r="QCX1" t="s">
        <v>13120</v>
      </c>
      <c r="QCY1" t="s">
        <v>13121</v>
      </c>
      <c r="QCZ1" t="s">
        <v>13122</v>
      </c>
      <c r="QDA1" t="s">
        <v>13123</v>
      </c>
      <c r="QDB1" t="s">
        <v>13124</v>
      </c>
      <c r="QDC1" t="s">
        <v>13125</v>
      </c>
      <c r="QDD1" t="s">
        <v>13126</v>
      </c>
      <c r="QDE1" t="s">
        <v>13127</v>
      </c>
      <c r="QDF1" t="s">
        <v>13128</v>
      </c>
      <c r="QDG1" t="s">
        <v>13129</v>
      </c>
      <c r="QDH1" t="s">
        <v>13130</v>
      </c>
      <c r="QDI1" t="s">
        <v>13131</v>
      </c>
      <c r="QDJ1" t="s">
        <v>13132</v>
      </c>
      <c r="QDK1" t="s">
        <v>13133</v>
      </c>
      <c r="QDL1" t="s">
        <v>13134</v>
      </c>
      <c r="QDM1" t="s">
        <v>13135</v>
      </c>
      <c r="QDN1" t="s">
        <v>13136</v>
      </c>
      <c r="QDO1" t="s">
        <v>13137</v>
      </c>
      <c r="QDP1" t="s">
        <v>13138</v>
      </c>
      <c r="QDQ1" t="s">
        <v>13139</v>
      </c>
      <c r="QDR1" t="s">
        <v>13140</v>
      </c>
      <c r="QDS1" t="s">
        <v>13141</v>
      </c>
      <c r="QDT1" t="s">
        <v>13142</v>
      </c>
      <c r="QDU1" t="s">
        <v>13143</v>
      </c>
      <c r="QDV1" t="s">
        <v>13144</v>
      </c>
      <c r="QDW1" t="s">
        <v>13145</v>
      </c>
      <c r="QDX1" t="s">
        <v>13146</v>
      </c>
      <c r="QDY1" t="s">
        <v>13147</v>
      </c>
      <c r="QDZ1" t="s">
        <v>13148</v>
      </c>
      <c r="QEA1" t="s">
        <v>13149</v>
      </c>
      <c r="QEB1" t="s">
        <v>13150</v>
      </c>
      <c r="QEC1" t="s">
        <v>13151</v>
      </c>
      <c r="QED1" t="s">
        <v>13152</v>
      </c>
      <c r="QEE1" t="s">
        <v>13153</v>
      </c>
      <c r="QEF1" t="s">
        <v>13154</v>
      </c>
      <c r="QEG1" t="s">
        <v>13155</v>
      </c>
      <c r="QEH1" t="s">
        <v>13156</v>
      </c>
      <c r="QEI1" t="s">
        <v>13157</v>
      </c>
      <c r="QEJ1" t="s">
        <v>13158</v>
      </c>
      <c r="QEK1" t="s">
        <v>13159</v>
      </c>
      <c r="QEL1" t="s">
        <v>13160</v>
      </c>
      <c r="QEM1" t="s">
        <v>13161</v>
      </c>
      <c r="QEN1" t="s">
        <v>13162</v>
      </c>
      <c r="QEO1" t="s">
        <v>13163</v>
      </c>
      <c r="QEP1" t="s">
        <v>13164</v>
      </c>
      <c r="QEQ1" t="s">
        <v>13165</v>
      </c>
      <c r="QER1" t="s">
        <v>13166</v>
      </c>
      <c r="QES1" t="s">
        <v>13167</v>
      </c>
      <c r="QET1" t="s">
        <v>13168</v>
      </c>
      <c r="QEU1" t="s">
        <v>13169</v>
      </c>
      <c r="QEV1" t="s">
        <v>13170</v>
      </c>
      <c r="QEW1" t="s">
        <v>13171</v>
      </c>
      <c r="QEX1" t="s">
        <v>13172</v>
      </c>
      <c r="QEY1" t="s">
        <v>13173</v>
      </c>
      <c r="QEZ1" t="s">
        <v>13174</v>
      </c>
      <c r="QFA1" t="s">
        <v>13175</v>
      </c>
      <c r="QFB1" t="s">
        <v>13176</v>
      </c>
      <c r="QFC1" t="s">
        <v>13177</v>
      </c>
      <c r="QFD1" t="s">
        <v>13178</v>
      </c>
      <c r="QFE1" t="s">
        <v>13179</v>
      </c>
      <c r="QFF1" t="s">
        <v>13180</v>
      </c>
      <c r="QFG1" t="s">
        <v>13181</v>
      </c>
      <c r="QFH1" t="s">
        <v>13182</v>
      </c>
      <c r="QFI1" t="s">
        <v>13183</v>
      </c>
      <c r="QFJ1" t="s">
        <v>13184</v>
      </c>
      <c r="QFK1" t="s">
        <v>13185</v>
      </c>
      <c r="QFL1" t="s">
        <v>13186</v>
      </c>
      <c r="QFM1" t="s">
        <v>13187</v>
      </c>
      <c r="QFN1" t="s">
        <v>13188</v>
      </c>
      <c r="QFO1" t="s">
        <v>13189</v>
      </c>
      <c r="QFP1" t="s">
        <v>13190</v>
      </c>
      <c r="QFQ1" t="s">
        <v>13191</v>
      </c>
      <c r="QFR1" t="s">
        <v>13192</v>
      </c>
      <c r="QFS1" t="s">
        <v>13193</v>
      </c>
      <c r="QFT1" t="s">
        <v>13194</v>
      </c>
      <c r="QFU1" t="s">
        <v>13195</v>
      </c>
      <c r="QFV1" t="s">
        <v>13196</v>
      </c>
      <c r="QFW1" t="s">
        <v>13197</v>
      </c>
      <c r="QFX1" t="s">
        <v>13198</v>
      </c>
      <c r="QFY1" t="s">
        <v>13199</v>
      </c>
      <c r="QFZ1" t="s">
        <v>13200</v>
      </c>
      <c r="QGA1" t="s">
        <v>13201</v>
      </c>
      <c r="QGB1" t="s">
        <v>13202</v>
      </c>
      <c r="QGC1" t="s">
        <v>13203</v>
      </c>
      <c r="QGD1" t="s">
        <v>13204</v>
      </c>
      <c r="QGE1" t="s">
        <v>13205</v>
      </c>
      <c r="QGF1" t="s">
        <v>13206</v>
      </c>
      <c r="QGG1" t="s">
        <v>13207</v>
      </c>
      <c r="QGH1" t="s">
        <v>13208</v>
      </c>
      <c r="QGI1" t="s">
        <v>13209</v>
      </c>
      <c r="QGJ1" t="s">
        <v>13210</v>
      </c>
      <c r="QGK1" t="s">
        <v>13211</v>
      </c>
      <c r="QGL1" t="s">
        <v>13212</v>
      </c>
      <c r="QGM1" t="s">
        <v>13213</v>
      </c>
      <c r="QGN1" t="s">
        <v>13214</v>
      </c>
      <c r="QGO1" t="s">
        <v>13215</v>
      </c>
      <c r="QGP1" t="s">
        <v>13216</v>
      </c>
      <c r="QGQ1" t="s">
        <v>13217</v>
      </c>
      <c r="QGR1" t="s">
        <v>13218</v>
      </c>
      <c r="QGS1" t="s">
        <v>13219</v>
      </c>
      <c r="QGT1" t="s">
        <v>13220</v>
      </c>
      <c r="QGU1" t="s">
        <v>13221</v>
      </c>
      <c r="QGV1" t="s">
        <v>13222</v>
      </c>
      <c r="QGW1" t="s">
        <v>13223</v>
      </c>
      <c r="QGX1" t="s">
        <v>13224</v>
      </c>
      <c r="QGY1" t="s">
        <v>13225</v>
      </c>
      <c r="QGZ1" t="s">
        <v>13226</v>
      </c>
      <c r="QHA1" t="s">
        <v>13227</v>
      </c>
      <c r="QHB1" t="s">
        <v>13228</v>
      </c>
      <c r="QHC1" t="s">
        <v>13229</v>
      </c>
      <c r="QHD1" t="s">
        <v>13230</v>
      </c>
      <c r="QHE1" t="s">
        <v>13231</v>
      </c>
      <c r="QHF1" t="s">
        <v>13232</v>
      </c>
      <c r="QHG1" t="s">
        <v>13233</v>
      </c>
      <c r="QHH1" t="s">
        <v>13234</v>
      </c>
      <c r="QHI1" t="s">
        <v>13235</v>
      </c>
      <c r="QHJ1" t="s">
        <v>13236</v>
      </c>
      <c r="QHK1" t="s">
        <v>13237</v>
      </c>
      <c r="QHL1" t="s">
        <v>13238</v>
      </c>
      <c r="QHM1" t="s">
        <v>13239</v>
      </c>
      <c r="QHN1" t="s">
        <v>13240</v>
      </c>
      <c r="QHO1" t="s">
        <v>13241</v>
      </c>
      <c r="QHP1" t="s">
        <v>13242</v>
      </c>
      <c r="QHQ1" t="s">
        <v>13243</v>
      </c>
      <c r="QHR1" t="s">
        <v>13244</v>
      </c>
      <c r="QHS1" t="s">
        <v>13245</v>
      </c>
      <c r="QHT1" t="s">
        <v>13246</v>
      </c>
      <c r="QHU1" t="s">
        <v>13247</v>
      </c>
      <c r="QHV1" t="s">
        <v>13248</v>
      </c>
      <c r="QHW1" t="s">
        <v>13249</v>
      </c>
      <c r="QHX1" t="s">
        <v>13250</v>
      </c>
      <c r="QHY1" t="s">
        <v>13251</v>
      </c>
      <c r="QHZ1" t="s">
        <v>13252</v>
      </c>
      <c r="QIA1" t="s">
        <v>13253</v>
      </c>
      <c r="QIB1" t="s">
        <v>13254</v>
      </c>
      <c r="QIC1" t="s">
        <v>13255</v>
      </c>
      <c r="QID1" t="s">
        <v>13256</v>
      </c>
      <c r="QIE1" t="s">
        <v>13257</v>
      </c>
      <c r="QIF1" t="s">
        <v>13258</v>
      </c>
      <c r="QIG1" t="s">
        <v>13259</v>
      </c>
      <c r="QIH1" t="s">
        <v>13260</v>
      </c>
      <c r="QII1" t="s">
        <v>13261</v>
      </c>
      <c r="QIJ1" t="s">
        <v>13262</v>
      </c>
      <c r="QIK1" t="s">
        <v>13263</v>
      </c>
      <c r="QIL1" t="s">
        <v>13264</v>
      </c>
      <c r="QIM1" t="s">
        <v>13265</v>
      </c>
      <c r="QIN1" t="s">
        <v>13266</v>
      </c>
      <c r="QIO1" t="s">
        <v>13267</v>
      </c>
      <c r="QIP1" t="s">
        <v>13268</v>
      </c>
      <c r="QIQ1" t="s">
        <v>13269</v>
      </c>
      <c r="QIR1" t="s">
        <v>13270</v>
      </c>
      <c r="QIS1" t="s">
        <v>13271</v>
      </c>
      <c r="QIT1" t="s">
        <v>13272</v>
      </c>
      <c r="QIU1" t="s">
        <v>13273</v>
      </c>
      <c r="QIV1" t="s">
        <v>13274</v>
      </c>
      <c r="QIW1" t="s">
        <v>13275</v>
      </c>
      <c r="QIX1" t="s">
        <v>13276</v>
      </c>
      <c r="QIY1" t="s">
        <v>13277</v>
      </c>
      <c r="QIZ1" t="s">
        <v>13278</v>
      </c>
      <c r="QJA1" t="s">
        <v>13279</v>
      </c>
      <c r="QJB1" t="s">
        <v>13280</v>
      </c>
      <c r="QJC1" t="s">
        <v>13281</v>
      </c>
      <c r="QJD1" t="s">
        <v>13282</v>
      </c>
      <c r="QJE1" t="s">
        <v>13283</v>
      </c>
      <c r="QJF1" t="s">
        <v>13284</v>
      </c>
      <c r="QJG1" t="s">
        <v>13285</v>
      </c>
      <c r="QJH1" t="s">
        <v>13286</v>
      </c>
      <c r="QJI1" t="s">
        <v>13287</v>
      </c>
      <c r="QJJ1" t="s">
        <v>13288</v>
      </c>
      <c r="QJK1" t="s">
        <v>13289</v>
      </c>
      <c r="QJL1" t="s">
        <v>13290</v>
      </c>
      <c r="QJM1" t="s">
        <v>13291</v>
      </c>
      <c r="QJN1" t="s">
        <v>13292</v>
      </c>
      <c r="QJO1" t="s">
        <v>13293</v>
      </c>
      <c r="QJP1" t="s">
        <v>13294</v>
      </c>
      <c r="QJQ1" t="s">
        <v>13295</v>
      </c>
      <c r="QJR1" t="s">
        <v>13296</v>
      </c>
      <c r="QJS1" t="s">
        <v>13297</v>
      </c>
      <c r="QJT1" t="s">
        <v>13298</v>
      </c>
      <c r="QJU1" t="s">
        <v>13299</v>
      </c>
      <c r="QJV1" t="s">
        <v>13300</v>
      </c>
      <c r="QJW1" t="s">
        <v>13301</v>
      </c>
      <c r="QJX1" t="s">
        <v>13302</v>
      </c>
      <c r="QJY1" t="s">
        <v>13303</v>
      </c>
      <c r="QJZ1" t="s">
        <v>13304</v>
      </c>
      <c r="QKA1" t="s">
        <v>13305</v>
      </c>
      <c r="QKB1" t="s">
        <v>13306</v>
      </c>
      <c r="QKC1" t="s">
        <v>13307</v>
      </c>
      <c r="QKD1" t="s">
        <v>13308</v>
      </c>
      <c r="QKE1" t="s">
        <v>13309</v>
      </c>
      <c r="QKF1" t="s">
        <v>13310</v>
      </c>
      <c r="QKG1" t="s">
        <v>13311</v>
      </c>
      <c r="QKH1" t="s">
        <v>13312</v>
      </c>
      <c r="QKI1" t="s">
        <v>13313</v>
      </c>
      <c r="QKJ1" t="s">
        <v>13314</v>
      </c>
      <c r="QKK1" t="s">
        <v>13315</v>
      </c>
      <c r="QKL1" t="s">
        <v>13316</v>
      </c>
      <c r="QKM1" t="s">
        <v>13317</v>
      </c>
      <c r="QKN1" t="s">
        <v>13318</v>
      </c>
      <c r="QKO1" t="s">
        <v>13319</v>
      </c>
      <c r="QKP1" t="s">
        <v>13320</v>
      </c>
      <c r="QKQ1" t="s">
        <v>13321</v>
      </c>
      <c r="QKR1" t="s">
        <v>13322</v>
      </c>
      <c r="QKS1" t="s">
        <v>13323</v>
      </c>
      <c r="QKT1" t="s">
        <v>13324</v>
      </c>
      <c r="QKU1" t="s">
        <v>13325</v>
      </c>
      <c r="QKV1" t="s">
        <v>13326</v>
      </c>
      <c r="QKW1" t="s">
        <v>13327</v>
      </c>
      <c r="QKX1" t="s">
        <v>13328</v>
      </c>
      <c r="QKY1" t="s">
        <v>13329</v>
      </c>
      <c r="QKZ1" t="s">
        <v>13330</v>
      </c>
      <c r="QLA1" t="s">
        <v>13331</v>
      </c>
      <c r="QLB1" t="s">
        <v>13332</v>
      </c>
      <c r="QLC1" t="s">
        <v>13333</v>
      </c>
      <c r="QLD1" t="s">
        <v>13334</v>
      </c>
      <c r="QLE1" t="s">
        <v>13335</v>
      </c>
      <c r="QLF1" t="s">
        <v>13336</v>
      </c>
      <c r="QLG1" t="s">
        <v>13337</v>
      </c>
      <c r="QLH1" t="s">
        <v>13338</v>
      </c>
      <c r="QLI1" t="s">
        <v>13339</v>
      </c>
      <c r="QLJ1" t="s">
        <v>13340</v>
      </c>
      <c r="QLK1" t="s">
        <v>13341</v>
      </c>
      <c r="QLL1" t="s">
        <v>13342</v>
      </c>
      <c r="QLM1" t="s">
        <v>13343</v>
      </c>
      <c r="QLN1" t="s">
        <v>13344</v>
      </c>
      <c r="QLO1" t="s">
        <v>13345</v>
      </c>
      <c r="QLP1" t="s">
        <v>13346</v>
      </c>
      <c r="QLQ1" t="s">
        <v>13347</v>
      </c>
      <c r="QLR1" t="s">
        <v>13348</v>
      </c>
      <c r="QLS1" t="s">
        <v>13349</v>
      </c>
      <c r="QLT1" t="s">
        <v>13350</v>
      </c>
      <c r="QLU1" t="s">
        <v>13351</v>
      </c>
      <c r="QLV1" t="s">
        <v>13352</v>
      </c>
      <c r="QLW1" t="s">
        <v>13353</v>
      </c>
      <c r="QLX1" t="s">
        <v>13354</v>
      </c>
      <c r="QLY1" t="s">
        <v>13355</v>
      </c>
      <c r="QLZ1" t="s">
        <v>13356</v>
      </c>
      <c r="QMA1" t="s">
        <v>13357</v>
      </c>
      <c r="QMB1" t="s">
        <v>13358</v>
      </c>
      <c r="QMC1" t="s">
        <v>13359</v>
      </c>
      <c r="QMD1" t="s">
        <v>13360</v>
      </c>
      <c r="QME1" t="s">
        <v>13361</v>
      </c>
      <c r="QMF1" t="s">
        <v>13362</v>
      </c>
      <c r="QMG1" t="s">
        <v>13363</v>
      </c>
      <c r="QMH1" t="s">
        <v>13364</v>
      </c>
      <c r="QMI1" t="s">
        <v>13365</v>
      </c>
      <c r="QMJ1" t="s">
        <v>13366</v>
      </c>
      <c r="QMK1" t="s">
        <v>13367</v>
      </c>
      <c r="QML1" t="s">
        <v>13368</v>
      </c>
      <c r="QMM1" t="s">
        <v>13369</v>
      </c>
      <c r="QMN1" t="s">
        <v>13370</v>
      </c>
      <c r="QMO1" t="s">
        <v>13371</v>
      </c>
      <c r="QMP1" t="s">
        <v>13372</v>
      </c>
      <c r="QMQ1" t="s">
        <v>13373</v>
      </c>
      <c r="QMR1" t="s">
        <v>13374</v>
      </c>
      <c r="QMS1" t="s">
        <v>13375</v>
      </c>
      <c r="QMT1" t="s">
        <v>13376</v>
      </c>
      <c r="QMU1" t="s">
        <v>13377</v>
      </c>
      <c r="QMV1" t="s">
        <v>13378</v>
      </c>
      <c r="QMW1" t="s">
        <v>13379</v>
      </c>
      <c r="QMX1" t="s">
        <v>13380</v>
      </c>
      <c r="QMY1" t="s">
        <v>13381</v>
      </c>
      <c r="QMZ1" t="s">
        <v>13382</v>
      </c>
      <c r="QNA1" t="s">
        <v>13383</v>
      </c>
      <c r="QNB1" t="s">
        <v>13384</v>
      </c>
      <c r="QNC1" t="s">
        <v>13385</v>
      </c>
      <c r="QND1" t="s">
        <v>13386</v>
      </c>
      <c r="QNE1" t="s">
        <v>13387</v>
      </c>
      <c r="QNF1" t="s">
        <v>13388</v>
      </c>
      <c r="QNG1" t="s">
        <v>13389</v>
      </c>
      <c r="QNH1" t="s">
        <v>13390</v>
      </c>
      <c r="QNI1" t="s">
        <v>13391</v>
      </c>
      <c r="QNJ1" t="s">
        <v>13392</v>
      </c>
      <c r="QNK1" t="s">
        <v>13393</v>
      </c>
      <c r="QNL1" t="s">
        <v>13394</v>
      </c>
      <c r="QNM1" t="s">
        <v>13395</v>
      </c>
      <c r="QNN1" t="s">
        <v>13396</v>
      </c>
      <c r="QNO1" t="s">
        <v>13397</v>
      </c>
      <c r="QNP1" t="s">
        <v>13398</v>
      </c>
      <c r="QNQ1" t="s">
        <v>13399</v>
      </c>
      <c r="QNR1" t="s">
        <v>13400</v>
      </c>
      <c r="QNS1" t="s">
        <v>13401</v>
      </c>
      <c r="QNT1" t="s">
        <v>13402</v>
      </c>
      <c r="QNU1" t="s">
        <v>13403</v>
      </c>
      <c r="QNV1" t="s">
        <v>13404</v>
      </c>
      <c r="QNW1" t="s">
        <v>13405</v>
      </c>
      <c r="QNX1" t="s">
        <v>13406</v>
      </c>
      <c r="QNY1" t="s">
        <v>13407</v>
      </c>
      <c r="QNZ1" t="s">
        <v>13408</v>
      </c>
      <c r="QOA1" t="s">
        <v>13409</v>
      </c>
      <c r="QOB1" t="s">
        <v>13410</v>
      </c>
      <c r="QOC1" t="s">
        <v>13411</v>
      </c>
      <c r="QOD1" t="s">
        <v>13412</v>
      </c>
      <c r="QOE1" t="s">
        <v>13413</v>
      </c>
      <c r="QOF1" t="s">
        <v>13414</v>
      </c>
      <c r="QOG1" t="s">
        <v>13415</v>
      </c>
      <c r="QOH1" t="s">
        <v>13416</v>
      </c>
      <c r="QOI1" t="s">
        <v>13417</v>
      </c>
      <c r="QOJ1" t="s">
        <v>13418</v>
      </c>
      <c r="QOK1" t="s">
        <v>13419</v>
      </c>
      <c r="QOL1" t="s">
        <v>13420</v>
      </c>
      <c r="QOM1" t="s">
        <v>13421</v>
      </c>
      <c r="QON1" t="s">
        <v>13422</v>
      </c>
      <c r="QOO1" t="s">
        <v>13423</v>
      </c>
      <c r="QOP1" t="s">
        <v>13424</v>
      </c>
      <c r="QOQ1" t="s">
        <v>13425</v>
      </c>
      <c r="QOR1" t="s">
        <v>13426</v>
      </c>
      <c r="QOS1" t="s">
        <v>13427</v>
      </c>
      <c r="QOT1" t="s">
        <v>13428</v>
      </c>
      <c r="QOU1" t="s">
        <v>13429</v>
      </c>
      <c r="QOV1" t="s">
        <v>13430</v>
      </c>
      <c r="QOW1" t="s">
        <v>13431</v>
      </c>
      <c r="QOX1" t="s">
        <v>13432</v>
      </c>
      <c r="QOY1" t="s">
        <v>13433</v>
      </c>
      <c r="QOZ1" t="s">
        <v>13434</v>
      </c>
      <c r="QPA1" t="s">
        <v>13435</v>
      </c>
      <c r="QPB1" t="s">
        <v>13436</v>
      </c>
      <c r="QPC1" t="s">
        <v>13437</v>
      </c>
      <c r="QPD1" t="s">
        <v>13438</v>
      </c>
      <c r="QPE1" t="s">
        <v>13439</v>
      </c>
      <c r="QPF1" t="s">
        <v>13440</v>
      </c>
      <c r="QPG1" t="s">
        <v>13441</v>
      </c>
      <c r="QPH1" t="s">
        <v>13442</v>
      </c>
      <c r="QPI1" t="s">
        <v>13443</v>
      </c>
      <c r="QPJ1" t="s">
        <v>13444</v>
      </c>
      <c r="QPK1" t="s">
        <v>13445</v>
      </c>
      <c r="QPL1" t="s">
        <v>13446</v>
      </c>
      <c r="QPM1" t="s">
        <v>13447</v>
      </c>
      <c r="QPN1" t="s">
        <v>13448</v>
      </c>
      <c r="QPO1" t="s">
        <v>13449</v>
      </c>
      <c r="QPP1" t="s">
        <v>13450</v>
      </c>
      <c r="QPQ1" t="s">
        <v>13451</v>
      </c>
      <c r="QPR1" t="s">
        <v>13452</v>
      </c>
      <c r="QPS1" t="s">
        <v>13453</v>
      </c>
      <c r="QPT1" t="s">
        <v>13454</v>
      </c>
      <c r="QPU1" t="s">
        <v>13455</v>
      </c>
      <c r="QPV1" t="s">
        <v>13456</v>
      </c>
      <c r="QPW1" t="s">
        <v>13457</v>
      </c>
      <c r="QPX1" t="s">
        <v>13458</v>
      </c>
      <c r="QPY1" t="s">
        <v>13459</v>
      </c>
      <c r="QPZ1" t="s">
        <v>13460</v>
      </c>
      <c r="QQA1" t="s">
        <v>13461</v>
      </c>
      <c r="QQB1" t="s">
        <v>13462</v>
      </c>
      <c r="QQC1" t="s">
        <v>13463</v>
      </c>
      <c r="QQD1" t="s">
        <v>13464</v>
      </c>
      <c r="QQE1" t="s">
        <v>13465</v>
      </c>
      <c r="QQF1" t="s">
        <v>13466</v>
      </c>
      <c r="QQG1" t="s">
        <v>13467</v>
      </c>
      <c r="QQH1" t="s">
        <v>13468</v>
      </c>
      <c r="QQI1" t="s">
        <v>13469</v>
      </c>
      <c r="QQJ1" t="s">
        <v>13470</v>
      </c>
      <c r="QQK1" t="s">
        <v>13471</v>
      </c>
      <c r="QQL1" t="s">
        <v>13472</v>
      </c>
      <c r="QQM1" t="s">
        <v>13473</v>
      </c>
      <c r="QQN1" t="s">
        <v>13474</v>
      </c>
      <c r="QQO1" t="s">
        <v>13475</v>
      </c>
      <c r="QQP1" t="s">
        <v>13476</v>
      </c>
      <c r="QQQ1" t="s">
        <v>13477</v>
      </c>
      <c r="QQR1" t="s">
        <v>13478</v>
      </c>
      <c r="QQS1" t="s">
        <v>13479</v>
      </c>
      <c r="QQT1" t="s">
        <v>13480</v>
      </c>
      <c r="QQU1" t="s">
        <v>13481</v>
      </c>
      <c r="QQV1" t="s">
        <v>13482</v>
      </c>
      <c r="QQW1" t="s">
        <v>13483</v>
      </c>
      <c r="QQX1" t="s">
        <v>13484</v>
      </c>
      <c r="QQY1" t="s">
        <v>13485</v>
      </c>
      <c r="QQZ1" t="s">
        <v>13486</v>
      </c>
      <c r="QRA1" t="s">
        <v>13487</v>
      </c>
      <c r="QRB1" t="s">
        <v>13488</v>
      </c>
      <c r="QRC1" t="s">
        <v>13489</v>
      </c>
      <c r="QRD1" t="s">
        <v>13490</v>
      </c>
      <c r="QRE1" t="s">
        <v>13491</v>
      </c>
      <c r="QRF1" t="s">
        <v>13492</v>
      </c>
      <c r="QRG1" t="s">
        <v>13493</v>
      </c>
      <c r="QRH1" t="s">
        <v>13494</v>
      </c>
      <c r="QRI1" t="s">
        <v>13495</v>
      </c>
      <c r="QRJ1" t="s">
        <v>13496</v>
      </c>
      <c r="QRK1" t="s">
        <v>13497</v>
      </c>
      <c r="QRL1" t="s">
        <v>13498</v>
      </c>
      <c r="QRM1" t="s">
        <v>13499</v>
      </c>
      <c r="QRN1" t="s">
        <v>13500</v>
      </c>
      <c r="QRO1" t="s">
        <v>13501</v>
      </c>
      <c r="QRP1" t="s">
        <v>13502</v>
      </c>
      <c r="QRQ1" t="s">
        <v>13503</v>
      </c>
      <c r="QRR1" t="s">
        <v>13504</v>
      </c>
      <c r="QRS1" t="s">
        <v>13505</v>
      </c>
      <c r="QRT1" t="s">
        <v>13506</v>
      </c>
      <c r="QRU1" t="s">
        <v>13507</v>
      </c>
      <c r="QRV1" t="s">
        <v>13508</v>
      </c>
      <c r="QRW1" t="s">
        <v>13509</v>
      </c>
      <c r="QRX1" t="s">
        <v>13510</v>
      </c>
      <c r="QRY1" t="s">
        <v>13511</v>
      </c>
      <c r="QRZ1" t="s">
        <v>13512</v>
      </c>
      <c r="QSA1" t="s">
        <v>13513</v>
      </c>
      <c r="QSB1" t="s">
        <v>13514</v>
      </c>
      <c r="QSC1" t="s">
        <v>13515</v>
      </c>
      <c r="QSD1" t="s">
        <v>13516</v>
      </c>
      <c r="QSE1" t="s">
        <v>13517</v>
      </c>
      <c r="QSF1" t="s">
        <v>13518</v>
      </c>
      <c r="QSG1" t="s">
        <v>13519</v>
      </c>
      <c r="QSH1" t="s">
        <v>13520</v>
      </c>
      <c r="QSI1" t="s">
        <v>13521</v>
      </c>
      <c r="QSJ1" t="s">
        <v>13522</v>
      </c>
      <c r="QSK1" t="s">
        <v>13523</v>
      </c>
      <c r="QSL1" t="s">
        <v>13524</v>
      </c>
      <c r="QSM1" t="s">
        <v>13525</v>
      </c>
      <c r="QSN1" t="s">
        <v>13526</v>
      </c>
      <c r="QSO1" t="s">
        <v>13527</v>
      </c>
      <c r="QSP1" t="s">
        <v>13528</v>
      </c>
      <c r="QSQ1" t="s">
        <v>13529</v>
      </c>
      <c r="QSR1" t="s">
        <v>13530</v>
      </c>
      <c r="QSS1" t="s">
        <v>13531</v>
      </c>
      <c r="QST1" t="s">
        <v>13532</v>
      </c>
      <c r="QSU1" t="s">
        <v>13533</v>
      </c>
      <c r="QSV1" t="s">
        <v>13534</v>
      </c>
      <c r="QSW1" t="s">
        <v>13535</v>
      </c>
      <c r="QSX1" t="s">
        <v>13536</v>
      </c>
      <c r="QSY1" t="s">
        <v>13537</v>
      </c>
      <c r="QSZ1" t="s">
        <v>13538</v>
      </c>
      <c r="QTA1" t="s">
        <v>13539</v>
      </c>
      <c r="QTB1" t="s">
        <v>13540</v>
      </c>
      <c r="QTC1" t="s">
        <v>13541</v>
      </c>
      <c r="QTD1" t="s">
        <v>13542</v>
      </c>
      <c r="QTE1" t="s">
        <v>13543</v>
      </c>
      <c r="QTF1" t="s">
        <v>13544</v>
      </c>
      <c r="QTG1" t="s">
        <v>13545</v>
      </c>
      <c r="QTH1" t="s">
        <v>13546</v>
      </c>
      <c r="QTI1" t="s">
        <v>13547</v>
      </c>
      <c r="QTJ1" t="s">
        <v>13548</v>
      </c>
      <c r="QTK1" t="s">
        <v>13549</v>
      </c>
      <c r="QTL1" t="s">
        <v>13550</v>
      </c>
      <c r="QTM1" t="s">
        <v>13551</v>
      </c>
      <c r="QTN1" t="s">
        <v>13552</v>
      </c>
      <c r="QTO1" t="s">
        <v>13553</v>
      </c>
      <c r="QTP1" t="s">
        <v>13554</v>
      </c>
      <c r="QTQ1" t="s">
        <v>13555</v>
      </c>
      <c r="QTR1" t="s">
        <v>13556</v>
      </c>
      <c r="QTS1" t="s">
        <v>13557</v>
      </c>
      <c r="QTT1" t="s">
        <v>13558</v>
      </c>
      <c r="QTU1" t="s">
        <v>13559</v>
      </c>
      <c r="QTV1" t="s">
        <v>13560</v>
      </c>
      <c r="QTW1" t="s">
        <v>13561</v>
      </c>
      <c r="QTX1" t="s">
        <v>13562</v>
      </c>
      <c r="QTY1" t="s">
        <v>13563</v>
      </c>
      <c r="QTZ1" t="s">
        <v>13564</v>
      </c>
      <c r="QUA1" t="s">
        <v>13565</v>
      </c>
      <c r="QUB1" t="s">
        <v>13566</v>
      </c>
      <c r="QUC1" t="s">
        <v>13567</v>
      </c>
      <c r="QUD1" t="s">
        <v>13568</v>
      </c>
      <c r="QUE1" t="s">
        <v>13569</v>
      </c>
      <c r="QUF1" t="s">
        <v>13570</v>
      </c>
      <c r="QUG1" t="s">
        <v>13571</v>
      </c>
      <c r="QUH1" t="s">
        <v>13572</v>
      </c>
      <c r="QUI1" t="s">
        <v>13573</v>
      </c>
      <c r="QUJ1" t="s">
        <v>13574</v>
      </c>
      <c r="QUK1" t="s">
        <v>13575</v>
      </c>
      <c r="QUL1" t="s">
        <v>13576</v>
      </c>
      <c r="QUM1" t="s">
        <v>13577</v>
      </c>
      <c r="QUN1" t="s">
        <v>13578</v>
      </c>
      <c r="QUO1" t="s">
        <v>13579</v>
      </c>
      <c r="QUP1" t="s">
        <v>13580</v>
      </c>
      <c r="QUQ1" t="s">
        <v>13581</v>
      </c>
      <c r="QUR1" t="s">
        <v>13582</v>
      </c>
      <c r="QUS1" t="s">
        <v>13583</v>
      </c>
      <c r="QUT1" t="s">
        <v>13584</v>
      </c>
      <c r="QUU1" t="s">
        <v>13585</v>
      </c>
      <c r="QUV1" t="s">
        <v>13586</v>
      </c>
      <c r="QUW1" t="s">
        <v>13587</v>
      </c>
      <c r="QUX1" t="s">
        <v>13588</v>
      </c>
      <c r="QUY1" t="s">
        <v>13589</v>
      </c>
      <c r="QUZ1" t="s">
        <v>13590</v>
      </c>
      <c r="QVA1" t="s">
        <v>13591</v>
      </c>
      <c r="QVB1" t="s">
        <v>13592</v>
      </c>
      <c r="QVC1" t="s">
        <v>13593</v>
      </c>
      <c r="QVD1" t="s">
        <v>13594</v>
      </c>
      <c r="QVE1" t="s">
        <v>13595</v>
      </c>
      <c r="QVF1" t="s">
        <v>13596</v>
      </c>
      <c r="QVG1" t="s">
        <v>13597</v>
      </c>
      <c r="QVH1" t="s">
        <v>13598</v>
      </c>
      <c r="QVI1" t="s">
        <v>13599</v>
      </c>
      <c r="QVJ1" t="s">
        <v>13600</v>
      </c>
      <c r="QVK1" t="s">
        <v>13601</v>
      </c>
      <c r="QVL1" t="s">
        <v>13602</v>
      </c>
      <c r="QVM1" t="s">
        <v>13603</v>
      </c>
      <c r="QVN1" t="s">
        <v>13604</v>
      </c>
      <c r="QVO1" t="s">
        <v>13605</v>
      </c>
      <c r="QVP1" t="s">
        <v>13606</v>
      </c>
      <c r="QVQ1" t="s">
        <v>13607</v>
      </c>
      <c r="QVR1" t="s">
        <v>13608</v>
      </c>
      <c r="QVS1" t="s">
        <v>13609</v>
      </c>
      <c r="QVT1" t="s">
        <v>13610</v>
      </c>
      <c r="QVU1" t="s">
        <v>13611</v>
      </c>
      <c r="QVV1" t="s">
        <v>13612</v>
      </c>
      <c r="QVW1" t="s">
        <v>13613</v>
      </c>
      <c r="QVX1" t="s">
        <v>13614</v>
      </c>
      <c r="QVY1" t="s">
        <v>13615</v>
      </c>
      <c r="QVZ1" t="s">
        <v>13616</v>
      </c>
      <c r="QWA1" t="s">
        <v>13617</v>
      </c>
      <c r="QWB1" t="s">
        <v>13618</v>
      </c>
      <c r="QWC1" t="s">
        <v>13619</v>
      </c>
      <c r="QWD1" t="s">
        <v>13620</v>
      </c>
      <c r="QWE1" t="s">
        <v>13621</v>
      </c>
      <c r="QWF1" t="s">
        <v>13622</v>
      </c>
      <c r="QWG1" t="s">
        <v>13623</v>
      </c>
      <c r="QWH1" t="s">
        <v>13624</v>
      </c>
      <c r="QWI1" t="s">
        <v>13625</v>
      </c>
      <c r="QWJ1" t="s">
        <v>13626</v>
      </c>
      <c r="QWK1" t="s">
        <v>13627</v>
      </c>
      <c r="QWL1" t="s">
        <v>13628</v>
      </c>
      <c r="QWM1" t="s">
        <v>13629</v>
      </c>
      <c r="QWN1" t="s">
        <v>13630</v>
      </c>
      <c r="QWO1" t="s">
        <v>13631</v>
      </c>
      <c r="QWP1" t="s">
        <v>13632</v>
      </c>
      <c r="QWQ1" t="s">
        <v>13633</v>
      </c>
      <c r="QWR1" t="s">
        <v>13634</v>
      </c>
      <c r="QWS1" t="s">
        <v>13635</v>
      </c>
      <c r="QWT1" t="s">
        <v>13636</v>
      </c>
      <c r="QWU1" t="s">
        <v>13637</v>
      </c>
      <c r="QWV1" t="s">
        <v>13638</v>
      </c>
      <c r="QWW1" t="s">
        <v>13639</v>
      </c>
      <c r="QWX1" t="s">
        <v>13640</v>
      </c>
      <c r="QWY1" t="s">
        <v>13641</v>
      </c>
      <c r="QWZ1" t="s">
        <v>13642</v>
      </c>
      <c r="QXA1" t="s">
        <v>13643</v>
      </c>
      <c r="QXB1" t="s">
        <v>13644</v>
      </c>
      <c r="QXC1" t="s">
        <v>13645</v>
      </c>
      <c r="QXD1" t="s">
        <v>13646</v>
      </c>
      <c r="QXE1" t="s">
        <v>13647</v>
      </c>
      <c r="QXF1" t="s">
        <v>13648</v>
      </c>
      <c r="QXG1" t="s">
        <v>13649</v>
      </c>
      <c r="QXH1" t="s">
        <v>13650</v>
      </c>
      <c r="QXI1" t="s">
        <v>13651</v>
      </c>
      <c r="QXJ1" t="s">
        <v>13652</v>
      </c>
      <c r="QXK1" t="s">
        <v>13653</v>
      </c>
      <c r="QXL1" t="s">
        <v>13654</v>
      </c>
      <c r="QXM1" t="s">
        <v>13655</v>
      </c>
      <c r="QXN1" t="s">
        <v>13656</v>
      </c>
      <c r="QXO1" t="s">
        <v>13657</v>
      </c>
      <c r="QXP1" t="s">
        <v>13658</v>
      </c>
      <c r="QXQ1" t="s">
        <v>13659</v>
      </c>
      <c r="QXR1" t="s">
        <v>13660</v>
      </c>
      <c r="QXS1" t="s">
        <v>13661</v>
      </c>
      <c r="QXT1" t="s">
        <v>13662</v>
      </c>
      <c r="QXU1" t="s">
        <v>13663</v>
      </c>
      <c r="QXV1" t="s">
        <v>13664</v>
      </c>
      <c r="QXW1" t="s">
        <v>13665</v>
      </c>
      <c r="QXX1" t="s">
        <v>13666</v>
      </c>
      <c r="QXY1" t="s">
        <v>13667</v>
      </c>
      <c r="QXZ1" t="s">
        <v>13668</v>
      </c>
      <c r="QYA1" t="s">
        <v>13669</v>
      </c>
      <c r="QYB1" t="s">
        <v>13670</v>
      </c>
      <c r="QYC1" t="s">
        <v>13671</v>
      </c>
      <c r="QYD1" t="s">
        <v>13672</v>
      </c>
      <c r="QYE1" t="s">
        <v>13673</v>
      </c>
      <c r="QYF1" t="s">
        <v>13674</v>
      </c>
      <c r="QYG1" t="s">
        <v>13675</v>
      </c>
      <c r="QYH1" t="s">
        <v>13676</v>
      </c>
      <c r="QYI1" t="s">
        <v>13677</v>
      </c>
      <c r="QYJ1" t="s">
        <v>13678</v>
      </c>
      <c r="QYK1" t="s">
        <v>13679</v>
      </c>
      <c r="QYL1" t="s">
        <v>13680</v>
      </c>
      <c r="QYM1" t="s">
        <v>13681</v>
      </c>
      <c r="QYN1" t="s">
        <v>13682</v>
      </c>
      <c r="QYO1" t="s">
        <v>13683</v>
      </c>
      <c r="QYP1" t="s">
        <v>13684</v>
      </c>
      <c r="QYQ1" t="s">
        <v>13685</v>
      </c>
      <c r="QYR1" t="s">
        <v>13686</v>
      </c>
      <c r="QYS1" t="s">
        <v>13687</v>
      </c>
      <c r="QYT1" t="s">
        <v>13688</v>
      </c>
      <c r="QYU1" t="s">
        <v>13689</v>
      </c>
      <c r="QYV1" t="s">
        <v>13690</v>
      </c>
      <c r="QYW1" t="s">
        <v>13691</v>
      </c>
      <c r="QYX1" t="s">
        <v>13692</v>
      </c>
      <c r="QYY1" t="s">
        <v>13693</v>
      </c>
      <c r="QYZ1" t="s">
        <v>13694</v>
      </c>
      <c r="QZA1" t="s">
        <v>13695</v>
      </c>
      <c r="QZB1" t="s">
        <v>13696</v>
      </c>
      <c r="QZC1" t="s">
        <v>13697</v>
      </c>
      <c r="QZD1" t="s">
        <v>13698</v>
      </c>
      <c r="QZE1" t="s">
        <v>13699</v>
      </c>
      <c r="QZF1" t="s">
        <v>13700</v>
      </c>
      <c r="QZG1" t="s">
        <v>13701</v>
      </c>
      <c r="QZH1" t="s">
        <v>13702</v>
      </c>
      <c r="QZI1" t="s">
        <v>13703</v>
      </c>
      <c r="QZJ1" t="s">
        <v>13704</v>
      </c>
      <c r="QZK1" t="s">
        <v>13705</v>
      </c>
      <c r="QZL1" t="s">
        <v>13706</v>
      </c>
      <c r="QZM1" t="s">
        <v>13707</v>
      </c>
      <c r="QZN1" t="s">
        <v>13708</v>
      </c>
      <c r="QZO1" t="s">
        <v>13709</v>
      </c>
      <c r="QZP1" t="s">
        <v>13710</v>
      </c>
      <c r="QZQ1" t="s">
        <v>13711</v>
      </c>
      <c r="QZR1" t="s">
        <v>13712</v>
      </c>
      <c r="QZS1" t="s">
        <v>13713</v>
      </c>
      <c r="QZT1" t="s">
        <v>13714</v>
      </c>
      <c r="QZU1" t="s">
        <v>13715</v>
      </c>
      <c r="QZV1" t="s">
        <v>13716</v>
      </c>
      <c r="QZW1" t="s">
        <v>13717</v>
      </c>
      <c r="QZX1" t="s">
        <v>13718</v>
      </c>
      <c r="QZY1" t="s">
        <v>13719</v>
      </c>
      <c r="QZZ1" t="s">
        <v>13720</v>
      </c>
      <c r="RAA1" t="s">
        <v>13721</v>
      </c>
      <c r="RAB1" t="s">
        <v>13722</v>
      </c>
      <c r="RAC1" t="s">
        <v>13723</v>
      </c>
      <c r="RAD1" t="s">
        <v>13724</v>
      </c>
      <c r="RAE1" t="s">
        <v>13725</v>
      </c>
      <c r="RAF1" t="s">
        <v>13726</v>
      </c>
      <c r="RAG1" t="s">
        <v>13727</v>
      </c>
      <c r="RAH1" t="s">
        <v>13728</v>
      </c>
      <c r="RAI1" t="s">
        <v>13729</v>
      </c>
      <c r="RAJ1" t="s">
        <v>13730</v>
      </c>
      <c r="RAK1" t="s">
        <v>13731</v>
      </c>
      <c r="RAL1" t="s">
        <v>13732</v>
      </c>
      <c r="RAM1" t="s">
        <v>13733</v>
      </c>
      <c r="RAN1" t="s">
        <v>13734</v>
      </c>
      <c r="RAO1" t="s">
        <v>13735</v>
      </c>
      <c r="RAP1" t="s">
        <v>13736</v>
      </c>
      <c r="RAQ1" t="s">
        <v>13737</v>
      </c>
      <c r="RAR1" t="s">
        <v>13738</v>
      </c>
      <c r="RAS1" t="s">
        <v>13739</v>
      </c>
      <c r="RAT1" t="s">
        <v>13740</v>
      </c>
      <c r="RAU1" t="s">
        <v>13741</v>
      </c>
      <c r="RAV1" t="s">
        <v>13742</v>
      </c>
      <c r="RAW1" t="s">
        <v>13743</v>
      </c>
      <c r="RAX1" t="s">
        <v>13744</v>
      </c>
      <c r="RAY1" t="s">
        <v>13745</v>
      </c>
      <c r="RAZ1" t="s">
        <v>13746</v>
      </c>
      <c r="RBA1" t="s">
        <v>13747</v>
      </c>
      <c r="RBB1" t="s">
        <v>13748</v>
      </c>
      <c r="RBC1" t="s">
        <v>13749</v>
      </c>
      <c r="RBD1" t="s">
        <v>13750</v>
      </c>
      <c r="RBE1" t="s">
        <v>13751</v>
      </c>
      <c r="RBF1" t="s">
        <v>13752</v>
      </c>
      <c r="RBG1" t="s">
        <v>13753</v>
      </c>
      <c r="RBH1" t="s">
        <v>13754</v>
      </c>
      <c r="RBI1" t="s">
        <v>13755</v>
      </c>
      <c r="RBJ1" t="s">
        <v>13756</v>
      </c>
      <c r="RBK1" t="s">
        <v>13757</v>
      </c>
      <c r="RBL1" t="s">
        <v>13758</v>
      </c>
      <c r="RBM1" t="s">
        <v>13759</v>
      </c>
      <c r="RBN1" t="s">
        <v>13760</v>
      </c>
      <c r="RBO1" t="s">
        <v>13761</v>
      </c>
      <c r="RBP1" t="s">
        <v>13762</v>
      </c>
      <c r="RBQ1" t="s">
        <v>13763</v>
      </c>
      <c r="RBR1" t="s">
        <v>13764</v>
      </c>
      <c r="RBS1" t="s">
        <v>13765</v>
      </c>
      <c r="RBT1" t="s">
        <v>13766</v>
      </c>
      <c r="RBU1" t="s">
        <v>13767</v>
      </c>
      <c r="RBV1" t="s">
        <v>13768</v>
      </c>
      <c r="RBW1" t="s">
        <v>13769</v>
      </c>
      <c r="RBX1" t="s">
        <v>13770</v>
      </c>
      <c r="RBY1" t="s">
        <v>13771</v>
      </c>
      <c r="RBZ1" t="s">
        <v>13772</v>
      </c>
      <c r="RCA1" t="s">
        <v>13773</v>
      </c>
      <c r="RCB1" t="s">
        <v>13774</v>
      </c>
      <c r="RCC1" t="s">
        <v>13775</v>
      </c>
      <c r="RCD1" t="s">
        <v>13776</v>
      </c>
      <c r="RCE1" t="s">
        <v>13777</v>
      </c>
      <c r="RCF1" t="s">
        <v>13778</v>
      </c>
      <c r="RCG1" t="s">
        <v>13779</v>
      </c>
      <c r="RCH1" t="s">
        <v>13780</v>
      </c>
      <c r="RCI1" t="s">
        <v>13781</v>
      </c>
      <c r="RCJ1" t="s">
        <v>13782</v>
      </c>
      <c r="RCK1" t="s">
        <v>13783</v>
      </c>
      <c r="RCL1" t="s">
        <v>13784</v>
      </c>
      <c r="RCM1" t="s">
        <v>13785</v>
      </c>
      <c r="RCN1" t="s">
        <v>13786</v>
      </c>
      <c r="RCO1" t="s">
        <v>13787</v>
      </c>
      <c r="RCP1" t="s">
        <v>13788</v>
      </c>
      <c r="RCQ1" t="s">
        <v>13789</v>
      </c>
      <c r="RCR1" t="s">
        <v>13790</v>
      </c>
      <c r="RCS1" t="s">
        <v>13791</v>
      </c>
      <c r="RCT1" t="s">
        <v>13792</v>
      </c>
      <c r="RCU1" t="s">
        <v>13793</v>
      </c>
      <c r="RCV1" t="s">
        <v>13794</v>
      </c>
      <c r="RCW1" t="s">
        <v>13795</v>
      </c>
      <c r="RCX1" t="s">
        <v>13796</v>
      </c>
      <c r="RCY1" t="s">
        <v>13797</v>
      </c>
      <c r="RCZ1" t="s">
        <v>13798</v>
      </c>
      <c r="RDA1" t="s">
        <v>13799</v>
      </c>
      <c r="RDB1" t="s">
        <v>13800</v>
      </c>
      <c r="RDC1" t="s">
        <v>13801</v>
      </c>
      <c r="RDD1" t="s">
        <v>13802</v>
      </c>
      <c r="RDE1" t="s">
        <v>13803</v>
      </c>
      <c r="RDF1" t="s">
        <v>13804</v>
      </c>
      <c r="RDG1" t="s">
        <v>13805</v>
      </c>
      <c r="RDH1" t="s">
        <v>13806</v>
      </c>
      <c r="RDI1" t="s">
        <v>13807</v>
      </c>
      <c r="RDJ1" t="s">
        <v>13808</v>
      </c>
      <c r="RDK1" t="s">
        <v>13809</v>
      </c>
      <c r="RDL1" t="s">
        <v>13810</v>
      </c>
      <c r="RDM1" t="s">
        <v>13811</v>
      </c>
      <c r="RDN1" t="s">
        <v>13812</v>
      </c>
      <c r="RDO1" t="s">
        <v>13813</v>
      </c>
      <c r="RDP1" t="s">
        <v>13814</v>
      </c>
      <c r="RDQ1" t="s">
        <v>13815</v>
      </c>
      <c r="RDR1" t="s">
        <v>13816</v>
      </c>
      <c r="RDS1" t="s">
        <v>13817</v>
      </c>
      <c r="RDT1" t="s">
        <v>13818</v>
      </c>
      <c r="RDU1" t="s">
        <v>13819</v>
      </c>
      <c r="RDV1" t="s">
        <v>13820</v>
      </c>
      <c r="RDW1" t="s">
        <v>13821</v>
      </c>
      <c r="RDX1" t="s">
        <v>13822</v>
      </c>
      <c r="RDY1" t="s">
        <v>13823</v>
      </c>
      <c r="RDZ1" t="s">
        <v>13824</v>
      </c>
      <c r="REA1" t="s">
        <v>13825</v>
      </c>
      <c r="REB1" t="s">
        <v>13826</v>
      </c>
      <c r="REC1" t="s">
        <v>13827</v>
      </c>
      <c r="RED1" t="s">
        <v>13828</v>
      </c>
      <c r="REE1" t="s">
        <v>13829</v>
      </c>
      <c r="REF1" t="s">
        <v>13830</v>
      </c>
      <c r="REG1" t="s">
        <v>13831</v>
      </c>
      <c r="REH1" t="s">
        <v>13832</v>
      </c>
      <c r="REI1" t="s">
        <v>13833</v>
      </c>
      <c r="REJ1" t="s">
        <v>13834</v>
      </c>
      <c r="REK1" t="s">
        <v>13835</v>
      </c>
      <c r="REL1" t="s">
        <v>13836</v>
      </c>
      <c r="REM1" t="s">
        <v>13837</v>
      </c>
      <c r="REN1" t="s">
        <v>13838</v>
      </c>
      <c r="REO1" t="s">
        <v>13839</v>
      </c>
      <c r="REP1" t="s">
        <v>13840</v>
      </c>
      <c r="REQ1" t="s">
        <v>13841</v>
      </c>
      <c r="RER1" t="s">
        <v>13842</v>
      </c>
      <c r="RES1" t="s">
        <v>13843</v>
      </c>
      <c r="RET1" t="s">
        <v>13844</v>
      </c>
      <c r="REU1" t="s">
        <v>13845</v>
      </c>
      <c r="REV1" t="s">
        <v>13846</v>
      </c>
      <c r="REW1" t="s">
        <v>13847</v>
      </c>
      <c r="REX1" t="s">
        <v>13848</v>
      </c>
      <c r="REY1" t="s">
        <v>13849</v>
      </c>
      <c r="REZ1" t="s">
        <v>13850</v>
      </c>
      <c r="RFA1" t="s">
        <v>13851</v>
      </c>
      <c r="RFB1" t="s">
        <v>13852</v>
      </c>
      <c r="RFC1" t="s">
        <v>13853</v>
      </c>
      <c r="RFD1" t="s">
        <v>13854</v>
      </c>
      <c r="RFE1" t="s">
        <v>13855</v>
      </c>
      <c r="RFF1" t="s">
        <v>13856</v>
      </c>
      <c r="RFG1" t="s">
        <v>13857</v>
      </c>
      <c r="RFH1" t="s">
        <v>13858</v>
      </c>
      <c r="RFI1" t="s">
        <v>13859</v>
      </c>
      <c r="RFJ1" t="s">
        <v>13860</v>
      </c>
      <c r="RFK1" t="s">
        <v>13861</v>
      </c>
      <c r="RFL1" t="s">
        <v>13862</v>
      </c>
      <c r="RFM1" t="s">
        <v>13863</v>
      </c>
      <c r="RFN1" t="s">
        <v>13864</v>
      </c>
      <c r="RFO1" t="s">
        <v>13865</v>
      </c>
      <c r="RFP1" t="s">
        <v>13866</v>
      </c>
      <c r="RFQ1" t="s">
        <v>13867</v>
      </c>
      <c r="RFR1" t="s">
        <v>13868</v>
      </c>
      <c r="RFS1" t="s">
        <v>13869</v>
      </c>
      <c r="RFT1" t="s">
        <v>13870</v>
      </c>
      <c r="RFU1" t="s">
        <v>13871</v>
      </c>
      <c r="RFV1" t="s">
        <v>13872</v>
      </c>
      <c r="RFW1" t="s">
        <v>13873</v>
      </c>
      <c r="RFX1" t="s">
        <v>13874</v>
      </c>
      <c r="RFY1" t="s">
        <v>13875</v>
      </c>
      <c r="RFZ1" t="s">
        <v>13876</v>
      </c>
      <c r="RGA1" t="s">
        <v>13877</v>
      </c>
      <c r="RGB1" t="s">
        <v>13878</v>
      </c>
      <c r="RGC1" t="s">
        <v>13879</v>
      </c>
      <c r="RGD1" t="s">
        <v>13880</v>
      </c>
      <c r="RGE1" t="s">
        <v>13881</v>
      </c>
      <c r="RGF1" t="s">
        <v>13882</v>
      </c>
      <c r="RGG1" t="s">
        <v>13883</v>
      </c>
      <c r="RGH1" t="s">
        <v>13884</v>
      </c>
      <c r="RGI1" t="s">
        <v>13885</v>
      </c>
      <c r="RGJ1" t="s">
        <v>13886</v>
      </c>
      <c r="RGK1" t="s">
        <v>13887</v>
      </c>
      <c r="RGL1" t="s">
        <v>13888</v>
      </c>
      <c r="RGM1" t="s">
        <v>13889</v>
      </c>
      <c r="RGN1" t="s">
        <v>13890</v>
      </c>
      <c r="RGO1" t="s">
        <v>13891</v>
      </c>
      <c r="RGP1" t="s">
        <v>13892</v>
      </c>
      <c r="RGQ1" t="s">
        <v>13893</v>
      </c>
      <c r="RGR1" t="s">
        <v>13894</v>
      </c>
      <c r="RGS1" t="s">
        <v>13895</v>
      </c>
      <c r="RGT1" t="s">
        <v>13896</v>
      </c>
      <c r="RGU1" t="s">
        <v>13897</v>
      </c>
      <c r="RGV1" t="s">
        <v>13898</v>
      </c>
      <c r="RGW1" t="s">
        <v>13899</v>
      </c>
      <c r="RGX1" t="s">
        <v>13900</v>
      </c>
      <c r="RGY1" t="s">
        <v>13901</v>
      </c>
      <c r="RGZ1" t="s">
        <v>13902</v>
      </c>
      <c r="RHA1" t="s">
        <v>13903</v>
      </c>
      <c r="RHB1" t="s">
        <v>13904</v>
      </c>
      <c r="RHC1" t="s">
        <v>13905</v>
      </c>
      <c r="RHD1" t="s">
        <v>13906</v>
      </c>
      <c r="RHE1" t="s">
        <v>13907</v>
      </c>
      <c r="RHF1" t="s">
        <v>13908</v>
      </c>
      <c r="RHG1" t="s">
        <v>13909</v>
      </c>
      <c r="RHH1" t="s">
        <v>13910</v>
      </c>
      <c r="RHI1" t="s">
        <v>13911</v>
      </c>
      <c r="RHJ1" t="s">
        <v>13912</v>
      </c>
      <c r="RHK1" t="s">
        <v>13913</v>
      </c>
      <c r="RHL1" t="s">
        <v>13914</v>
      </c>
      <c r="RHM1" t="s">
        <v>13915</v>
      </c>
      <c r="RHN1" t="s">
        <v>13916</v>
      </c>
      <c r="RHO1" t="s">
        <v>13917</v>
      </c>
      <c r="RHP1" t="s">
        <v>13918</v>
      </c>
      <c r="RHQ1" t="s">
        <v>13919</v>
      </c>
      <c r="RHR1" t="s">
        <v>13920</v>
      </c>
      <c r="RHS1" t="s">
        <v>13921</v>
      </c>
      <c r="RHT1" t="s">
        <v>13922</v>
      </c>
      <c r="RHU1" t="s">
        <v>13923</v>
      </c>
      <c r="RHV1" t="s">
        <v>13924</v>
      </c>
      <c r="RHW1" t="s">
        <v>13925</v>
      </c>
      <c r="RHX1" t="s">
        <v>13926</v>
      </c>
      <c r="RHY1" t="s">
        <v>13927</v>
      </c>
      <c r="RHZ1" t="s">
        <v>13928</v>
      </c>
      <c r="RIA1" t="s">
        <v>13929</v>
      </c>
      <c r="RIB1" t="s">
        <v>13930</v>
      </c>
      <c r="RIC1" t="s">
        <v>13931</v>
      </c>
      <c r="RID1" t="s">
        <v>13932</v>
      </c>
      <c r="RIE1" t="s">
        <v>13933</v>
      </c>
      <c r="RIF1" t="s">
        <v>13934</v>
      </c>
      <c r="RIG1" t="s">
        <v>13935</v>
      </c>
      <c r="RIH1" t="s">
        <v>13936</v>
      </c>
      <c r="RII1" t="s">
        <v>13937</v>
      </c>
      <c r="RIJ1" t="s">
        <v>13938</v>
      </c>
      <c r="RIK1" t="s">
        <v>13939</v>
      </c>
      <c r="RIL1" t="s">
        <v>13940</v>
      </c>
      <c r="RIM1" t="s">
        <v>13941</v>
      </c>
      <c r="RIN1" t="s">
        <v>13942</v>
      </c>
      <c r="RIO1" t="s">
        <v>13943</v>
      </c>
      <c r="RIP1" t="s">
        <v>13944</v>
      </c>
      <c r="RIQ1" t="s">
        <v>13945</v>
      </c>
      <c r="RIR1" t="s">
        <v>13946</v>
      </c>
      <c r="RIS1" t="s">
        <v>13947</v>
      </c>
      <c r="RIT1" t="s">
        <v>13948</v>
      </c>
      <c r="RIU1" t="s">
        <v>13949</v>
      </c>
      <c r="RIV1" t="s">
        <v>13950</v>
      </c>
      <c r="RIW1" t="s">
        <v>13951</v>
      </c>
      <c r="RIX1" t="s">
        <v>13952</v>
      </c>
      <c r="RIY1" t="s">
        <v>13953</v>
      </c>
      <c r="RIZ1" t="s">
        <v>13954</v>
      </c>
      <c r="RJA1" t="s">
        <v>13955</v>
      </c>
      <c r="RJB1" t="s">
        <v>13956</v>
      </c>
      <c r="RJC1" t="s">
        <v>13957</v>
      </c>
      <c r="RJD1" t="s">
        <v>13958</v>
      </c>
      <c r="RJE1" t="s">
        <v>13959</v>
      </c>
      <c r="RJF1" t="s">
        <v>13960</v>
      </c>
      <c r="RJG1" t="s">
        <v>13961</v>
      </c>
      <c r="RJH1" t="s">
        <v>13962</v>
      </c>
      <c r="RJI1" t="s">
        <v>13963</v>
      </c>
      <c r="RJJ1" t="s">
        <v>13964</v>
      </c>
      <c r="RJK1" t="s">
        <v>13965</v>
      </c>
      <c r="RJL1" t="s">
        <v>13966</v>
      </c>
      <c r="RJM1" t="s">
        <v>13967</v>
      </c>
      <c r="RJN1" t="s">
        <v>13968</v>
      </c>
      <c r="RJO1" t="s">
        <v>13969</v>
      </c>
      <c r="RJP1" t="s">
        <v>13970</v>
      </c>
      <c r="RJQ1" t="s">
        <v>13971</v>
      </c>
      <c r="RJR1" t="s">
        <v>13972</v>
      </c>
      <c r="RJS1" t="s">
        <v>13973</v>
      </c>
      <c r="RJT1" t="s">
        <v>13974</v>
      </c>
      <c r="RJU1" t="s">
        <v>13975</v>
      </c>
      <c r="RJV1" t="s">
        <v>13976</v>
      </c>
      <c r="RJW1" t="s">
        <v>13977</v>
      </c>
      <c r="RJX1" t="s">
        <v>13978</v>
      </c>
      <c r="RJY1" t="s">
        <v>13979</v>
      </c>
      <c r="RJZ1" t="s">
        <v>13980</v>
      </c>
      <c r="RKA1" t="s">
        <v>13981</v>
      </c>
      <c r="RKB1" t="s">
        <v>13982</v>
      </c>
      <c r="RKC1" t="s">
        <v>13983</v>
      </c>
      <c r="RKD1" t="s">
        <v>13984</v>
      </c>
      <c r="RKE1" t="s">
        <v>13985</v>
      </c>
      <c r="RKF1" t="s">
        <v>13986</v>
      </c>
      <c r="RKG1" t="s">
        <v>13987</v>
      </c>
      <c r="RKH1" t="s">
        <v>13988</v>
      </c>
      <c r="RKI1" t="s">
        <v>13989</v>
      </c>
      <c r="RKJ1" t="s">
        <v>13990</v>
      </c>
      <c r="RKK1" t="s">
        <v>13991</v>
      </c>
      <c r="RKL1" t="s">
        <v>13992</v>
      </c>
      <c r="RKM1" t="s">
        <v>13993</v>
      </c>
      <c r="RKN1" t="s">
        <v>13994</v>
      </c>
      <c r="RKO1" t="s">
        <v>13995</v>
      </c>
      <c r="RKP1" t="s">
        <v>13996</v>
      </c>
      <c r="RKQ1" t="s">
        <v>13997</v>
      </c>
      <c r="RKR1" t="s">
        <v>13998</v>
      </c>
      <c r="RKS1" t="s">
        <v>13999</v>
      </c>
      <c r="RKT1" t="s">
        <v>14000</v>
      </c>
      <c r="RKU1" t="s">
        <v>14001</v>
      </c>
      <c r="RKV1" t="s">
        <v>14002</v>
      </c>
      <c r="RKW1" t="s">
        <v>14003</v>
      </c>
      <c r="RKX1" t="s">
        <v>14004</v>
      </c>
      <c r="RKY1" t="s">
        <v>14005</v>
      </c>
      <c r="RKZ1" t="s">
        <v>14006</v>
      </c>
      <c r="RLA1" t="s">
        <v>14007</v>
      </c>
      <c r="RLB1" t="s">
        <v>14008</v>
      </c>
      <c r="RLC1" t="s">
        <v>14009</v>
      </c>
      <c r="RLD1" t="s">
        <v>14010</v>
      </c>
      <c r="RLE1" t="s">
        <v>14011</v>
      </c>
      <c r="RLF1" t="s">
        <v>14012</v>
      </c>
      <c r="RLG1" t="s">
        <v>14013</v>
      </c>
      <c r="RLH1" t="s">
        <v>14014</v>
      </c>
      <c r="RLI1" t="s">
        <v>14015</v>
      </c>
      <c r="RLJ1" t="s">
        <v>14016</v>
      </c>
      <c r="RLK1" t="s">
        <v>14017</v>
      </c>
      <c r="RLL1" t="s">
        <v>14018</v>
      </c>
      <c r="RLM1" t="s">
        <v>14019</v>
      </c>
      <c r="RLN1" t="s">
        <v>14020</v>
      </c>
      <c r="RLO1" t="s">
        <v>14021</v>
      </c>
      <c r="RLP1" t="s">
        <v>14022</v>
      </c>
      <c r="RLQ1" t="s">
        <v>14023</v>
      </c>
      <c r="RLR1" t="s">
        <v>14024</v>
      </c>
      <c r="RLS1" t="s">
        <v>14025</v>
      </c>
      <c r="RLT1" t="s">
        <v>14026</v>
      </c>
      <c r="RLU1" t="s">
        <v>14027</v>
      </c>
      <c r="RLV1" t="s">
        <v>14028</v>
      </c>
      <c r="RLW1" t="s">
        <v>14029</v>
      </c>
      <c r="RLX1" t="s">
        <v>14030</v>
      </c>
      <c r="RLY1" t="s">
        <v>14031</v>
      </c>
      <c r="RLZ1" t="s">
        <v>14032</v>
      </c>
      <c r="RMA1" t="s">
        <v>14033</v>
      </c>
      <c r="RMB1" t="s">
        <v>14034</v>
      </c>
      <c r="RMC1" t="s">
        <v>14035</v>
      </c>
      <c r="RMD1" t="s">
        <v>14036</v>
      </c>
      <c r="RME1" t="s">
        <v>14037</v>
      </c>
      <c r="RMF1" t="s">
        <v>14038</v>
      </c>
      <c r="RMG1" t="s">
        <v>14039</v>
      </c>
      <c r="RMH1" t="s">
        <v>14040</v>
      </c>
      <c r="RMI1" t="s">
        <v>14041</v>
      </c>
      <c r="RMJ1" t="s">
        <v>14042</v>
      </c>
      <c r="RMK1" t="s">
        <v>14043</v>
      </c>
      <c r="RML1" t="s">
        <v>14044</v>
      </c>
      <c r="RMM1" t="s">
        <v>14045</v>
      </c>
      <c r="RMN1" t="s">
        <v>14046</v>
      </c>
      <c r="RMO1" t="s">
        <v>14047</v>
      </c>
      <c r="RMP1" t="s">
        <v>14048</v>
      </c>
      <c r="RMQ1" t="s">
        <v>14049</v>
      </c>
      <c r="RMR1" t="s">
        <v>14050</v>
      </c>
      <c r="RMS1" t="s">
        <v>14051</v>
      </c>
      <c r="RMT1" t="s">
        <v>14052</v>
      </c>
      <c r="RMU1" t="s">
        <v>14053</v>
      </c>
      <c r="RMV1" t="s">
        <v>14054</v>
      </c>
      <c r="RMW1" t="s">
        <v>14055</v>
      </c>
      <c r="RMX1" t="s">
        <v>14056</v>
      </c>
      <c r="RMY1" t="s">
        <v>14057</v>
      </c>
      <c r="RMZ1" t="s">
        <v>14058</v>
      </c>
      <c r="RNA1" t="s">
        <v>14059</v>
      </c>
      <c r="RNB1" t="s">
        <v>14060</v>
      </c>
      <c r="RNC1" t="s">
        <v>14061</v>
      </c>
      <c r="RND1" t="s">
        <v>14062</v>
      </c>
      <c r="RNE1" t="s">
        <v>14063</v>
      </c>
      <c r="RNF1" t="s">
        <v>14064</v>
      </c>
      <c r="RNG1" t="s">
        <v>14065</v>
      </c>
      <c r="RNH1" t="s">
        <v>14066</v>
      </c>
      <c r="RNI1" t="s">
        <v>14067</v>
      </c>
      <c r="RNJ1" t="s">
        <v>14068</v>
      </c>
      <c r="RNK1" t="s">
        <v>14069</v>
      </c>
      <c r="RNL1" t="s">
        <v>14070</v>
      </c>
      <c r="RNM1" t="s">
        <v>14071</v>
      </c>
      <c r="RNN1" t="s">
        <v>14072</v>
      </c>
      <c r="RNO1" t="s">
        <v>14073</v>
      </c>
      <c r="RNP1" t="s">
        <v>14074</v>
      </c>
      <c r="RNQ1" t="s">
        <v>14075</v>
      </c>
      <c r="RNR1" t="s">
        <v>14076</v>
      </c>
      <c r="RNS1" t="s">
        <v>14077</v>
      </c>
      <c r="RNT1" t="s">
        <v>14078</v>
      </c>
      <c r="RNU1" t="s">
        <v>14079</v>
      </c>
      <c r="RNV1" t="s">
        <v>14080</v>
      </c>
      <c r="RNW1" t="s">
        <v>14081</v>
      </c>
      <c r="RNX1" t="s">
        <v>14082</v>
      </c>
      <c r="RNY1" t="s">
        <v>14083</v>
      </c>
      <c r="RNZ1" t="s">
        <v>14084</v>
      </c>
      <c r="ROA1" t="s">
        <v>14085</v>
      </c>
      <c r="ROB1" t="s">
        <v>14086</v>
      </c>
      <c r="ROC1" t="s">
        <v>14087</v>
      </c>
      <c r="ROD1" t="s">
        <v>14088</v>
      </c>
      <c r="ROE1" t="s">
        <v>14089</v>
      </c>
      <c r="ROF1" t="s">
        <v>14090</v>
      </c>
      <c r="ROG1" t="s">
        <v>14091</v>
      </c>
      <c r="ROH1" t="s">
        <v>14092</v>
      </c>
      <c r="ROI1" t="s">
        <v>14093</v>
      </c>
      <c r="ROJ1" t="s">
        <v>14094</v>
      </c>
      <c r="ROK1" t="s">
        <v>14095</v>
      </c>
      <c r="ROL1" t="s">
        <v>14096</v>
      </c>
      <c r="ROM1" t="s">
        <v>14097</v>
      </c>
      <c r="RON1" t="s">
        <v>14098</v>
      </c>
      <c r="ROO1" t="s">
        <v>14099</v>
      </c>
      <c r="ROP1" t="s">
        <v>14100</v>
      </c>
      <c r="ROQ1" t="s">
        <v>14101</v>
      </c>
      <c r="ROR1" t="s">
        <v>14102</v>
      </c>
      <c r="ROS1" t="s">
        <v>14103</v>
      </c>
      <c r="ROT1" t="s">
        <v>14104</v>
      </c>
      <c r="ROU1" t="s">
        <v>14105</v>
      </c>
      <c r="ROV1" t="s">
        <v>14106</v>
      </c>
      <c r="ROW1" t="s">
        <v>14107</v>
      </c>
      <c r="ROX1" t="s">
        <v>14108</v>
      </c>
      <c r="ROY1" t="s">
        <v>14109</v>
      </c>
      <c r="ROZ1" t="s">
        <v>14110</v>
      </c>
      <c r="RPA1" t="s">
        <v>14111</v>
      </c>
      <c r="RPB1" t="s">
        <v>14112</v>
      </c>
      <c r="RPC1" t="s">
        <v>14113</v>
      </c>
      <c r="RPD1" t="s">
        <v>14114</v>
      </c>
      <c r="RPE1" t="s">
        <v>14115</v>
      </c>
      <c r="RPF1" t="s">
        <v>14116</v>
      </c>
      <c r="RPG1" t="s">
        <v>14117</v>
      </c>
      <c r="RPH1" t="s">
        <v>14118</v>
      </c>
      <c r="RPI1" t="s">
        <v>14119</v>
      </c>
      <c r="RPJ1" t="s">
        <v>14120</v>
      </c>
      <c r="RPK1" t="s">
        <v>14121</v>
      </c>
      <c r="RPL1" t="s">
        <v>14122</v>
      </c>
      <c r="RPM1" t="s">
        <v>14123</v>
      </c>
      <c r="RPN1" t="s">
        <v>14124</v>
      </c>
      <c r="RPO1" t="s">
        <v>14125</v>
      </c>
      <c r="RPP1" t="s">
        <v>14126</v>
      </c>
      <c r="RPQ1" t="s">
        <v>14127</v>
      </c>
      <c r="RPR1" t="s">
        <v>14128</v>
      </c>
      <c r="RPS1" t="s">
        <v>14129</v>
      </c>
      <c r="RPT1" t="s">
        <v>14130</v>
      </c>
      <c r="RPU1" t="s">
        <v>14131</v>
      </c>
      <c r="RPV1" t="s">
        <v>14132</v>
      </c>
      <c r="RPW1" t="s">
        <v>14133</v>
      </c>
      <c r="RPX1" t="s">
        <v>14134</v>
      </c>
      <c r="RPY1" t="s">
        <v>14135</v>
      </c>
      <c r="RPZ1" t="s">
        <v>14136</v>
      </c>
      <c r="RQA1" t="s">
        <v>14137</v>
      </c>
      <c r="RQB1" t="s">
        <v>14138</v>
      </c>
      <c r="RQC1" t="s">
        <v>14139</v>
      </c>
      <c r="RQD1" t="s">
        <v>14140</v>
      </c>
      <c r="RQE1" t="s">
        <v>14141</v>
      </c>
      <c r="RQF1" t="s">
        <v>14142</v>
      </c>
      <c r="RQG1" t="s">
        <v>14143</v>
      </c>
      <c r="RQH1" t="s">
        <v>14144</v>
      </c>
      <c r="RQI1" t="s">
        <v>14145</v>
      </c>
      <c r="RQJ1" t="s">
        <v>14146</v>
      </c>
      <c r="RQK1" t="s">
        <v>14147</v>
      </c>
      <c r="RQL1" t="s">
        <v>14148</v>
      </c>
      <c r="RQM1" t="s">
        <v>14149</v>
      </c>
      <c r="RQN1" t="s">
        <v>14150</v>
      </c>
      <c r="RQO1" t="s">
        <v>14151</v>
      </c>
      <c r="RQP1" t="s">
        <v>14152</v>
      </c>
      <c r="RQQ1" t="s">
        <v>14153</v>
      </c>
      <c r="RQR1" t="s">
        <v>14154</v>
      </c>
      <c r="RQS1" t="s">
        <v>14155</v>
      </c>
      <c r="RQT1" t="s">
        <v>14156</v>
      </c>
      <c r="RQU1" t="s">
        <v>14157</v>
      </c>
      <c r="RQV1" t="s">
        <v>14158</v>
      </c>
      <c r="RQW1" t="s">
        <v>14159</v>
      </c>
      <c r="RQX1" t="s">
        <v>14160</v>
      </c>
      <c r="RQY1" t="s">
        <v>14161</v>
      </c>
      <c r="RQZ1" t="s">
        <v>14162</v>
      </c>
      <c r="RRA1" t="s">
        <v>14163</v>
      </c>
      <c r="RRB1" t="s">
        <v>14164</v>
      </c>
      <c r="RRC1" t="s">
        <v>14165</v>
      </c>
      <c r="RRD1" t="s">
        <v>14166</v>
      </c>
      <c r="RRE1" t="s">
        <v>14167</v>
      </c>
      <c r="RRF1" t="s">
        <v>14168</v>
      </c>
      <c r="RRG1" t="s">
        <v>14169</v>
      </c>
      <c r="RRH1" t="s">
        <v>14170</v>
      </c>
      <c r="RRI1" t="s">
        <v>14171</v>
      </c>
      <c r="RRJ1" t="s">
        <v>14172</v>
      </c>
      <c r="RRK1" t="s">
        <v>14173</v>
      </c>
      <c r="RRL1" t="s">
        <v>14174</v>
      </c>
      <c r="RRM1" t="s">
        <v>14175</v>
      </c>
      <c r="RRN1" t="s">
        <v>14176</v>
      </c>
      <c r="RRO1" t="s">
        <v>14177</v>
      </c>
      <c r="RRP1" t="s">
        <v>14178</v>
      </c>
      <c r="RRQ1" t="s">
        <v>14179</v>
      </c>
      <c r="RRR1" t="s">
        <v>14180</v>
      </c>
      <c r="RRS1" t="s">
        <v>14181</v>
      </c>
      <c r="RRT1" t="s">
        <v>14182</v>
      </c>
      <c r="RRU1" t="s">
        <v>14183</v>
      </c>
      <c r="RRV1" t="s">
        <v>14184</v>
      </c>
      <c r="RRW1" t="s">
        <v>14185</v>
      </c>
      <c r="RRX1" t="s">
        <v>14186</v>
      </c>
      <c r="RRY1" t="s">
        <v>14187</v>
      </c>
      <c r="RRZ1" t="s">
        <v>14188</v>
      </c>
      <c r="RSA1" t="s">
        <v>14189</v>
      </c>
      <c r="RSB1" t="s">
        <v>14190</v>
      </c>
      <c r="RSC1" t="s">
        <v>14191</v>
      </c>
      <c r="RSD1" t="s">
        <v>14192</v>
      </c>
      <c r="RSE1" t="s">
        <v>14193</v>
      </c>
      <c r="RSF1" t="s">
        <v>14194</v>
      </c>
      <c r="RSG1" t="s">
        <v>14195</v>
      </c>
      <c r="RSH1" t="s">
        <v>14196</v>
      </c>
      <c r="RSI1" t="s">
        <v>14197</v>
      </c>
      <c r="RSJ1" t="s">
        <v>14198</v>
      </c>
      <c r="RSK1" t="s">
        <v>14199</v>
      </c>
      <c r="RSL1" t="s">
        <v>14200</v>
      </c>
      <c r="RSM1" t="s">
        <v>14201</v>
      </c>
      <c r="RSN1" t="s">
        <v>14202</v>
      </c>
      <c r="RSO1" t="s">
        <v>14203</v>
      </c>
      <c r="RSP1" t="s">
        <v>14204</v>
      </c>
      <c r="RSQ1" t="s">
        <v>14205</v>
      </c>
      <c r="RSR1" t="s">
        <v>14206</v>
      </c>
      <c r="RSS1" t="s">
        <v>14207</v>
      </c>
      <c r="RST1" t="s">
        <v>14208</v>
      </c>
      <c r="RSU1" t="s">
        <v>14209</v>
      </c>
      <c r="RSV1" t="s">
        <v>14210</v>
      </c>
      <c r="RSW1" t="s">
        <v>14211</v>
      </c>
      <c r="RSX1" t="s">
        <v>14212</v>
      </c>
      <c r="RSY1" t="s">
        <v>14213</v>
      </c>
      <c r="RSZ1" t="s">
        <v>14214</v>
      </c>
      <c r="RTA1" t="s">
        <v>14215</v>
      </c>
      <c r="RTB1" t="s">
        <v>14216</v>
      </c>
      <c r="RTC1" t="s">
        <v>14217</v>
      </c>
      <c r="RTD1" t="s">
        <v>14218</v>
      </c>
      <c r="RTE1" t="s">
        <v>14219</v>
      </c>
      <c r="RTF1" t="s">
        <v>14220</v>
      </c>
      <c r="RTG1" t="s">
        <v>14221</v>
      </c>
      <c r="RTH1" t="s">
        <v>14222</v>
      </c>
      <c r="RTI1" t="s">
        <v>14223</v>
      </c>
      <c r="RTJ1" t="s">
        <v>14224</v>
      </c>
      <c r="RTK1" t="s">
        <v>14225</v>
      </c>
      <c r="RTL1" t="s">
        <v>14226</v>
      </c>
      <c r="RTM1" t="s">
        <v>14227</v>
      </c>
      <c r="RTN1" t="s">
        <v>14228</v>
      </c>
      <c r="RTO1" t="s">
        <v>14229</v>
      </c>
      <c r="RTP1" t="s">
        <v>14230</v>
      </c>
      <c r="RTQ1" t="s">
        <v>14231</v>
      </c>
      <c r="RTR1" t="s">
        <v>14232</v>
      </c>
      <c r="RTS1" t="s">
        <v>14233</v>
      </c>
      <c r="RTT1" t="s">
        <v>14234</v>
      </c>
      <c r="RTU1" t="s">
        <v>14235</v>
      </c>
      <c r="RTV1" t="s">
        <v>14236</v>
      </c>
      <c r="RTW1" t="s">
        <v>14237</v>
      </c>
      <c r="RTX1" t="s">
        <v>14238</v>
      </c>
      <c r="RTY1" t="s">
        <v>14239</v>
      </c>
      <c r="RTZ1" t="s">
        <v>14240</v>
      </c>
      <c r="RUA1" t="s">
        <v>14241</v>
      </c>
      <c r="RUB1" t="s">
        <v>14242</v>
      </c>
      <c r="RUC1" t="s">
        <v>14243</v>
      </c>
      <c r="RUD1" t="s">
        <v>14244</v>
      </c>
      <c r="RUE1" t="s">
        <v>14245</v>
      </c>
      <c r="RUF1" t="s">
        <v>14246</v>
      </c>
      <c r="RUG1" t="s">
        <v>14247</v>
      </c>
      <c r="RUH1" t="s">
        <v>14248</v>
      </c>
      <c r="RUI1" t="s">
        <v>14249</v>
      </c>
      <c r="RUJ1" t="s">
        <v>14250</v>
      </c>
      <c r="RUK1" t="s">
        <v>14251</v>
      </c>
      <c r="RUL1" t="s">
        <v>14252</v>
      </c>
      <c r="RUM1" t="s">
        <v>14253</v>
      </c>
      <c r="RUN1" t="s">
        <v>14254</v>
      </c>
      <c r="RUO1" t="s">
        <v>14255</v>
      </c>
      <c r="RUP1" t="s">
        <v>14256</v>
      </c>
      <c r="RUQ1" t="s">
        <v>14257</v>
      </c>
      <c r="RUR1" t="s">
        <v>14258</v>
      </c>
      <c r="RUS1" t="s">
        <v>14259</v>
      </c>
      <c r="RUT1" t="s">
        <v>14260</v>
      </c>
      <c r="RUU1" t="s">
        <v>14261</v>
      </c>
      <c r="RUV1" t="s">
        <v>14262</v>
      </c>
      <c r="RUW1" t="s">
        <v>14263</v>
      </c>
      <c r="RUX1" t="s">
        <v>14264</v>
      </c>
      <c r="RUY1" t="s">
        <v>14265</v>
      </c>
      <c r="RUZ1" t="s">
        <v>14266</v>
      </c>
      <c r="RVA1" t="s">
        <v>14267</v>
      </c>
      <c r="RVB1" t="s">
        <v>14268</v>
      </c>
      <c r="RVC1" t="s">
        <v>14269</v>
      </c>
      <c r="RVD1" t="s">
        <v>14270</v>
      </c>
      <c r="RVE1" t="s">
        <v>14271</v>
      </c>
      <c r="RVF1" t="s">
        <v>14272</v>
      </c>
      <c r="RVG1" t="s">
        <v>14273</v>
      </c>
      <c r="RVH1" t="s">
        <v>14274</v>
      </c>
      <c r="RVI1" t="s">
        <v>14275</v>
      </c>
      <c r="RVJ1" t="s">
        <v>14276</v>
      </c>
      <c r="RVK1" t="s">
        <v>14277</v>
      </c>
      <c r="RVL1" t="s">
        <v>14278</v>
      </c>
      <c r="RVM1" t="s">
        <v>14279</v>
      </c>
      <c r="RVN1" t="s">
        <v>14280</v>
      </c>
      <c r="RVO1" t="s">
        <v>14281</v>
      </c>
      <c r="RVP1" t="s">
        <v>14282</v>
      </c>
      <c r="RVQ1" t="s">
        <v>14283</v>
      </c>
      <c r="RVR1" t="s">
        <v>14284</v>
      </c>
      <c r="RVS1" t="s">
        <v>14285</v>
      </c>
      <c r="RVT1" t="s">
        <v>14286</v>
      </c>
      <c r="RVU1" t="s">
        <v>14287</v>
      </c>
      <c r="RVV1" t="s">
        <v>14288</v>
      </c>
      <c r="RVW1" t="s">
        <v>14289</v>
      </c>
      <c r="RVX1" t="s">
        <v>14290</v>
      </c>
      <c r="RVY1" t="s">
        <v>14291</v>
      </c>
      <c r="RVZ1" t="s">
        <v>14292</v>
      </c>
      <c r="RWA1" t="s">
        <v>14293</v>
      </c>
      <c r="RWB1" t="s">
        <v>14294</v>
      </c>
      <c r="RWC1" t="s">
        <v>14295</v>
      </c>
      <c r="RWD1" t="s">
        <v>14296</v>
      </c>
      <c r="RWE1" t="s">
        <v>14297</v>
      </c>
      <c r="RWF1" t="s">
        <v>14298</v>
      </c>
      <c r="RWG1" t="s">
        <v>14299</v>
      </c>
      <c r="RWH1" t="s">
        <v>14300</v>
      </c>
      <c r="RWI1" t="s">
        <v>14301</v>
      </c>
      <c r="RWJ1" t="s">
        <v>14302</v>
      </c>
      <c r="RWK1" t="s">
        <v>14303</v>
      </c>
      <c r="RWL1" t="s">
        <v>14304</v>
      </c>
      <c r="RWM1" t="s">
        <v>14305</v>
      </c>
      <c r="RWN1" t="s">
        <v>14306</v>
      </c>
      <c r="RWO1" t="s">
        <v>14307</v>
      </c>
      <c r="RWP1" t="s">
        <v>14308</v>
      </c>
      <c r="RWQ1" t="s">
        <v>14309</v>
      </c>
      <c r="RWR1" t="s">
        <v>14310</v>
      </c>
      <c r="RWS1" t="s">
        <v>14311</v>
      </c>
      <c r="RWT1" t="s">
        <v>14312</v>
      </c>
      <c r="RWU1" t="s">
        <v>14313</v>
      </c>
      <c r="RWV1" t="s">
        <v>14314</v>
      </c>
      <c r="RWW1" t="s">
        <v>14315</v>
      </c>
      <c r="RWX1" t="s">
        <v>14316</v>
      </c>
      <c r="RWY1" t="s">
        <v>14317</v>
      </c>
      <c r="RWZ1" t="s">
        <v>14318</v>
      </c>
      <c r="RXA1" t="s">
        <v>14319</v>
      </c>
      <c r="RXB1" t="s">
        <v>14320</v>
      </c>
      <c r="RXC1" t="s">
        <v>14321</v>
      </c>
      <c r="RXD1" t="s">
        <v>14322</v>
      </c>
      <c r="RXE1" t="s">
        <v>14323</v>
      </c>
      <c r="RXF1" t="s">
        <v>14324</v>
      </c>
      <c r="RXG1" t="s">
        <v>14325</v>
      </c>
      <c r="RXH1" t="s">
        <v>14326</v>
      </c>
      <c r="RXI1" t="s">
        <v>14327</v>
      </c>
      <c r="RXJ1" t="s">
        <v>14328</v>
      </c>
      <c r="RXK1" t="s">
        <v>14329</v>
      </c>
      <c r="RXL1" t="s">
        <v>14330</v>
      </c>
      <c r="RXM1" t="s">
        <v>14331</v>
      </c>
      <c r="RXN1" t="s">
        <v>14332</v>
      </c>
      <c r="RXO1" t="s">
        <v>14333</v>
      </c>
      <c r="RXP1" t="s">
        <v>14334</v>
      </c>
      <c r="RXQ1" t="s">
        <v>14335</v>
      </c>
      <c r="RXR1" t="s">
        <v>14336</v>
      </c>
      <c r="RXS1" t="s">
        <v>14337</v>
      </c>
      <c r="RXT1" t="s">
        <v>14338</v>
      </c>
      <c r="RXU1" t="s">
        <v>14339</v>
      </c>
      <c r="RXV1" t="s">
        <v>14340</v>
      </c>
      <c r="RXW1" t="s">
        <v>14341</v>
      </c>
      <c r="RXX1" t="s">
        <v>14342</v>
      </c>
      <c r="RXY1" t="s">
        <v>14343</v>
      </c>
      <c r="RXZ1" t="s">
        <v>14344</v>
      </c>
      <c r="RYA1" t="s">
        <v>14345</v>
      </c>
      <c r="RYB1" t="s">
        <v>14346</v>
      </c>
      <c r="RYC1" t="s">
        <v>14347</v>
      </c>
      <c r="RYD1" t="s">
        <v>14348</v>
      </c>
      <c r="RYE1" t="s">
        <v>14349</v>
      </c>
      <c r="RYF1" t="s">
        <v>14350</v>
      </c>
      <c r="RYG1" t="s">
        <v>14351</v>
      </c>
      <c r="RYH1" t="s">
        <v>14352</v>
      </c>
      <c r="RYI1" t="s">
        <v>14353</v>
      </c>
      <c r="RYJ1" t="s">
        <v>14354</v>
      </c>
      <c r="RYK1" t="s">
        <v>14355</v>
      </c>
      <c r="RYL1" t="s">
        <v>14356</v>
      </c>
      <c r="RYM1" t="s">
        <v>14357</v>
      </c>
      <c r="RYN1" t="s">
        <v>14358</v>
      </c>
      <c r="RYO1" t="s">
        <v>14359</v>
      </c>
      <c r="RYP1" t="s">
        <v>14360</v>
      </c>
      <c r="RYQ1" t="s">
        <v>14361</v>
      </c>
      <c r="RYR1" t="s">
        <v>14362</v>
      </c>
      <c r="RYS1" t="s">
        <v>14363</v>
      </c>
      <c r="RYT1" t="s">
        <v>14364</v>
      </c>
      <c r="RYU1" t="s">
        <v>14365</v>
      </c>
      <c r="RYV1" t="s">
        <v>14366</v>
      </c>
      <c r="RYW1" t="s">
        <v>14367</v>
      </c>
      <c r="RYX1" t="s">
        <v>14368</v>
      </c>
      <c r="RYY1" t="s">
        <v>14369</v>
      </c>
      <c r="RYZ1" t="s">
        <v>14370</v>
      </c>
      <c r="RZA1" t="s">
        <v>14371</v>
      </c>
      <c r="RZB1" t="s">
        <v>14372</v>
      </c>
      <c r="RZC1" t="s">
        <v>14373</v>
      </c>
      <c r="RZD1" t="s">
        <v>14374</v>
      </c>
      <c r="RZE1" t="s">
        <v>14375</v>
      </c>
      <c r="RZF1" t="s">
        <v>14376</v>
      </c>
      <c r="RZG1" t="s">
        <v>14377</v>
      </c>
      <c r="RZH1" t="s">
        <v>14378</v>
      </c>
      <c r="RZI1" t="s">
        <v>14379</v>
      </c>
      <c r="RZJ1" t="s">
        <v>14380</v>
      </c>
      <c r="RZK1" t="s">
        <v>14381</v>
      </c>
      <c r="RZL1" t="s">
        <v>14382</v>
      </c>
      <c r="RZM1" t="s">
        <v>14383</v>
      </c>
      <c r="RZN1" t="s">
        <v>14384</v>
      </c>
      <c r="RZO1" t="s">
        <v>14385</v>
      </c>
      <c r="RZP1" t="s">
        <v>14386</v>
      </c>
      <c r="RZQ1" t="s">
        <v>14387</v>
      </c>
      <c r="RZR1" t="s">
        <v>14388</v>
      </c>
      <c r="RZS1" t="s">
        <v>14389</v>
      </c>
      <c r="RZT1" t="s">
        <v>14390</v>
      </c>
      <c r="RZU1" t="s">
        <v>14391</v>
      </c>
      <c r="RZV1" t="s">
        <v>14392</v>
      </c>
      <c r="RZW1" t="s">
        <v>14393</v>
      </c>
      <c r="RZX1" t="s">
        <v>14394</v>
      </c>
      <c r="RZY1" t="s">
        <v>14395</v>
      </c>
      <c r="RZZ1" t="s">
        <v>14396</v>
      </c>
      <c r="SAA1" t="s">
        <v>14397</v>
      </c>
      <c r="SAB1" t="s">
        <v>14398</v>
      </c>
      <c r="SAC1" t="s">
        <v>14399</v>
      </c>
      <c r="SAD1" t="s">
        <v>14400</v>
      </c>
      <c r="SAE1" t="s">
        <v>14401</v>
      </c>
      <c r="SAF1" t="s">
        <v>14402</v>
      </c>
      <c r="SAG1" t="s">
        <v>14403</v>
      </c>
      <c r="SAH1" t="s">
        <v>14404</v>
      </c>
      <c r="SAI1" t="s">
        <v>14405</v>
      </c>
      <c r="SAJ1" t="s">
        <v>14406</v>
      </c>
      <c r="SAK1" t="s">
        <v>14407</v>
      </c>
      <c r="SAL1" t="s">
        <v>14408</v>
      </c>
      <c r="SAM1" t="s">
        <v>14409</v>
      </c>
      <c r="SAN1" t="s">
        <v>14410</v>
      </c>
      <c r="SAO1" t="s">
        <v>14411</v>
      </c>
      <c r="SAP1" t="s">
        <v>14412</v>
      </c>
      <c r="SAQ1" t="s">
        <v>14413</v>
      </c>
      <c r="SAR1" t="s">
        <v>14414</v>
      </c>
      <c r="SAS1" t="s">
        <v>14415</v>
      </c>
      <c r="SAT1" t="s">
        <v>14416</v>
      </c>
      <c r="SAU1" t="s">
        <v>14417</v>
      </c>
      <c r="SAV1" t="s">
        <v>14418</v>
      </c>
      <c r="SAW1" t="s">
        <v>14419</v>
      </c>
      <c r="SAX1" t="s">
        <v>14420</v>
      </c>
      <c r="SAY1" t="s">
        <v>14421</v>
      </c>
      <c r="SAZ1" t="s">
        <v>14422</v>
      </c>
      <c r="SBA1" t="s">
        <v>14423</v>
      </c>
      <c r="SBB1" t="s">
        <v>14424</v>
      </c>
      <c r="SBC1" t="s">
        <v>14425</v>
      </c>
      <c r="SBD1" t="s">
        <v>14426</v>
      </c>
      <c r="SBE1" t="s">
        <v>14427</v>
      </c>
      <c r="SBF1" t="s">
        <v>14428</v>
      </c>
      <c r="SBG1" t="s">
        <v>14429</v>
      </c>
      <c r="SBH1" t="s">
        <v>14430</v>
      </c>
      <c r="SBI1" t="s">
        <v>14431</v>
      </c>
      <c r="SBJ1" t="s">
        <v>14432</v>
      </c>
      <c r="SBK1" t="s">
        <v>14433</v>
      </c>
      <c r="SBL1" t="s">
        <v>14434</v>
      </c>
      <c r="SBM1" t="s">
        <v>14435</v>
      </c>
      <c r="SBN1" t="s">
        <v>14436</v>
      </c>
      <c r="SBO1" t="s">
        <v>14437</v>
      </c>
      <c r="SBP1" t="s">
        <v>14438</v>
      </c>
      <c r="SBQ1" t="s">
        <v>14439</v>
      </c>
      <c r="SBR1" t="s">
        <v>14440</v>
      </c>
      <c r="SBS1" t="s">
        <v>14441</v>
      </c>
      <c r="SBT1" t="s">
        <v>14442</v>
      </c>
      <c r="SBU1" t="s">
        <v>14443</v>
      </c>
      <c r="SBV1" t="s">
        <v>14444</v>
      </c>
      <c r="SBW1" t="s">
        <v>14445</v>
      </c>
      <c r="SBX1" t="s">
        <v>14446</v>
      </c>
      <c r="SBY1" t="s">
        <v>14447</v>
      </c>
      <c r="SBZ1" t="s">
        <v>14448</v>
      </c>
      <c r="SCA1" t="s">
        <v>14449</v>
      </c>
      <c r="SCB1" t="s">
        <v>14450</v>
      </c>
      <c r="SCC1" t="s">
        <v>14451</v>
      </c>
      <c r="SCD1" t="s">
        <v>14452</v>
      </c>
      <c r="SCE1" t="s">
        <v>14453</v>
      </c>
      <c r="SCF1" t="s">
        <v>14454</v>
      </c>
      <c r="SCG1" t="s">
        <v>14455</v>
      </c>
      <c r="SCH1" t="s">
        <v>14456</v>
      </c>
      <c r="SCI1" t="s">
        <v>14457</v>
      </c>
      <c r="SCJ1" t="s">
        <v>14458</v>
      </c>
      <c r="SCK1" t="s">
        <v>14459</v>
      </c>
      <c r="SCL1" t="s">
        <v>14460</v>
      </c>
      <c r="SCM1" t="s">
        <v>14461</v>
      </c>
      <c r="SCN1" t="s">
        <v>14462</v>
      </c>
      <c r="SCO1" t="s">
        <v>14463</v>
      </c>
      <c r="SCP1" t="s">
        <v>14464</v>
      </c>
      <c r="SCQ1" t="s">
        <v>14465</v>
      </c>
      <c r="SCR1" t="s">
        <v>14466</v>
      </c>
      <c r="SCS1" t="s">
        <v>14467</v>
      </c>
      <c r="SCT1" t="s">
        <v>14468</v>
      </c>
      <c r="SCU1" t="s">
        <v>14469</v>
      </c>
      <c r="SCV1" t="s">
        <v>14470</v>
      </c>
      <c r="SCW1" t="s">
        <v>14471</v>
      </c>
      <c r="SCX1" t="s">
        <v>14472</v>
      </c>
      <c r="SCY1" t="s">
        <v>14473</v>
      </c>
      <c r="SCZ1" t="s">
        <v>14474</v>
      </c>
      <c r="SDA1" t="s">
        <v>14475</v>
      </c>
      <c r="SDB1" t="s">
        <v>14476</v>
      </c>
      <c r="SDC1" t="s">
        <v>14477</v>
      </c>
      <c r="SDD1" t="s">
        <v>14478</v>
      </c>
      <c r="SDE1" t="s">
        <v>14479</v>
      </c>
      <c r="SDF1" t="s">
        <v>14480</v>
      </c>
      <c r="SDG1" t="s">
        <v>14481</v>
      </c>
      <c r="SDH1" t="s">
        <v>14482</v>
      </c>
      <c r="SDI1" t="s">
        <v>14483</v>
      </c>
      <c r="SDJ1" t="s">
        <v>14484</v>
      </c>
      <c r="SDK1" t="s">
        <v>14485</v>
      </c>
      <c r="SDL1" t="s">
        <v>14486</v>
      </c>
      <c r="SDM1" t="s">
        <v>14487</v>
      </c>
      <c r="SDN1" t="s">
        <v>14488</v>
      </c>
      <c r="SDO1" t="s">
        <v>14489</v>
      </c>
      <c r="SDP1" t="s">
        <v>14490</v>
      </c>
      <c r="SDQ1" t="s">
        <v>14491</v>
      </c>
      <c r="SDR1" t="s">
        <v>14492</v>
      </c>
      <c r="SDS1" t="s">
        <v>14493</v>
      </c>
      <c r="SDT1" t="s">
        <v>14494</v>
      </c>
      <c r="SDU1" t="s">
        <v>14495</v>
      </c>
      <c r="SDV1" t="s">
        <v>14496</v>
      </c>
      <c r="SDW1" t="s">
        <v>14497</v>
      </c>
      <c r="SDX1" t="s">
        <v>14498</v>
      </c>
      <c r="SDY1" t="s">
        <v>14499</v>
      </c>
      <c r="SDZ1" t="s">
        <v>14500</v>
      </c>
      <c r="SEA1" t="s">
        <v>14501</v>
      </c>
      <c r="SEB1" t="s">
        <v>14502</v>
      </c>
      <c r="SEC1" t="s">
        <v>14503</v>
      </c>
      <c r="SED1" t="s">
        <v>14504</v>
      </c>
      <c r="SEE1" t="s">
        <v>14505</v>
      </c>
      <c r="SEF1" t="s">
        <v>14506</v>
      </c>
      <c r="SEG1" t="s">
        <v>14507</v>
      </c>
      <c r="SEH1" t="s">
        <v>14508</v>
      </c>
      <c r="SEI1" t="s">
        <v>14509</v>
      </c>
      <c r="SEJ1" t="s">
        <v>14510</v>
      </c>
      <c r="SEK1" t="s">
        <v>14511</v>
      </c>
      <c r="SEL1" t="s">
        <v>14512</v>
      </c>
      <c r="SEM1" t="s">
        <v>14513</v>
      </c>
      <c r="SEN1" t="s">
        <v>14514</v>
      </c>
      <c r="SEO1" t="s">
        <v>14515</v>
      </c>
      <c r="SEP1" t="s">
        <v>14516</v>
      </c>
      <c r="SEQ1" t="s">
        <v>14517</v>
      </c>
      <c r="SER1" t="s">
        <v>14518</v>
      </c>
      <c r="SES1" t="s">
        <v>14519</v>
      </c>
      <c r="SET1" t="s">
        <v>14520</v>
      </c>
      <c r="SEU1" t="s">
        <v>14521</v>
      </c>
      <c r="SEV1" t="s">
        <v>14522</v>
      </c>
      <c r="SEW1" t="s">
        <v>14523</v>
      </c>
      <c r="SEX1" t="s">
        <v>14524</v>
      </c>
      <c r="SEY1" t="s">
        <v>14525</v>
      </c>
      <c r="SEZ1" t="s">
        <v>14526</v>
      </c>
      <c r="SFA1" t="s">
        <v>14527</v>
      </c>
      <c r="SFB1" t="s">
        <v>14528</v>
      </c>
      <c r="SFC1" t="s">
        <v>14529</v>
      </c>
      <c r="SFD1" t="s">
        <v>14530</v>
      </c>
      <c r="SFE1" t="s">
        <v>14531</v>
      </c>
      <c r="SFF1" t="s">
        <v>14532</v>
      </c>
      <c r="SFG1" t="s">
        <v>14533</v>
      </c>
      <c r="SFH1" t="s">
        <v>14534</v>
      </c>
      <c r="SFI1" t="s">
        <v>14535</v>
      </c>
      <c r="SFJ1" t="s">
        <v>14536</v>
      </c>
      <c r="SFK1" t="s">
        <v>14537</v>
      </c>
      <c r="SFL1" t="s">
        <v>14538</v>
      </c>
      <c r="SFM1" t="s">
        <v>14539</v>
      </c>
      <c r="SFN1" t="s">
        <v>14540</v>
      </c>
      <c r="SFO1" t="s">
        <v>14541</v>
      </c>
      <c r="SFP1" t="s">
        <v>14542</v>
      </c>
      <c r="SFQ1" t="s">
        <v>14543</v>
      </c>
      <c r="SFR1" t="s">
        <v>14544</v>
      </c>
      <c r="SFS1" t="s">
        <v>14545</v>
      </c>
      <c r="SFT1" t="s">
        <v>14546</v>
      </c>
      <c r="SFU1" t="s">
        <v>14547</v>
      </c>
      <c r="SFV1" t="s">
        <v>14548</v>
      </c>
      <c r="SFW1" t="s">
        <v>14549</v>
      </c>
      <c r="SFX1" t="s">
        <v>14550</v>
      </c>
      <c r="SFY1" t="s">
        <v>14551</v>
      </c>
      <c r="SFZ1" t="s">
        <v>14552</v>
      </c>
      <c r="SGA1" t="s">
        <v>14553</v>
      </c>
      <c r="SGB1" t="s">
        <v>14554</v>
      </c>
      <c r="SGC1" t="s">
        <v>14555</v>
      </c>
      <c r="SGD1" t="s">
        <v>14556</v>
      </c>
      <c r="SGE1" t="s">
        <v>14557</v>
      </c>
      <c r="SGF1" t="s">
        <v>14558</v>
      </c>
      <c r="SGG1" t="s">
        <v>14559</v>
      </c>
      <c r="SGH1" t="s">
        <v>14560</v>
      </c>
      <c r="SGI1" t="s">
        <v>14561</v>
      </c>
      <c r="SGJ1" t="s">
        <v>14562</v>
      </c>
      <c r="SGK1" t="s">
        <v>14563</v>
      </c>
      <c r="SGL1" t="s">
        <v>14564</v>
      </c>
      <c r="SGM1" t="s">
        <v>14565</v>
      </c>
      <c r="SGN1" t="s">
        <v>14566</v>
      </c>
      <c r="SGO1" t="s">
        <v>14567</v>
      </c>
      <c r="SGP1" t="s">
        <v>14568</v>
      </c>
      <c r="SGQ1" t="s">
        <v>14569</v>
      </c>
      <c r="SGR1" t="s">
        <v>14570</v>
      </c>
      <c r="SGS1" t="s">
        <v>14571</v>
      </c>
      <c r="SGT1" t="s">
        <v>14572</v>
      </c>
      <c r="SGU1" t="s">
        <v>14573</v>
      </c>
      <c r="SGV1" t="s">
        <v>14574</v>
      </c>
      <c r="SGW1" t="s">
        <v>14575</v>
      </c>
      <c r="SGX1" t="s">
        <v>14576</v>
      </c>
      <c r="SGY1" t="s">
        <v>14577</v>
      </c>
      <c r="SGZ1" t="s">
        <v>14578</v>
      </c>
      <c r="SHA1" t="s">
        <v>14579</v>
      </c>
      <c r="SHB1" t="s">
        <v>14580</v>
      </c>
      <c r="SHC1" t="s">
        <v>14581</v>
      </c>
      <c r="SHD1" t="s">
        <v>14582</v>
      </c>
      <c r="SHE1" t="s">
        <v>14583</v>
      </c>
      <c r="SHF1" t="s">
        <v>14584</v>
      </c>
      <c r="SHG1" t="s">
        <v>14585</v>
      </c>
      <c r="SHH1" t="s">
        <v>14586</v>
      </c>
      <c r="SHI1" t="s">
        <v>14587</v>
      </c>
      <c r="SHJ1" t="s">
        <v>14588</v>
      </c>
      <c r="SHK1" t="s">
        <v>14589</v>
      </c>
      <c r="SHL1" t="s">
        <v>14590</v>
      </c>
      <c r="SHM1" t="s">
        <v>14591</v>
      </c>
      <c r="SHN1" t="s">
        <v>14592</v>
      </c>
      <c r="SHO1" t="s">
        <v>14593</v>
      </c>
      <c r="SHP1" t="s">
        <v>14594</v>
      </c>
      <c r="SHQ1" t="s">
        <v>14595</v>
      </c>
      <c r="SHR1" t="s">
        <v>14596</v>
      </c>
      <c r="SHS1" t="s">
        <v>14597</v>
      </c>
      <c r="SHT1" t="s">
        <v>14598</v>
      </c>
      <c r="SHU1" t="s">
        <v>14599</v>
      </c>
      <c r="SHV1" t="s">
        <v>14600</v>
      </c>
      <c r="SHW1" t="s">
        <v>14601</v>
      </c>
      <c r="SHX1" t="s">
        <v>14602</v>
      </c>
      <c r="SHY1" t="s">
        <v>14603</v>
      </c>
      <c r="SHZ1" t="s">
        <v>14604</v>
      </c>
      <c r="SIA1" t="s">
        <v>14605</v>
      </c>
      <c r="SIB1" t="s">
        <v>14606</v>
      </c>
      <c r="SIC1" t="s">
        <v>14607</v>
      </c>
      <c r="SID1" t="s">
        <v>14608</v>
      </c>
      <c r="SIE1" t="s">
        <v>14609</v>
      </c>
      <c r="SIF1" t="s">
        <v>14610</v>
      </c>
      <c r="SIG1" t="s">
        <v>14611</v>
      </c>
      <c r="SIH1" t="s">
        <v>14612</v>
      </c>
      <c r="SII1" t="s">
        <v>14613</v>
      </c>
      <c r="SIJ1" t="s">
        <v>14614</v>
      </c>
      <c r="SIK1" t="s">
        <v>14615</v>
      </c>
      <c r="SIL1" t="s">
        <v>14616</v>
      </c>
      <c r="SIM1" t="s">
        <v>14617</v>
      </c>
      <c r="SIN1" t="s">
        <v>14618</v>
      </c>
      <c r="SIO1" t="s">
        <v>14619</v>
      </c>
      <c r="SIP1" t="s">
        <v>14620</v>
      </c>
      <c r="SIQ1" t="s">
        <v>14621</v>
      </c>
      <c r="SIR1" t="s">
        <v>14622</v>
      </c>
      <c r="SIS1" t="s">
        <v>14623</v>
      </c>
      <c r="SIT1" t="s">
        <v>14624</v>
      </c>
      <c r="SIU1" t="s">
        <v>14625</v>
      </c>
      <c r="SIV1" t="s">
        <v>14626</v>
      </c>
      <c r="SIW1" t="s">
        <v>14627</v>
      </c>
      <c r="SIX1" t="s">
        <v>14628</v>
      </c>
      <c r="SIY1" t="s">
        <v>14629</v>
      </c>
      <c r="SIZ1" t="s">
        <v>14630</v>
      </c>
      <c r="SJA1" t="s">
        <v>14631</v>
      </c>
      <c r="SJB1" t="s">
        <v>14632</v>
      </c>
      <c r="SJC1" t="s">
        <v>14633</v>
      </c>
      <c r="SJD1" t="s">
        <v>14634</v>
      </c>
      <c r="SJE1" t="s">
        <v>14635</v>
      </c>
      <c r="SJF1" t="s">
        <v>14636</v>
      </c>
      <c r="SJG1" t="s">
        <v>14637</v>
      </c>
      <c r="SJH1" t="s">
        <v>14638</v>
      </c>
      <c r="SJI1" t="s">
        <v>14639</v>
      </c>
      <c r="SJJ1" t="s">
        <v>14640</v>
      </c>
      <c r="SJK1" t="s">
        <v>14641</v>
      </c>
      <c r="SJL1" t="s">
        <v>14642</v>
      </c>
      <c r="SJM1" t="s">
        <v>14643</v>
      </c>
      <c r="SJN1" t="s">
        <v>14644</v>
      </c>
      <c r="SJO1" t="s">
        <v>14645</v>
      </c>
      <c r="SJP1" t="s">
        <v>14646</v>
      </c>
      <c r="SJQ1" t="s">
        <v>14647</v>
      </c>
      <c r="SJR1" t="s">
        <v>14648</v>
      </c>
      <c r="SJS1" t="s">
        <v>14649</v>
      </c>
      <c r="SJT1" t="s">
        <v>14650</v>
      </c>
      <c r="SJU1" t="s">
        <v>14651</v>
      </c>
      <c r="SJV1" t="s">
        <v>14652</v>
      </c>
      <c r="SJW1" t="s">
        <v>14653</v>
      </c>
      <c r="SJX1" t="s">
        <v>14654</v>
      </c>
      <c r="SJY1" t="s">
        <v>14655</v>
      </c>
      <c r="SJZ1" t="s">
        <v>14656</v>
      </c>
      <c r="SKA1" t="s">
        <v>14657</v>
      </c>
      <c r="SKB1" t="s">
        <v>14658</v>
      </c>
      <c r="SKC1" t="s">
        <v>14659</v>
      </c>
      <c r="SKD1" t="s">
        <v>14660</v>
      </c>
      <c r="SKE1" t="s">
        <v>14661</v>
      </c>
      <c r="SKF1" t="s">
        <v>14662</v>
      </c>
      <c r="SKG1" t="s">
        <v>14663</v>
      </c>
      <c r="SKH1" t="s">
        <v>14664</v>
      </c>
      <c r="SKI1" t="s">
        <v>14665</v>
      </c>
      <c r="SKJ1" t="s">
        <v>14666</v>
      </c>
      <c r="SKK1" t="s">
        <v>14667</v>
      </c>
      <c r="SKL1" t="s">
        <v>14668</v>
      </c>
      <c r="SKM1" t="s">
        <v>14669</v>
      </c>
      <c r="SKN1" t="s">
        <v>14670</v>
      </c>
      <c r="SKO1" t="s">
        <v>14671</v>
      </c>
      <c r="SKP1" t="s">
        <v>14672</v>
      </c>
      <c r="SKQ1" t="s">
        <v>14673</v>
      </c>
      <c r="SKR1" t="s">
        <v>14674</v>
      </c>
      <c r="SKS1" t="s">
        <v>14675</v>
      </c>
      <c r="SKT1" t="s">
        <v>14676</v>
      </c>
      <c r="SKU1" t="s">
        <v>14677</v>
      </c>
      <c r="SKV1" t="s">
        <v>14678</v>
      </c>
      <c r="SKW1" t="s">
        <v>14679</v>
      </c>
      <c r="SKX1" t="s">
        <v>14680</v>
      </c>
      <c r="SKY1" t="s">
        <v>14681</v>
      </c>
      <c r="SKZ1" t="s">
        <v>14682</v>
      </c>
      <c r="SLA1" t="s">
        <v>14683</v>
      </c>
      <c r="SLB1" t="s">
        <v>14684</v>
      </c>
      <c r="SLC1" t="s">
        <v>14685</v>
      </c>
      <c r="SLD1" t="s">
        <v>14686</v>
      </c>
      <c r="SLE1" t="s">
        <v>14687</v>
      </c>
      <c r="SLF1" t="s">
        <v>14688</v>
      </c>
      <c r="SLG1" t="s">
        <v>14689</v>
      </c>
      <c r="SLH1" t="s">
        <v>14690</v>
      </c>
      <c r="SLI1" t="s">
        <v>14691</v>
      </c>
      <c r="SLJ1" t="s">
        <v>14692</v>
      </c>
      <c r="SLK1" t="s">
        <v>14693</v>
      </c>
      <c r="SLL1" t="s">
        <v>14694</v>
      </c>
      <c r="SLM1" t="s">
        <v>14695</v>
      </c>
      <c r="SLN1" t="s">
        <v>14696</v>
      </c>
      <c r="SLO1" t="s">
        <v>14697</v>
      </c>
      <c r="SLP1" t="s">
        <v>14698</v>
      </c>
      <c r="SLQ1" t="s">
        <v>14699</v>
      </c>
      <c r="SLR1" t="s">
        <v>14700</v>
      </c>
      <c r="SLS1" t="s">
        <v>14701</v>
      </c>
      <c r="SLT1" t="s">
        <v>14702</v>
      </c>
      <c r="SLU1" t="s">
        <v>14703</v>
      </c>
      <c r="SLV1" t="s">
        <v>14704</v>
      </c>
      <c r="SLW1" t="s">
        <v>14705</v>
      </c>
      <c r="SLX1" t="s">
        <v>14706</v>
      </c>
      <c r="SLY1" t="s">
        <v>14707</v>
      </c>
      <c r="SLZ1" t="s">
        <v>14708</v>
      </c>
      <c r="SMA1" t="s">
        <v>14709</v>
      </c>
      <c r="SMB1" t="s">
        <v>14710</v>
      </c>
      <c r="SMC1" t="s">
        <v>14711</v>
      </c>
      <c r="SMD1" t="s">
        <v>14712</v>
      </c>
      <c r="SME1" t="s">
        <v>14713</v>
      </c>
      <c r="SMF1" t="s">
        <v>14714</v>
      </c>
      <c r="SMG1" t="s">
        <v>14715</v>
      </c>
      <c r="SMH1" t="s">
        <v>14716</v>
      </c>
      <c r="SMI1" t="s">
        <v>14717</v>
      </c>
      <c r="SMJ1" t="s">
        <v>14718</v>
      </c>
      <c r="SMK1" t="s">
        <v>14719</v>
      </c>
      <c r="SML1" t="s">
        <v>14720</v>
      </c>
      <c r="SMM1" t="s">
        <v>14721</v>
      </c>
      <c r="SMN1" t="s">
        <v>14722</v>
      </c>
      <c r="SMO1" t="s">
        <v>14723</v>
      </c>
      <c r="SMP1" t="s">
        <v>14724</v>
      </c>
      <c r="SMQ1" t="s">
        <v>14725</v>
      </c>
      <c r="SMR1" t="s">
        <v>14726</v>
      </c>
      <c r="SMS1" t="s">
        <v>14727</v>
      </c>
      <c r="SMT1" t="s">
        <v>14728</v>
      </c>
      <c r="SMU1" t="s">
        <v>14729</v>
      </c>
      <c r="SMV1" t="s">
        <v>14730</v>
      </c>
      <c r="SMW1" t="s">
        <v>14731</v>
      </c>
      <c r="SMX1" t="s">
        <v>14732</v>
      </c>
      <c r="SMY1" t="s">
        <v>14733</v>
      </c>
      <c r="SMZ1" t="s">
        <v>14734</v>
      </c>
      <c r="SNA1" t="s">
        <v>14735</v>
      </c>
      <c r="SNB1" t="s">
        <v>14736</v>
      </c>
      <c r="SNC1" t="s">
        <v>14737</v>
      </c>
      <c r="SND1" t="s">
        <v>14738</v>
      </c>
      <c r="SNE1" t="s">
        <v>14739</v>
      </c>
      <c r="SNF1" t="s">
        <v>14740</v>
      </c>
      <c r="SNG1" t="s">
        <v>14741</v>
      </c>
      <c r="SNH1" t="s">
        <v>14742</v>
      </c>
      <c r="SNI1" t="s">
        <v>14743</v>
      </c>
      <c r="SNJ1" t="s">
        <v>14744</v>
      </c>
      <c r="SNK1" t="s">
        <v>14745</v>
      </c>
      <c r="SNL1" t="s">
        <v>14746</v>
      </c>
      <c r="SNM1" t="s">
        <v>14747</v>
      </c>
      <c r="SNN1" t="s">
        <v>14748</v>
      </c>
      <c r="SNO1" t="s">
        <v>14749</v>
      </c>
      <c r="SNP1" t="s">
        <v>14750</v>
      </c>
      <c r="SNQ1" t="s">
        <v>14751</v>
      </c>
      <c r="SNR1" t="s">
        <v>14752</v>
      </c>
      <c r="SNS1" t="s">
        <v>14753</v>
      </c>
      <c r="SNT1" t="s">
        <v>14754</v>
      </c>
      <c r="SNU1" t="s">
        <v>14755</v>
      </c>
      <c r="SNV1" t="s">
        <v>14756</v>
      </c>
      <c r="SNW1" t="s">
        <v>14757</v>
      </c>
      <c r="SNX1" t="s">
        <v>14758</v>
      </c>
      <c r="SNY1" t="s">
        <v>14759</v>
      </c>
      <c r="SNZ1" t="s">
        <v>14760</v>
      </c>
      <c r="SOA1" t="s">
        <v>14761</v>
      </c>
      <c r="SOB1" t="s">
        <v>14762</v>
      </c>
      <c r="SOC1" t="s">
        <v>14763</v>
      </c>
      <c r="SOD1" t="s">
        <v>14764</v>
      </c>
      <c r="SOE1" t="s">
        <v>14765</v>
      </c>
      <c r="SOF1" t="s">
        <v>14766</v>
      </c>
      <c r="SOG1" t="s">
        <v>14767</v>
      </c>
      <c r="SOH1" t="s">
        <v>14768</v>
      </c>
      <c r="SOI1" t="s">
        <v>14769</v>
      </c>
      <c r="SOJ1" t="s">
        <v>14770</v>
      </c>
      <c r="SOK1" t="s">
        <v>14771</v>
      </c>
      <c r="SOL1" t="s">
        <v>14772</v>
      </c>
      <c r="SOM1" t="s">
        <v>14773</v>
      </c>
      <c r="SON1" t="s">
        <v>14774</v>
      </c>
      <c r="SOO1" t="s">
        <v>14775</v>
      </c>
      <c r="SOP1" t="s">
        <v>14776</v>
      </c>
      <c r="SOQ1" t="s">
        <v>14777</v>
      </c>
      <c r="SOR1" t="s">
        <v>14778</v>
      </c>
      <c r="SOS1" t="s">
        <v>14779</v>
      </c>
      <c r="SOT1" t="s">
        <v>14780</v>
      </c>
      <c r="SOU1" t="s">
        <v>14781</v>
      </c>
      <c r="SOV1" t="s">
        <v>14782</v>
      </c>
      <c r="SOW1" t="s">
        <v>14783</v>
      </c>
      <c r="SOX1" t="s">
        <v>14784</v>
      </c>
      <c r="SOY1" t="s">
        <v>14785</v>
      </c>
      <c r="SOZ1" t="s">
        <v>14786</v>
      </c>
      <c r="SPA1" t="s">
        <v>14787</v>
      </c>
      <c r="SPB1" t="s">
        <v>14788</v>
      </c>
      <c r="SPC1" t="s">
        <v>14789</v>
      </c>
      <c r="SPD1" t="s">
        <v>14790</v>
      </c>
      <c r="SPE1" t="s">
        <v>14791</v>
      </c>
      <c r="SPF1" t="s">
        <v>14792</v>
      </c>
      <c r="SPG1" t="s">
        <v>14793</v>
      </c>
      <c r="SPH1" t="s">
        <v>14794</v>
      </c>
      <c r="SPI1" t="s">
        <v>14795</v>
      </c>
      <c r="SPJ1" t="s">
        <v>14796</v>
      </c>
      <c r="SPK1" t="s">
        <v>14797</v>
      </c>
      <c r="SPL1" t="s">
        <v>14798</v>
      </c>
      <c r="SPM1" t="s">
        <v>14799</v>
      </c>
      <c r="SPN1" t="s">
        <v>14800</v>
      </c>
      <c r="SPO1" t="s">
        <v>14801</v>
      </c>
      <c r="SPP1" t="s">
        <v>14802</v>
      </c>
      <c r="SPQ1" t="s">
        <v>14803</v>
      </c>
      <c r="SPR1" t="s">
        <v>14804</v>
      </c>
      <c r="SPS1" t="s">
        <v>14805</v>
      </c>
      <c r="SPT1" t="s">
        <v>14806</v>
      </c>
      <c r="SPU1" t="s">
        <v>14807</v>
      </c>
      <c r="SPV1" t="s">
        <v>14808</v>
      </c>
      <c r="SPW1" t="s">
        <v>14809</v>
      </c>
      <c r="SPX1" t="s">
        <v>14810</v>
      </c>
      <c r="SPY1" t="s">
        <v>14811</v>
      </c>
      <c r="SPZ1" t="s">
        <v>14812</v>
      </c>
      <c r="SQA1" t="s">
        <v>14813</v>
      </c>
      <c r="SQB1" t="s">
        <v>14814</v>
      </c>
      <c r="SQC1" t="s">
        <v>14815</v>
      </c>
      <c r="SQD1" t="s">
        <v>14816</v>
      </c>
      <c r="SQE1" t="s">
        <v>14817</v>
      </c>
      <c r="SQF1" t="s">
        <v>14818</v>
      </c>
      <c r="SQG1" t="s">
        <v>14819</v>
      </c>
      <c r="SQH1" t="s">
        <v>14820</v>
      </c>
      <c r="SQI1" t="s">
        <v>14821</v>
      </c>
      <c r="SQJ1" t="s">
        <v>14822</v>
      </c>
      <c r="SQK1" t="s">
        <v>14823</v>
      </c>
      <c r="SQL1" t="s">
        <v>14824</v>
      </c>
      <c r="SQM1" t="s">
        <v>14825</v>
      </c>
      <c r="SQN1" t="s">
        <v>14826</v>
      </c>
      <c r="SQO1" t="s">
        <v>14827</v>
      </c>
      <c r="SQP1" t="s">
        <v>14828</v>
      </c>
      <c r="SQQ1" t="s">
        <v>14829</v>
      </c>
      <c r="SQR1" t="s">
        <v>14830</v>
      </c>
      <c r="SQS1" t="s">
        <v>14831</v>
      </c>
      <c r="SQT1" t="s">
        <v>14832</v>
      </c>
      <c r="SQU1" t="s">
        <v>14833</v>
      </c>
      <c r="SQV1" t="s">
        <v>14834</v>
      </c>
      <c r="SQW1" t="s">
        <v>14835</v>
      </c>
      <c r="SQX1" t="s">
        <v>14836</v>
      </c>
      <c r="SQY1" t="s">
        <v>14837</v>
      </c>
      <c r="SQZ1" t="s">
        <v>14838</v>
      </c>
      <c r="SRA1" t="s">
        <v>14839</v>
      </c>
      <c r="SRB1" t="s">
        <v>14840</v>
      </c>
      <c r="SRC1" t="s">
        <v>14841</v>
      </c>
      <c r="SRD1" t="s">
        <v>14842</v>
      </c>
      <c r="SRE1" t="s">
        <v>14843</v>
      </c>
      <c r="SRF1" t="s">
        <v>14844</v>
      </c>
      <c r="SRG1" t="s">
        <v>14845</v>
      </c>
      <c r="SRH1" t="s">
        <v>14846</v>
      </c>
      <c r="SRI1" t="s">
        <v>14847</v>
      </c>
      <c r="SRJ1" t="s">
        <v>14848</v>
      </c>
      <c r="SRK1" t="s">
        <v>14849</v>
      </c>
      <c r="SRL1" t="s">
        <v>14850</v>
      </c>
      <c r="SRM1" t="s">
        <v>14851</v>
      </c>
      <c r="SRN1" t="s">
        <v>14852</v>
      </c>
      <c r="SRO1" t="s">
        <v>14853</v>
      </c>
      <c r="SRP1" t="s">
        <v>14854</v>
      </c>
      <c r="SRQ1" t="s">
        <v>14855</v>
      </c>
      <c r="SRR1" t="s">
        <v>14856</v>
      </c>
      <c r="SRS1" t="s">
        <v>14857</v>
      </c>
      <c r="SRT1" t="s">
        <v>14858</v>
      </c>
      <c r="SRU1" t="s">
        <v>14859</v>
      </c>
      <c r="SRV1" t="s">
        <v>14860</v>
      </c>
      <c r="SRW1" t="s">
        <v>14861</v>
      </c>
      <c r="SRX1" t="s">
        <v>14862</v>
      </c>
      <c r="SRY1" t="s">
        <v>14863</v>
      </c>
      <c r="SRZ1" t="s">
        <v>14864</v>
      </c>
      <c r="SSA1" t="s">
        <v>14865</v>
      </c>
      <c r="SSB1" t="s">
        <v>14866</v>
      </c>
      <c r="SSC1" t="s">
        <v>14867</v>
      </c>
      <c r="SSD1" t="s">
        <v>14868</v>
      </c>
      <c r="SSE1" t="s">
        <v>14869</v>
      </c>
      <c r="SSF1" t="s">
        <v>14870</v>
      </c>
      <c r="SSG1" t="s">
        <v>14871</v>
      </c>
      <c r="SSH1" t="s">
        <v>14872</v>
      </c>
      <c r="SSI1" t="s">
        <v>14873</v>
      </c>
      <c r="SSJ1" t="s">
        <v>14874</v>
      </c>
      <c r="SSK1" t="s">
        <v>14875</v>
      </c>
      <c r="SSL1" t="s">
        <v>14876</v>
      </c>
      <c r="SSM1" t="s">
        <v>14877</v>
      </c>
      <c r="SSN1" t="s">
        <v>14878</v>
      </c>
      <c r="SSO1" t="s">
        <v>14879</v>
      </c>
      <c r="SSP1" t="s">
        <v>14880</v>
      </c>
      <c r="SSQ1" t="s">
        <v>14881</v>
      </c>
      <c r="SSR1" t="s">
        <v>14882</v>
      </c>
      <c r="SSS1" t="s">
        <v>14883</v>
      </c>
      <c r="SST1" t="s">
        <v>14884</v>
      </c>
      <c r="SSU1" t="s">
        <v>14885</v>
      </c>
      <c r="SSV1" t="s">
        <v>14886</v>
      </c>
      <c r="SSW1" t="s">
        <v>14887</v>
      </c>
      <c r="SSX1" t="s">
        <v>14888</v>
      </c>
      <c r="SSY1" t="s">
        <v>14889</v>
      </c>
      <c r="SSZ1" t="s">
        <v>14890</v>
      </c>
      <c r="STA1" t="s">
        <v>14891</v>
      </c>
      <c r="STB1" t="s">
        <v>14892</v>
      </c>
      <c r="STC1" t="s">
        <v>14893</v>
      </c>
      <c r="STD1" t="s">
        <v>14894</v>
      </c>
      <c r="STE1" t="s">
        <v>14895</v>
      </c>
      <c r="STF1" t="s">
        <v>14896</v>
      </c>
      <c r="STG1" t="s">
        <v>14897</v>
      </c>
      <c r="STH1" t="s">
        <v>14898</v>
      </c>
      <c r="STI1" t="s">
        <v>14899</v>
      </c>
      <c r="STJ1" t="s">
        <v>14900</v>
      </c>
      <c r="STK1" t="s">
        <v>14901</v>
      </c>
      <c r="STL1" t="s">
        <v>14902</v>
      </c>
      <c r="STM1" t="s">
        <v>14903</v>
      </c>
      <c r="STN1" t="s">
        <v>14904</v>
      </c>
      <c r="STO1" t="s">
        <v>14905</v>
      </c>
      <c r="STP1" t="s">
        <v>14906</v>
      </c>
      <c r="STQ1" t="s">
        <v>14907</v>
      </c>
      <c r="STR1" t="s">
        <v>14908</v>
      </c>
      <c r="STS1" t="s">
        <v>14909</v>
      </c>
      <c r="STT1" t="s">
        <v>14910</v>
      </c>
      <c r="STU1" t="s">
        <v>14911</v>
      </c>
      <c r="STV1" t="s">
        <v>14912</v>
      </c>
      <c r="STW1" t="s">
        <v>14913</v>
      </c>
      <c r="STX1" t="s">
        <v>14914</v>
      </c>
      <c r="STY1" t="s">
        <v>14915</v>
      </c>
      <c r="STZ1" t="s">
        <v>14916</v>
      </c>
      <c r="SUA1" t="s">
        <v>14917</v>
      </c>
      <c r="SUB1" t="s">
        <v>14918</v>
      </c>
      <c r="SUC1" t="s">
        <v>14919</v>
      </c>
      <c r="SUD1" t="s">
        <v>14920</v>
      </c>
      <c r="SUE1" t="s">
        <v>14921</v>
      </c>
      <c r="SUF1" t="s">
        <v>14922</v>
      </c>
      <c r="SUG1" t="s">
        <v>14923</v>
      </c>
      <c r="SUH1" t="s">
        <v>14924</v>
      </c>
      <c r="SUI1" t="s">
        <v>14925</v>
      </c>
      <c r="SUJ1" t="s">
        <v>14926</v>
      </c>
      <c r="SUK1" t="s">
        <v>14927</v>
      </c>
      <c r="SUL1" t="s">
        <v>14928</v>
      </c>
      <c r="SUM1" t="s">
        <v>14929</v>
      </c>
      <c r="SUN1" t="s">
        <v>14930</v>
      </c>
      <c r="SUO1" t="s">
        <v>14931</v>
      </c>
      <c r="SUP1" t="s">
        <v>14932</v>
      </c>
      <c r="SUQ1" t="s">
        <v>14933</v>
      </c>
      <c r="SUR1" t="s">
        <v>14934</v>
      </c>
      <c r="SUS1" t="s">
        <v>14935</v>
      </c>
      <c r="SUT1" t="s">
        <v>14936</v>
      </c>
      <c r="SUU1" t="s">
        <v>14937</v>
      </c>
      <c r="SUV1" t="s">
        <v>14938</v>
      </c>
      <c r="SUW1" t="s">
        <v>14939</v>
      </c>
      <c r="SUX1" t="s">
        <v>14940</v>
      </c>
      <c r="SUY1" t="s">
        <v>14941</v>
      </c>
      <c r="SUZ1" t="s">
        <v>14942</v>
      </c>
      <c r="SVA1" t="s">
        <v>14943</v>
      </c>
      <c r="SVB1" t="s">
        <v>14944</v>
      </c>
      <c r="SVC1" t="s">
        <v>14945</v>
      </c>
      <c r="SVD1" t="s">
        <v>14946</v>
      </c>
      <c r="SVE1" t="s">
        <v>14947</v>
      </c>
      <c r="SVF1" t="s">
        <v>14948</v>
      </c>
      <c r="SVG1" t="s">
        <v>14949</v>
      </c>
      <c r="SVH1" t="s">
        <v>14950</v>
      </c>
      <c r="SVI1" t="s">
        <v>14951</v>
      </c>
      <c r="SVJ1" t="s">
        <v>14952</v>
      </c>
      <c r="SVK1" t="s">
        <v>14953</v>
      </c>
      <c r="SVL1" t="s">
        <v>14954</v>
      </c>
      <c r="SVM1" t="s">
        <v>14955</v>
      </c>
      <c r="SVN1" t="s">
        <v>14956</v>
      </c>
      <c r="SVO1" t="s">
        <v>14957</v>
      </c>
      <c r="SVP1" t="s">
        <v>14958</v>
      </c>
      <c r="SVQ1" t="s">
        <v>14959</v>
      </c>
      <c r="SVR1" t="s">
        <v>14960</v>
      </c>
      <c r="SVS1" t="s">
        <v>14961</v>
      </c>
      <c r="SVT1" t="s">
        <v>14962</v>
      </c>
      <c r="SVU1" t="s">
        <v>14963</v>
      </c>
      <c r="SVV1" t="s">
        <v>14964</v>
      </c>
      <c r="SVW1" t="s">
        <v>14965</v>
      </c>
      <c r="SVX1" t="s">
        <v>14966</v>
      </c>
      <c r="SVY1" t="s">
        <v>14967</v>
      </c>
      <c r="SVZ1" t="s">
        <v>14968</v>
      </c>
      <c r="SWA1" t="s">
        <v>14969</v>
      </c>
      <c r="SWB1" t="s">
        <v>14970</v>
      </c>
      <c r="SWC1" t="s">
        <v>14971</v>
      </c>
      <c r="SWD1" t="s">
        <v>14972</v>
      </c>
      <c r="SWE1" t="s">
        <v>14973</v>
      </c>
      <c r="SWF1" t="s">
        <v>14974</v>
      </c>
      <c r="SWG1" t="s">
        <v>14975</v>
      </c>
      <c r="SWH1" t="s">
        <v>14976</v>
      </c>
      <c r="SWI1" t="s">
        <v>14977</v>
      </c>
      <c r="SWJ1" t="s">
        <v>14978</v>
      </c>
      <c r="SWK1" t="s">
        <v>14979</v>
      </c>
      <c r="SWL1" t="s">
        <v>14980</v>
      </c>
      <c r="SWM1" t="s">
        <v>14981</v>
      </c>
      <c r="SWN1" t="s">
        <v>14982</v>
      </c>
      <c r="SWO1" t="s">
        <v>14983</v>
      </c>
      <c r="SWP1" t="s">
        <v>14984</v>
      </c>
      <c r="SWQ1" t="s">
        <v>14985</v>
      </c>
      <c r="SWR1" t="s">
        <v>14986</v>
      </c>
      <c r="SWS1" t="s">
        <v>14987</v>
      </c>
      <c r="SWT1" t="s">
        <v>14988</v>
      </c>
      <c r="SWU1" t="s">
        <v>14989</v>
      </c>
      <c r="SWV1" t="s">
        <v>14990</v>
      </c>
      <c r="SWW1" t="s">
        <v>14991</v>
      </c>
      <c r="SWX1" t="s">
        <v>14992</v>
      </c>
      <c r="SWY1" t="s">
        <v>14993</v>
      </c>
      <c r="SWZ1" t="s">
        <v>14994</v>
      </c>
      <c r="SXA1" t="s">
        <v>14995</v>
      </c>
      <c r="SXB1" t="s">
        <v>14996</v>
      </c>
      <c r="SXC1" t="s">
        <v>14997</v>
      </c>
      <c r="SXD1" t="s">
        <v>14998</v>
      </c>
      <c r="SXE1" t="s">
        <v>14999</v>
      </c>
      <c r="SXF1" t="s">
        <v>15000</v>
      </c>
      <c r="SXG1" t="s">
        <v>15001</v>
      </c>
      <c r="SXH1" t="s">
        <v>15002</v>
      </c>
      <c r="SXI1" t="s">
        <v>15003</v>
      </c>
      <c r="SXJ1" t="s">
        <v>15004</v>
      </c>
      <c r="SXK1" t="s">
        <v>15005</v>
      </c>
      <c r="SXL1" t="s">
        <v>15006</v>
      </c>
      <c r="SXM1" t="s">
        <v>15007</v>
      </c>
      <c r="SXN1" t="s">
        <v>15008</v>
      </c>
      <c r="SXO1" t="s">
        <v>15009</v>
      </c>
      <c r="SXP1" t="s">
        <v>15010</v>
      </c>
      <c r="SXQ1" t="s">
        <v>15011</v>
      </c>
      <c r="SXR1" t="s">
        <v>15012</v>
      </c>
      <c r="SXS1" t="s">
        <v>15013</v>
      </c>
      <c r="SXT1" t="s">
        <v>15014</v>
      </c>
      <c r="SXU1" t="s">
        <v>15015</v>
      </c>
      <c r="SXV1" t="s">
        <v>15016</v>
      </c>
      <c r="SXW1" t="s">
        <v>15017</v>
      </c>
      <c r="SXX1" t="s">
        <v>15018</v>
      </c>
      <c r="SXY1" t="s">
        <v>15019</v>
      </c>
      <c r="SXZ1" t="s">
        <v>15020</v>
      </c>
      <c r="SYA1" t="s">
        <v>15021</v>
      </c>
      <c r="SYB1" t="s">
        <v>15022</v>
      </c>
      <c r="SYC1" t="s">
        <v>15023</v>
      </c>
      <c r="SYD1" t="s">
        <v>15024</v>
      </c>
      <c r="SYE1" t="s">
        <v>15025</v>
      </c>
      <c r="SYF1" t="s">
        <v>15026</v>
      </c>
      <c r="SYG1" t="s">
        <v>15027</v>
      </c>
      <c r="SYH1" t="s">
        <v>15028</v>
      </c>
      <c r="SYI1" t="s">
        <v>15029</v>
      </c>
      <c r="SYJ1" t="s">
        <v>15030</v>
      </c>
      <c r="SYK1" t="s">
        <v>15031</v>
      </c>
      <c r="SYL1" t="s">
        <v>15032</v>
      </c>
      <c r="SYM1" t="s">
        <v>15033</v>
      </c>
      <c r="SYN1" t="s">
        <v>15034</v>
      </c>
      <c r="SYO1" t="s">
        <v>15035</v>
      </c>
      <c r="SYP1" t="s">
        <v>15036</v>
      </c>
      <c r="SYQ1" t="s">
        <v>15037</v>
      </c>
      <c r="SYR1" t="s">
        <v>15038</v>
      </c>
      <c r="SYS1" t="s">
        <v>15039</v>
      </c>
      <c r="SYT1" t="s">
        <v>15040</v>
      </c>
      <c r="SYU1" t="s">
        <v>15041</v>
      </c>
      <c r="SYV1" t="s">
        <v>15042</v>
      </c>
      <c r="SYW1" t="s">
        <v>15043</v>
      </c>
      <c r="SYX1" t="s">
        <v>15044</v>
      </c>
      <c r="SYY1" t="s">
        <v>15045</v>
      </c>
      <c r="SYZ1" t="s">
        <v>15046</v>
      </c>
      <c r="SZA1" t="s">
        <v>15047</v>
      </c>
      <c r="SZB1" t="s">
        <v>15048</v>
      </c>
      <c r="SZC1" t="s">
        <v>15049</v>
      </c>
      <c r="SZD1" t="s">
        <v>15050</v>
      </c>
      <c r="SZE1" t="s">
        <v>15051</v>
      </c>
      <c r="SZF1" t="s">
        <v>15052</v>
      </c>
      <c r="SZG1" t="s">
        <v>15053</v>
      </c>
      <c r="SZH1" t="s">
        <v>15054</v>
      </c>
      <c r="SZI1" t="s">
        <v>15055</v>
      </c>
      <c r="SZJ1" t="s">
        <v>15056</v>
      </c>
      <c r="SZK1" t="s">
        <v>15057</v>
      </c>
      <c r="SZL1" t="s">
        <v>15058</v>
      </c>
      <c r="SZM1" t="s">
        <v>15059</v>
      </c>
      <c r="SZN1" t="s">
        <v>15060</v>
      </c>
      <c r="SZO1" t="s">
        <v>15061</v>
      </c>
      <c r="SZP1" t="s">
        <v>15062</v>
      </c>
      <c r="SZQ1" t="s">
        <v>15063</v>
      </c>
      <c r="SZR1" t="s">
        <v>15064</v>
      </c>
      <c r="SZS1" t="s">
        <v>15065</v>
      </c>
      <c r="SZT1" t="s">
        <v>15066</v>
      </c>
      <c r="SZU1" t="s">
        <v>15067</v>
      </c>
      <c r="SZV1" t="s">
        <v>15068</v>
      </c>
      <c r="SZW1" t="s">
        <v>15069</v>
      </c>
      <c r="SZX1" t="s">
        <v>15070</v>
      </c>
      <c r="SZY1" t="s">
        <v>15071</v>
      </c>
      <c r="SZZ1" t="s">
        <v>15072</v>
      </c>
      <c r="TAA1" t="s">
        <v>15073</v>
      </c>
      <c r="TAB1" t="s">
        <v>15074</v>
      </c>
      <c r="TAC1" t="s">
        <v>15075</v>
      </c>
      <c r="TAD1" t="s">
        <v>15076</v>
      </c>
      <c r="TAE1" t="s">
        <v>15077</v>
      </c>
      <c r="TAF1" t="s">
        <v>15078</v>
      </c>
      <c r="TAG1" t="s">
        <v>15079</v>
      </c>
      <c r="TAH1" t="s">
        <v>15080</v>
      </c>
      <c r="TAI1" t="s">
        <v>15081</v>
      </c>
      <c r="TAJ1" t="s">
        <v>15082</v>
      </c>
      <c r="TAK1" t="s">
        <v>15083</v>
      </c>
      <c r="TAL1" t="s">
        <v>15084</v>
      </c>
      <c r="TAM1" t="s">
        <v>15085</v>
      </c>
      <c r="TAN1" t="s">
        <v>15086</v>
      </c>
      <c r="TAO1" t="s">
        <v>15087</v>
      </c>
      <c r="TAP1" t="s">
        <v>15088</v>
      </c>
      <c r="TAQ1" t="s">
        <v>15089</v>
      </c>
      <c r="TAR1" t="s">
        <v>15090</v>
      </c>
      <c r="TAS1" t="s">
        <v>15091</v>
      </c>
      <c r="TAT1" t="s">
        <v>15092</v>
      </c>
      <c r="TAU1" t="s">
        <v>15093</v>
      </c>
      <c r="TAV1" t="s">
        <v>15094</v>
      </c>
      <c r="TAW1" t="s">
        <v>15095</v>
      </c>
      <c r="TAX1" t="s">
        <v>15096</v>
      </c>
      <c r="TAY1" t="s">
        <v>15097</v>
      </c>
      <c r="TAZ1" t="s">
        <v>15098</v>
      </c>
      <c r="TBA1" t="s">
        <v>15099</v>
      </c>
      <c r="TBB1" t="s">
        <v>15100</v>
      </c>
      <c r="TBC1" t="s">
        <v>15101</v>
      </c>
      <c r="TBD1" t="s">
        <v>15102</v>
      </c>
      <c r="TBE1" t="s">
        <v>15103</v>
      </c>
      <c r="TBF1" t="s">
        <v>15104</v>
      </c>
      <c r="TBG1" t="s">
        <v>15105</v>
      </c>
      <c r="TBH1" t="s">
        <v>15106</v>
      </c>
      <c r="TBI1" t="s">
        <v>15107</v>
      </c>
      <c r="TBJ1" t="s">
        <v>15108</v>
      </c>
      <c r="TBK1" t="s">
        <v>15109</v>
      </c>
      <c r="TBL1" t="s">
        <v>15110</v>
      </c>
      <c r="TBM1" t="s">
        <v>15111</v>
      </c>
      <c r="TBN1" t="s">
        <v>15112</v>
      </c>
      <c r="TBO1" t="s">
        <v>15113</v>
      </c>
      <c r="TBP1" t="s">
        <v>15114</v>
      </c>
      <c r="TBQ1" t="s">
        <v>15115</v>
      </c>
      <c r="TBR1" t="s">
        <v>15116</v>
      </c>
      <c r="TBS1" t="s">
        <v>15117</v>
      </c>
      <c r="TBT1" t="s">
        <v>15118</v>
      </c>
      <c r="TBU1" t="s">
        <v>15119</v>
      </c>
      <c r="TBV1" t="s">
        <v>15120</v>
      </c>
      <c r="TBW1" t="s">
        <v>15121</v>
      </c>
      <c r="TBX1" t="s">
        <v>15122</v>
      </c>
      <c r="TBY1" t="s">
        <v>15123</v>
      </c>
      <c r="TBZ1" t="s">
        <v>15124</v>
      </c>
      <c r="TCA1" t="s">
        <v>15125</v>
      </c>
      <c r="TCB1" t="s">
        <v>15126</v>
      </c>
      <c r="TCC1" t="s">
        <v>15127</v>
      </c>
      <c r="TCD1" t="s">
        <v>15128</v>
      </c>
      <c r="TCE1" t="s">
        <v>15129</v>
      </c>
      <c r="TCF1" t="s">
        <v>15130</v>
      </c>
      <c r="TCG1" t="s">
        <v>15131</v>
      </c>
      <c r="TCH1" t="s">
        <v>15132</v>
      </c>
      <c r="TCI1" t="s">
        <v>15133</v>
      </c>
      <c r="TCJ1" t="s">
        <v>15134</v>
      </c>
      <c r="TCK1" t="s">
        <v>15135</v>
      </c>
      <c r="TCL1" t="s">
        <v>15136</v>
      </c>
      <c r="TCM1" t="s">
        <v>15137</v>
      </c>
      <c r="TCN1" t="s">
        <v>15138</v>
      </c>
      <c r="TCO1" t="s">
        <v>15139</v>
      </c>
      <c r="TCP1" t="s">
        <v>15140</v>
      </c>
      <c r="TCQ1" t="s">
        <v>15141</v>
      </c>
      <c r="TCR1" t="s">
        <v>15142</v>
      </c>
      <c r="TCS1" t="s">
        <v>15143</v>
      </c>
      <c r="TCT1" t="s">
        <v>15144</v>
      </c>
      <c r="TCU1" t="s">
        <v>15145</v>
      </c>
      <c r="TCV1" t="s">
        <v>15146</v>
      </c>
      <c r="TCW1" t="s">
        <v>15147</v>
      </c>
      <c r="TCX1" t="s">
        <v>15148</v>
      </c>
      <c r="TCY1" t="s">
        <v>15149</v>
      </c>
      <c r="TCZ1" t="s">
        <v>15150</v>
      </c>
      <c r="TDA1" t="s">
        <v>15151</v>
      </c>
      <c r="TDB1" t="s">
        <v>15152</v>
      </c>
      <c r="TDC1" t="s">
        <v>15153</v>
      </c>
      <c r="TDD1" t="s">
        <v>15154</v>
      </c>
      <c r="TDE1" t="s">
        <v>15155</v>
      </c>
      <c r="TDF1" t="s">
        <v>15156</v>
      </c>
      <c r="TDG1" t="s">
        <v>15157</v>
      </c>
      <c r="TDH1" t="s">
        <v>15158</v>
      </c>
      <c r="TDI1" t="s">
        <v>15159</v>
      </c>
      <c r="TDJ1" t="s">
        <v>15160</v>
      </c>
      <c r="TDK1" t="s">
        <v>15161</v>
      </c>
      <c r="TDL1" t="s">
        <v>15162</v>
      </c>
      <c r="TDM1" t="s">
        <v>15163</v>
      </c>
      <c r="TDN1" t="s">
        <v>15164</v>
      </c>
      <c r="TDO1" t="s">
        <v>15165</v>
      </c>
      <c r="TDP1" t="s">
        <v>15166</v>
      </c>
      <c r="TDQ1" t="s">
        <v>15167</v>
      </c>
      <c r="TDR1" t="s">
        <v>15168</v>
      </c>
      <c r="TDS1" t="s">
        <v>15169</v>
      </c>
      <c r="TDT1" t="s">
        <v>15170</v>
      </c>
      <c r="TDU1" t="s">
        <v>15171</v>
      </c>
      <c r="TDV1" t="s">
        <v>15172</v>
      </c>
      <c r="TDW1" t="s">
        <v>15173</v>
      </c>
      <c r="TDX1" t="s">
        <v>15174</v>
      </c>
      <c r="TDY1" t="s">
        <v>15175</v>
      </c>
      <c r="TDZ1" t="s">
        <v>15176</v>
      </c>
      <c r="TEA1" t="s">
        <v>15177</v>
      </c>
      <c r="TEB1" t="s">
        <v>15178</v>
      </c>
      <c r="TEC1" t="s">
        <v>15179</v>
      </c>
      <c r="TED1" t="s">
        <v>15180</v>
      </c>
      <c r="TEE1" t="s">
        <v>15181</v>
      </c>
      <c r="TEF1" t="s">
        <v>15182</v>
      </c>
      <c r="TEG1" t="s">
        <v>15183</v>
      </c>
      <c r="TEH1" t="s">
        <v>15184</v>
      </c>
      <c r="TEI1" t="s">
        <v>15185</v>
      </c>
      <c r="TEJ1" t="s">
        <v>15186</v>
      </c>
      <c r="TEK1" t="s">
        <v>15187</v>
      </c>
      <c r="TEL1" t="s">
        <v>15188</v>
      </c>
      <c r="TEM1" t="s">
        <v>15189</v>
      </c>
      <c r="TEN1" t="s">
        <v>15190</v>
      </c>
      <c r="TEO1" t="s">
        <v>15191</v>
      </c>
      <c r="TEP1" t="s">
        <v>15192</v>
      </c>
      <c r="TEQ1" t="s">
        <v>15193</v>
      </c>
      <c r="TER1" t="s">
        <v>15194</v>
      </c>
      <c r="TES1" t="s">
        <v>15195</v>
      </c>
      <c r="TET1" t="s">
        <v>15196</v>
      </c>
      <c r="TEU1" t="s">
        <v>15197</v>
      </c>
      <c r="TEV1" t="s">
        <v>15198</v>
      </c>
      <c r="TEW1" t="s">
        <v>15199</v>
      </c>
      <c r="TEX1" t="s">
        <v>15200</v>
      </c>
      <c r="TEY1" t="s">
        <v>15201</v>
      </c>
      <c r="TEZ1" t="s">
        <v>15202</v>
      </c>
      <c r="TFA1" t="s">
        <v>15203</v>
      </c>
      <c r="TFB1" t="s">
        <v>15204</v>
      </c>
      <c r="TFC1" t="s">
        <v>15205</v>
      </c>
      <c r="TFD1" t="s">
        <v>15206</v>
      </c>
      <c r="TFE1" t="s">
        <v>15207</v>
      </c>
      <c r="TFF1" t="s">
        <v>15208</v>
      </c>
      <c r="TFG1" t="s">
        <v>15209</v>
      </c>
      <c r="TFH1" t="s">
        <v>15210</v>
      </c>
      <c r="TFI1" t="s">
        <v>15211</v>
      </c>
      <c r="TFJ1" t="s">
        <v>15212</v>
      </c>
      <c r="TFK1" t="s">
        <v>15213</v>
      </c>
      <c r="TFL1" t="s">
        <v>15214</v>
      </c>
      <c r="TFM1" t="s">
        <v>15215</v>
      </c>
      <c r="TFN1" t="s">
        <v>15216</v>
      </c>
      <c r="TFO1" t="s">
        <v>15217</v>
      </c>
      <c r="TFP1" t="s">
        <v>15218</v>
      </c>
      <c r="TFQ1" t="s">
        <v>15219</v>
      </c>
      <c r="TFR1" t="s">
        <v>15220</v>
      </c>
      <c r="TFS1" t="s">
        <v>15221</v>
      </c>
      <c r="TFT1" t="s">
        <v>15222</v>
      </c>
      <c r="TFU1" t="s">
        <v>15223</v>
      </c>
      <c r="TFV1" t="s">
        <v>15224</v>
      </c>
      <c r="TFW1" t="s">
        <v>15225</v>
      </c>
      <c r="TFX1" t="s">
        <v>15226</v>
      </c>
      <c r="TFY1" t="s">
        <v>15227</v>
      </c>
      <c r="TFZ1" t="s">
        <v>15228</v>
      </c>
      <c r="TGA1" t="s">
        <v>15229</v>
      </c>
      <c r="TGB1" t="s">
        <v>15230</v>
      </c>
      <c r="TGC1" t="s">
        <v>15231</v>
      </c>
      <c r="TGD1" t="s">
        <v>15232</v>
      </c>
      <c r="TGE1" t="s">
        <v>15233</v>
      </c>
      <c r="TGF1" t="s">
        <v>15234</v>
      </c>
      <c r="TGG1" t="s">
        <v>15235</v>
      </c>
      <c r="TGH1" t="s">
        <v>15236</v>
      </c>
      <c r="TGI1" t="s">
        <v>15237</v>
      </c>
      <c r="TGJ1" t="s">
        <v>15238</v>
      </c>
      <c r="TGK1" t="s">
        <v>15239</v>
      </c>
      <c r="TGL1" t="s">
        <v>15240</v>
      </c>
      <c r="TGM1" t="s">
        <v>15241</v>
      </c>
      <c r="TGN1" t="s">
        <v>15242</v>
      </c>
      <c r="TGO1" t="s">
        <v>15243</v>
      </c>
      <c r="TGP1" t="s">
        <v>15244</v>
      </c>
      <c r="TGQ1" t="s">
        <v>15245</v>
      </c>
      <c r="TGR1" t="s">
        <v>15246</v>
      </c>
      <c r="TGS1" t="s">
        <v>15247</v>
      </c>
      <c r="TGT1" t="s">
        <v>15248</v>
      </c>
      <c r="TGU1" t="s">
        <v>15249</v>
      </c>
      <c r="TGV1" t="s">
        <v>15250</v>
      </c>
      <c r="TGW1" t="s">
        <v>15251</v>
      </c>
      <c r="TGX1" t="s">
        <v>15252</v>
      </c>
      <c r="TGY1" t="s">
        <v>15253</v>
      </c>
      <c r="TGZ1" t="s">
        <v>15254</v>
      </c>
      <c r="THA1" t="s">
        <v>15255</v>
      </c>
      <c r="THB1" t="s">
        <v>15256</v>
      </c>
      <c r="THC1" t="s">
        <v>15257</v>
      </c>
      <c r="THD1" t="s">
        <v>15258</v>
      </c>
      <c r="THE1" t="s">
        <v>15259</v>
      </c>
      <c r="THF1" t="s">
        <v>15260</v>
      </c>
      <c r="THG1" t="s">
        <v>15261</v>
      </c>
      <c r="THH1" t="s">
        <v>15262</v>
      </c>
      <c r="THI1" t="s">
        <v>15263</v>
      </c>
      <c r="THJ1" t="s">
        <v>15264</v>
      </c>
      <c r="THK1" t="s">
        <v>15265</v>
      </c>
      <c r="THL1" t="s">
        <v>15266</v>
      </c>
      <c r="THM1" t="s">
        <v>15267</v>
      </c>
      <c r="THN1" t="s">
        <v>15268</v>
      </c>
      <c r="THO1" t="s">
        <v>15269</v>
      </c>
      <c r="THP1" t="s">
        <v>15270</v>
      </c>
      <c r="THQ1" t="s">
        <v>15271</v>
      </c>
      <c r="THR1" t="s">
        <v>15272</v>
      </c>
      <c r="THS1" t="s">
        <v>15273</v>
      </c>
      <c r="THT1" t="s">
        <v>15274</v>
      </c>
      <c r="THU1" t="s">
        <v>15275</v>
      </c>
      <c r="THV1" t="s">
        <v>15276</v>
      </c>
      <c r="THW1" t="s">
        <v>15277</v>
      </c>
      <c r="THX1" t="s">
        <v>15278</v>
      </c>
      <c r="THY1" t="s">
        <v>15279</v>
      </c>
      <c r="THZ1" t="s">
        <v>15280</v>
      </c>
      <c r="TIA1" t="s">
        <v>15281</v>
      </c>
      <c r="TIB1" t="s">
        <v>15282</v>
      </c>
      <c r="TIC1" t="s">
        <v>15283</v>
      </c>
      <c r="TID1" t="s">
        <v>15284</v>
      </c>
      <c r="TIE1" t="s">
        <v>15285</v>
      </c>
      <c r="TIF1" t="s">
        <v>15286</v>
      </c>
      <c r="TIG1" t="s">
        <v>15287</v>
      </c>
      <c r="TIH1" t="s">
        <v>15288</v>
      </c>
      <c r="TII1" t="s">
        <v>15289</v>
      </c>
      <c r="TIJ1" t="s">
        <v>15290</v>
      </c>
      <c r="TIK1" t="s">
        <v>15291</v>
      </c>
      <c r="TIL1" t="s">
        <v>15292</v>
      </c>
      <c r="TIM1" t="s">
        <v>15293</v>
      </c>
      <c r="TIN1" t="s">
        <v>15294</v>
      </c>
      <c r="TIO1" t="s">
        <v>15295</v>
      </c>
      <c r="TIP1" t="s">
        <v>15296</v>
      </c>
      <c r="TIQ1" t="s">
        <v>15297</v>
      </c>
      <c r="TIR1" t="s">
        <v>15298</v>
      </c>
      <c r="TIS1" t="s">
        <v>15299</v>
      </c>
      <c r="TIT1" t="s">
        <v>15300</v>
      </c>
      <c r="TIU1" t="s">
        <v>15301</v>
      </c>
      <c r="TIV1" t="s">
        <v>15302</v>
      </c>
      <c r="TIW1" t="s">
        <v>15303</v>
      </c>
      <c r="TIX1" t="s">
        <v>15304</v>
      </c>
      <c r="TIY1" t="s">
        <v>15305</v>
      </c>
      <c r="TIZ1" t="s">
        <v>15306</v>
      </c>
      <c r="TJA1" t="s">
        <v>15307</v>
      </c>
      <c r="TJB1" t="s">
        <v>15308</v>
      </c>
      <c r="TJC1" t="s">
        <v>15309</v>
      </c>
      <c r="TJD1" t="s">
        <v>15310</v>
      </c>
      <c r="TJE1" t="s">
        <v>15311</v>
      </c>
      <c r="TJF1" t="s">
        <v>15312</v>
      </c>
      <c r="TJG1" t="s">
        <v>15313</v>
      </c>
      <c r="TJH1" t="s">
        <v>15314</v>
      </c>
      <c r="TJI1" t="s">
        <v>15315</v>
      </c>
      <c r="TJJ1" t="s">
        <v>15316</v>
      </c>
      <c r="TJK1" t="s">
        <v>15317</v>
      </c>
      <c r="TJL1" t="s">
        <v>15318</v>
      </c>
      <c r="TJM1" t="s">
        <v>15319</v>
      </c>
      <c r="TJN1" t="s">
        <v>15320</v>
      </c>
      <c r="TJO1" t="s">
        <v>15321</v>
      </c>
      <c r="TJP1" t="s">
        <v>15322</v>
      </c>
      <c r="TJQ1" t="s">
        <v>15323</v>
      </c>
      <c r="TJR1" t="s">
        <v>15324</v>
      </c>
      <c r="TJS1" t="s">
        <v>15325</v>
      </c>
      <c r="TJT1" t="s">
        <v>15326</v>
      </c>
      <c r="TJU1" t="s">
        <v>15327</v>
      </c>
      <c r="TJV1" t="s">
        <v>15328</v>
      </c>
      <c r="TJW1" t="s">
        <v>15329</v>
      </c>
      <c r="TJX1" t="s">
        <v>15330</v>
      </c>
      <c r="TJY1" t="s">
        <v>15331</v>
      </c>
      <c r="TJZ1" t="s">
        <v>15332</v>
      </c>
      <c r="TKA1" t="s">
        <v>15333</v>
      </c>
      <c r="TKB1" t="s">
        <v>15334</v>
      </c>
      <c r="TKC1" t="s">
        <v>15335</v>
      </c>
      <c r="TKD1" t="s">
        <v>15336</v>
      </c>
      <c r="TKE1" t="s">
        <v>15337</v>
      </c>
      <c r="TKF1" t="s">
        <v>15338</v>
      </c>
      <c r="TKG1" t="s">
        <v>15339</v>
      </c>
      <c r="TKH1" t="s">
        <v>15340</v>
      </c>
      <c r="TKI1" t="s">
        <v>15341</v>
      </c>
      <c r="TKJ1" t="s">
        <v>15342</v>
      </c>
      <c r="TKK1" t="s">
        <v>15343</v>
      </c>
      <c r="TKL1" t="s">
        <v>15344</v>
      </c>
      <c r="TKM1" t="s">
        <v>15345</v>
      </c>
      <c r="TKN1" t="s">
        <v>15346</v>
      </c>
      <c r="TKO1" t="s">
        <v>15347</v>
      </c>
      <c r="TKP1" t="s">
        <v>15348</v>
      </c>
      <c r="TKQ1" t="s">
        <v>15349</v>
      </c>
      <c r="TKR1" t="s">
        <v>15350</v>
      </c>
      <c r="TKS1" t="s">
        <v>15351</v>
      </c>
      <c r="TKT1" t="s">
        <v>15352</v>
      </c>
      <c r="TKU1" t="s">
        <v>15353</v>
      </c>
      <c r="TKV1" t="s">
        <v>15354</v>
      </c>
      <c r="TKW1" t="s">
        <v>15355</v>
      </c>
      <c r="TKX1" t="s">
        <v>15356</v>
      </c>
      <c r="TKY1" t="s">
        <v>15357</v>
      </c>
      <c r="TKZ1" t="s">
        <v>15358</v>
      </c>
      <c r="TLA1" t="s">
        <v>15359</v>
      </c>
      <c r="TLB1" t="s">
        <v>15360</v>
      </c>
      <c r="TLC1" t="s">
        <v>15361</v>
      </c>
      <c r="TLD1" t="s">
        <v>15362</v>
      </c>
      <c r="TLE1" t="s">
        <v>15363</v>
      </c>
      <c r="TLF1" t="s">
        <v>15364</v>
      </c>
      <c r="TLG1" t="s">
        <v>15365</v>
      </c>
      <c r="TLH1" t="s">
        <v>15366</v>
      </c>
      <c r="TLI1" t="s">
        <v>15367</v>
      </c>
      <c r="TLJ1" t="s">
        <v>15368</v>
      </c>
      <c r="TLK1" t="s">
        <v>15369</v>
      </c>
      <c r="TLL1" t="s">
        <v>15370</v>
      </c>
      <c r="TLM1" t="s">
        <v>15371</v>
      </c>
      <c r="TLN1" t="s">
        <v>15372</v>
      </c>
      <c r="TLO1" t="s">
        <v>15373</v>
      </c>
      <c r="TLP1" t="s">
        <v>15374</v>
      </c>
      <c r="TLQ1" t="s">
        <v>15375</v>
      </c>
      <c r="TLR1" t="s">
        <v>15376</v>
      </c>
      <c r="TLS1" t="s">
        <v>15377</v>
      </c>
      <c r="TLT1" t="s">
        <v>15378</v>
      </c>
      <c r="TLU1" t="s">
        <v>15379</v>
      </c>
      <c r="TLV1" t="s">
        <v>15380</v>
      </c>
      <c r="TLW1" t="s">
        <v>15381</v>
      </c>
      <c r="TLX1" t="s">
        <v>15382</v>
      </c>
      <c r="TLY1" t="s">
        <v>15383</v>
      </c>
      <c r="TLZ1" t="s">
        <v>15384</v>
      </c>
      <c r="TMA1" t="s">
        <v>15385</v>
      </c>
      <c r="TMB1" t="s">
        <v>15386</v>
      </c>
      <c r="TMC1" t="s">
        <v>15387</v>
      </c>
      <c r="TMD1" t="s">
        <v>15388</v>
      </c>
      <c r="TME1" t="s">
        <v>15389</v>
      </c>
      <c r="TMF1" t="s">
        <v>15390</v>
      </c>
      <c r="TMG1" t="s">
        <v>15391</v>
      </c>
      <c r="TMH1" t="s">
        <v>15392</v>
      </c>
      <c r="TMI1" t="s">
        <v>15393</v>
      </c>
      <c r="TMJ1" t="s">
        <v>15394</v>
      </c>
      <c r="TMK1" t="s">
        <v>15395</v>
      </c>
      <c r="TML1" t="s">
        <v>15396</v>
      </c>
      <c r="TMM1" t="s">
        <v>15397</v>
      </c>
      <c r="TMN1" t="s">
        <v>15398</v>
      </c>
      <c r="TMO1" t="s">
        <v>15399</v>
      </c>
      <c r="TMP1" t="s">
        <v>15400</v>
      </c>
      <c r="TMQ1" t="s">
        <v>15401</v>
      </c>
      <c r="TMR1" t="s">
        <v>15402</v>
      </c>
      <c r="TMS1" t="s">
        <v>15403</v>
      </c>
      <c r="TMT1" t="s">
        <v>15404</v>
      </c>
      <c r="TMU1" t="s">
        <v>15405</v>
      </c>
      <c r="TMV1" t="s">
        <v>15406</v>
      </c>
      <c r="TMW1" t="s">
        <v>15407</v>
      </c>
      <c r="TMX1" t="s">
        <v>15408</v>
      </c>
      <c r="TMY1" t="s">
        <v>15409</v>
      </c>
      <c r="TMZ1" t="s">
        <v>15410</v>
      </c>
      <c r="TNA1" t="s">
        <v>15411</v>
      </c>
      <c r="TNB1" t="s">
        <v>15412</v>
      </c>
      <c r="TNC1" t="s">
        <v>15413</v>
      </c>
      <c r="TND1" t="s">
        <v>15414</v>
      </c>
      <c r="TNE1" t="s">
        <v>15415</v>
      </c>
      <c r="TNF1" t="s">
        <v>15416</v>
      </c>
      <c r="TNG1" t="s">
        <v>15417</v>
      </c>
      <c r="TNH1" t="s">
        <v>15418</v>
      </c>
      <c r="TNI1" t="s">
        <v>15419</v>
      </c>
      <c r="TNJ1" t="s">
        <v>15420</v>
      </c>
      <c r="TNK1" t="s">
        <v>15421</v>
      </c>
      <c r="TNL1" t="s">
        <v>15422</v>
      </c>
      <c r="TNM1" t="s">
        <v>15423</v>
      </c>
      <c r="TNN1" t="s">
        <v>15424</v>
      </c>
      <c r="TNO1" t="s">
        <v>15425</v>
      </c>
      <c r="TNP1" t="s">
        <v>15426</v>
      </c>
      <c r="TNQ1" t="s">
        <v>15427</v>
      </c>
      <c r="TNR1" t="s">
        <v>15428</v>
      </c>
      <c r="TNS1" t="s">
        <v>15429</v>
      </c>
      <c r="TNT1" t="s">
        <v>15430</v>
      </c>
      <c r="TNU1" t="s">
        <v>15431</v>
      </c>
      <c r="TNV1" t="s">
        <v>15432</v>
      </c>
      <c r="TNW1" t="s">
        <v>15433</v>
      </c>
      <c r="TNX1" t="s">
        <v>15434</v>
      </c>
      <c r="TNY1" t="s">
        <v>15435</v>
      </c>
      <c r="TNZ1" t="s">
        <v>15436</v>
      </c>
      <c r="TOA1" t="s">
        <v>15437</v>
      </c>
      <c r="TOB1" t="s">
        <v>15438</v>
      </c>
      <c r="TOC1" t="s">
        <v>15439</v>
      </c>
      <c r="TOD1" t="s">
        <v>15440</v>
      </c>
      <c r="TOE1" t="s">
        <v>15441</v>
      </c>
      <c r="TOF1" t="s">
        <v>15442</v>
      </c>
      <c r="TOG1" t="s">
        <v>15443</v>
      </c>
      <c r="TOH1" t="s">
        <v>15444</v>
      </c>
      <c r="TOI1" t="s">
        <v>15445</v>
      </c>
      <c r="TOJ1" t="s">
        <v>15446</v>
      </c>
      <c r="TOK1" t="s">
        <v>15447</v>
      </c>
      <c r="TOL1" t="s">
        <v>15448</v>
      </c>
      <c r="TOM1" t="s">
        <v>15449</v>
      </c>
      <c r="TON1" t="s">
        <v>15450</v>
      </c>
      <c r="TOO1" t="s">
        <v>15451</v>
      </c>
      <c r="TOP1" t="s">
        <v>15452</v>
      </c>
      <c r="TOQ1" t="s">
        <v>15453</v>
      </c>
      <c r="TOR1" t="s">
        <v>15454</v>
      </c>
      <c r="TOS1" t="s">
        <v>15455</v>
      </c>
      <c r="TOT1" t="s">
        <v>15456</v>
      </c>
      <c r="TOU1" t="s">
        <v>15457</v>
      </c>
      <c r="TOV1" t="s">
        <v>15458</v>
      </c>
      <c r="TOW1" t="s">
        <v>15459</v>
      </c>
      <c r="TOX1" t="s">
        <v>15460</v>
      </c>
      <c r="TOY1" t="s">
        <v>15461</v>
      </c>
      <c r="TOZ1" t="s">
        <v>15462</v>
      </c>
      <c r="TPA1" t="s">
        <v>15463</v>
      </c>
      <c r="TPB1" t="s">
        <v>15464</v>
      </c>
      <c r="TPC1" t="s">
        <v>15465</v>
      </c>
      <c r="TPD1" t="s">
        <v>15466</v>
      </c>
      <c r="TPE1" t="s">
        <v>15467</v>
      </c>
      <c r="TPF1" t="s">
        <v>15468</v>
      </c>
      <c r="TPG1" t="s">
        <v>15469</v>
      </c>
      <c r="TPH1" t="s">
        <v>15470</v>
      </c>
      <c r="TPI1" t="s">
        <v>15471</v>
      </c>
      <c r="TPJ1" t="s">
        <v>15472</v>
      </c>
      <c r="TPK1" t="s">
        <v>15473</v>
      </c>
      <c r="TPL1" t="s">
        <v>15474</v>
      </c>
      <c r="TPM1" t="s">
        <v>15475</v>
      </c>
      <c r="TPN1" t="s">
        <v>15476</v>
      </c>
      <c r="TPO1" t="s">
        <v>15477</v>
      </c>
      <c r="TPP1" t="s">
        <v>15478</v>
      </c>
      <c r="TPQ1" t="s">
        <v>15479</v>
      </c>
      <c r="TPR1" t="s">
        <v>15480</v>
      </c>
      <c r="TPS1" t="s">
        <v>15481</v>
      </c>
      <c r="TPT1" t="s">
        <v>15482</v>
      </c>
      <c r="TPU1" t="s">
        <v>15483</v>
      </c>
      <c r="TPV1" t="s">
        <v>15484</v>
      </c>
      <c r="TPW1" t="s">
        <v>15485</v>
      </c>
      <c r="TPX1" t="s">
        <v>15486</v>
      </c>
      <c r="TPY1" t="s">
        <v>15487</v>
      </c>
      <c r="TPZ1" t="s">
        <v>15488</v>
      </c>
      <c r="TQA1" t="s">
        <v>15489</v>
      </c>
      <c r="TQB1" t="s">
        <v>15490</v>
      </c>
      <c r="TQC1" t="s">
        <v>15491</v>
      </c>
      <c r="TQD1" t="s">
        <v>15492</v>
      </c>
      <c r="TQE1" t="s">
        <v>15493</v>
      </c>
      <c r="TQF1" t="s">
        <v>15494</v>
      </c>
      <c r="TQG1" t="s">
        <v>15495</v>
      </c>
      <c r="TQH1" t="s">
        <v>15496</v>
      </c>
      <c r="TQI1" t="s">
        <v>15497</v>
      </c>
      <c r="TQJ1" t="s">
        <v>15498</v>
      </c>
      <c r="TQK1" t="s">
        <v>15499</v>
      </c>
      <c r="TQL1" t="s">
        <v>15500</v>
      </c>
      <c r="TQM1" t="s">
        <v>15501</v>
      </c>
      <c r="TQN1" t="s">
        <v>15502</v>
      </c>
      <c r="TQO1" t="s">
        <v>15503</v>
      </c>
      <c r="TQP1" t="s">
        <v>15504</v>
      </c>
      <c r="TQQ1" t="s">
        <v>15505</v>
      </c>
      <c r="TQR1" t="s">
        <v>15506</v>
      </c>
      <c r="TQS1" t="s">
        <v>15507</v>
      </c>
      <c r="TQT1" t="s">
        <v>15508</v>
      </c>
      <c r="TQU1" t="s">
        <v>15509</v>
      </c>
      <c r="TQV1" t="s">
        <v>15510</v>
      </c>
      <c r="TQW1" t="s">
        <v>15511</v>
      </c>
      <c r="TQX1" t="s">
        <v>15512</v>
      </c>
      <c r="TQY1" t="s">
        <v>15513</v>
      </c>
      <c r="TQZ1" t="s">
        <v>15514</v>
      </c>
      <c r="TRA1" t="s">
        <v>15515</v>
      </c>
      <c r="TRB1" t="s">
        <v>15516</v>
      </c>
      <c r="TRC1" t="s">
        <v>15517</v>
      </c>
      <c r="TRD1" t="s">
        <v>15518</v>
      </c>
      <c r="TRE1" t="s">
        <v>15519</v>
      </c>
      <c r="TRF1" t="s">
        <v>15520</v>
      </c>
      <c r="TRG1" t="s">
        <v>15521</v>
      </c>
      <c r="TRH1" t="s">
        <v>15522</v>
      </c>
      <c r="TRI1" t="s">
        <v>15523</v>
      </c>
      <c r="TRJ1" t="s">
        <v>15524</v>
      </c>
      <c r="TRK1" t="s">
        <v>15525</v>
      </c>
      <c r="TRL1" t="s">
        <v>15526</v>
      </c>
      <c r="TRM1" t="s">
        <v>15527</v>
      </c>
      <c r="TRN1" t="s">
        <v>15528</v>
      </c>
      <c r="TRO1" t="s">
        <v>15529</v>
      </c>
      <c r="TRP1" t="s">
        <v>15530</v>
      </c>
      <c r="TRQ1" t="s">
        <v>15531</v>
      </c>
      <c r="TRR1" t="s">
        <v>15532</v>
      </c>
      <c r="TRS1" t="s">
        <v>15533</v>
      </c>
      <c r="TRT1" t="s">
        <v>15534</v>
      </c>
      <c r="TRU1" t="s">
        <v>15535</v>
      </c>
      <c r="TRV1" t="s">
        <v>15536</v>
      </c>
      <c r="TRW1" t="s">
        <v>15537</v>
      </c>
      <c r="TRX1" t="s">
        <v>15538</v>
      </c>
      <c r="TRY1" t="s">
        <v>15539</v>
      </c>
      <c r="TRZ1" t="s">
        <v>15540</v>
      </c>
      <c r="TSA1" t="s">
        <v>15541</v>
      </c>
      <c r="TSB1" t="s">
        <v>15542</v>
      </c>
      <c r="TSC1" t="s">
        <v>15543</v>
      </c>
      <c r="TSD1" t="s">
        <v>15544</v>
      </c>
      <c r="TSE1" t="s">
        <v>15545</v>
      </c>
      <c r="TSF1" t="s">
        <v>15546</v>
      </c>
      <c r="TSG1" t="s">
        <v>15547</v>
      </c>
      <c r="TSH1" t="s">
        <v>15548</v>
      </c>
      <c r="TSI1" t="s">
        <v>15549</v>
      </c>
      <c r="TSJ1" t="s">
        <v>15550</v>
      </c>
      <c r="TSK1" t="s">
        <v>15551</v>
      </c>
      <c r="TSL1" t="s">
        <v>15552</v>
      </c>
      <c r="TSM1" t="s">
        <v>15553</v>
      </c>
      <c r="TSN1" t="s">
        <v>15554</v>
      </c>
      <c r="TSO1" t="s">
        <v>15555</v>
      </c>
      <c r="TSP1" t="s">
        <v>15556</v>
      </c>
      <c r="TSQ1" t="s">
        <v>15557</v>
      </c>
      <c r="TSR1" t="s">
        <v>15558</v>
      </c>
      <c r="TSS1" t="s">
        <v>15559</v>
      </c>
      <c r="TST1" t="s">
        <v>15560</v>
      </c>
      <c r="TSU1" t="s">
        <v>15561</v>
      </c>
      <c r="TSV1" t="s">
        <v>15562</v>
      </c>
      <c r="TSW1" t="s">
        <v>15563</v>
      </c>
      <c r="TSX1" t="s">
        <v>15564</v>
      </c>
      <c r="TSY1" t="s">
        <v>15565</v>
      </c>
      <c r="TSZ1" t="s">
        <v>15566</v>
      </c>
      <c r="TTA1" t="s">
        <v>15567</v>
      </c>
      <c r="TTB1" t="s">
        <v>15568</v>
      </c>
      <c r="TTC1" t="s">
        <v>15569</v>
      </c>
      <c r="TTD1" t="s">
        <v>15570</v>
      </c>
      <c r="TTE1" t="s">
        <v>15571</v>
      </c>
      <c r="TTF1" t="s">
        <v>15572</v>
      </c>
      <c r="TTG1" t="s">
        <v>15573</v>
      </c>
      <c r="TTH1" t="s">
        <v>15574</v>
      </c>
      <c r="TTI1" t="s">
        <v>15575</v>
      </c>
      <c r="TTJ1" t="s">
        <v>15576</v>
      </c>
      <c r="TTK1" t="s">
        <v>15577</v>
      </c>
      <c r="TTL1" t="s">
        <v>15578</v>
      </c>
      <c r="TTM1" t="s">
        <v>15579</v>
      </c>
      <c r="TTN1" t="s">
        <v>15580</v>
      </c>
      <c r="TTO1" t="s">
        <v>15581</v>
      </c>
      <c r="TTP1" t="s">
        <v>15582</v>
      </c>
      <c r="TTQ1" t="s">
        <v>15583</v>
      </c>
      <c r="TTR1" t="s">
        <v>15584</v>
      </c>
      <c r="TTS1" t="s">
        <v>15585</v>
      </c>
      <c r="TTT1" t="s">
        <v>15586</v>
      </c>
      <c r="TTU1" t="s">
        <v>15587</v>
      </c>
      <c r="TTV1" t="s">
        <v>15588</v>
      </c>
      <c r="TTW1" t="s">
        <v>15589</v>
      </c>
      <c r="TTX1" t="s">
        <v>15590</v>
      </c>
      <c r="TTY1" t="s">
        <v>15591</v>
      </c>
      <c r="TTZ1" t="s">
        <v>15592</v>
      </c>
      <c r="TUA1" t="s">
        <v>15593</v>
      </c>
      <c r="TUB1" t="s">
        <v>15594</v>
      </c>
      <c r="TUC1" t="s">
        <v>15595</v>
      </c>
      <c r="TUD1" t="s">
        <v>15596</v>
      </c>
      <c r="TUE1" t="s">
        <v>15597</v>
      </c>
      <c r="TUF1" t="s">
        <v>15598</v>
      </c>
      <c r="TUG1" t="s">
        <v>15599</v>
      </c>
      <c r="TUH1" t="s">
        <v>15600</v>
      </c>
      <c r="TUI1" t="s">
        <v>15601</v>
      </c>
      <c r="TUJ1" t="s">
        <v>15602</v>
      </c>
      <c r="TUK1" t="s">
        <v>15603</v>
      </c>
      <c r="TUL1" t="s">
        <v>15604</v>
      </c>
      <c r="TUM1" t="s">
        <v>15605</v>
      </c>
      <c r="TUN1" t="s">
        <v>15606</v>
      </c>
      <c r="TUO1" t="s">
        <v>15607</v>
      </c>
      <c r="TUP1" t="s">
        <v>15608</v>
      </c>
      <c r="TUQ1" t="s">
        <v>15609</v>
      </c>
      <c r="TUR1" t="s">
        <v>15610</v>
      </c>
      <c r="TUS1" t="s">
        <v>15611</v>
      </c>
      <c r="TUT1" t="s">
        <v>15612</v>
      </c>
      <c r="TUU1" t="s">
        <v>15613</v>
      </c>
      <c r="TUV1" t="s">
        <v>15614</v>
      </c>
      <c r="TUW1" t="s">
        <v>15615</v>
      </c>
      <c r="TUX1" t="s">
        <v>15616</v>
      </c>
      <c r="TUY1" t="s">
        <v>15617</v>
      </c>
      <c r="TUZ1" t="s">
        <v>15618</v>
      </c>
      <c r="TVA1" t="s">
        <v>15619</v>
      </c>
      <c r="TVB1" t="s">
        <v>15620</v>
      </c>
      <c r="TVC1" t="s">
        <v>15621</v>
      </c>
      <c r="TVD1" t="s">
        <v>15622</v>
      </c>
      <c r="TVE1" t="s">
        <v>15623</v>
      </c>
      <c r="TVF1" t="s">
        <v>15624</v>
      </c>
      <c r="TVG1" t="s">
        <v>15625</v>
      </c>
      <c r="TVH1" t="s">
        <v>15626</v>
      </c>
      <c r="TVI1" t="s">
        <v>15627</v>
      </c>
      <c r="TVJ1" t="s">
        <v>15628</v>
      </c>
      <c r="TVK1" t="s">
        <v>15629</v>
      </c>
      <c r="TVL1" t="s">
        <v>15630</v>
      </c>
      <c r="TVM1" t="s">
        <v>15631</v>
      </c>
      <c r="TVN1" t="s">
        <v>15632</v>
      </c>
      <c r="TVO1" t="s">
        <v>15633</v>
      </c>
      <c r="TVP1" t="s">
        <v>15634</v>
      </c>
      <c r="TVQ1" t="s">
        <v>15635</v>
      </c>
      <c r="TVR1" t="s">
        <v>15636</v>
      </c>
      <c r="TVS1" t="s">
        <v>15637</v>
      </c>
      <c r="TVT1" t="s">
        <v>15638</v>
      </c>
      <c r="TVU1" t="s">
        <v>15639</v>
      </c>
      <c r="TVV1" t="s">
        <v>15640</v>
      </c>
      <c r="TVW1" t="s">
        <v>15641</v>
      </c>
      <c r="TVX1" t="s">
        <v>15642</v>
      </c>
      <c r="TVY1" t="s">
        <v>15643</v>
      </c>
      <c r="TVZ1" t="s">
        <v>15644</v>
      </c>
      <c r="TWA1" t="s">
        <v>15645</v>
      </c>
      <c r="TWB1" t="s">
        <v>15646</v>
      </c>
      <c r="TWC1" t="s">
        <v>15647</v>
      </c>
      <c r="TWD1" t="s">
        <v>15648</v>
      </c>
      <c r="TWE1" t="s">
        <v>15649</v>
      </c>
      <c r="TWF1" t="s">
        <v>15650</v>
      </c>
      <c r="TWG1" t="s">
        <v>15651</v>
      </c>
      <c r="TWH1" t="s">
        <v>15652</v>
      </c>
      <c r="TWI1" t="s">
        <v>15653</v>
      </c>
      <c r="TWJ1" t="s">
        <v>15654</v>
      </c>
      <c r="TWK1" t="s">
        <v>15655</v>
      </c>
      <c r="TWL1" t="s">
        <v>15656</v>
      </c>
      <c r="TWM1" t="s">
        <v>15657</v>
      </c>
      <c r="TWN1" t="s">
        <v>15658</v>
      </c>
      <c r="TWO1" t="s">
        <v>15659</v>
      </c>
      <c r="TWP1" t="s">
        <v>15660</v>
      </c>
      <c r="TWQ1" t="s">
        <v>15661</v>
      </c>
      <c r="TWR1" t="s">
        <v>15662</v>
      </c>
      <c r="TWS1" t="s">
        <v>15663</v>
      </c>
      <c r="TWT1" t="s">
        <v>15664</v>
      </c>
      <c r="TWU1" t="s">
        <v>15665</v>
      </c>
      <c r="TWV1" t="s">
        <v>15666</v>
      </c>
      <c r="TWW1" t="s">
        <v>15667</v>
      </c>
      <c r="TWX1" t="s">
        <v>15668</v>
      </c>
      <c r="TWY1" t="s">
        <v>15669</v>
      </c>
      <c r="TWZ1" t="s">
        <v>15670</v>
      </c>
      <c r="TXA1" t="s">
        <v>15671</v>
      </c>
      <c r="TXB1" t="s">
        <v>15672</v>
      </c>
      <c r="TXC1" t="s">
        <v>15673</v>
      </c>
      <c r="TXD1" t="s">
        <v>15674</v>
      </c>
      <c r="TXE1" t="s">
        <v>15675</v>
      </c>
      <c r="TXF1" t="s">
        <v>15676</v>
      </c>
      <c r="TXG1" t="s">
        <v>15677</v>
      </c>
      <c r="TXH1" t="s">
        <v>15678</v>
      </c>
      <c r="TXI1" t="s">
        <v>15679</v>
      </c>
      <c r="TXJ1" t="s">
        <v>15680</v>
      </c>
      <c r="TXK1" t="s">
        <v>15681</v>
      </c>
      <c r="TXL1" t="s">
        <v>15682</v>
      </c>
      <c r="TXM1" t="s">
        <v>15683</v>
      </c>
      <c r="TXN1" t="s">
        <v>15684</v>
      </c>
      <c r="TXO1" t="s">
        <v>15685</v>
      </c>
      <c r="TXP1" t="s">
        <v>15686</v>
      </c>
      <c r="TXQ1" t="s">
        <v>15687</v>
      </c>
      <c r="TXR1" t="s">
        <v>15688</v>
      </c>
      <c r="TXS1" t="s">
        <v>15689</v>
      </c>
      <c r="TXT1" t="s">
        <v>15690</v>
      </c>
      <c r="TXU1" t="s">
        <v>15691</v>
      </c>
      <c r="TXV1" t="s">
        <v>15692</v>
      </c>
      <c r="TXW1" t="s">
        <v>15693</v>
      </c>
      <c r="TXX1" t="s">
        <v>15694</v>
      </c>
      <c r="TXY1" t="s">
        <v>15695</v>
      </c>
      <c r="TXZ1" t="s">
        <v>15696</v>
      </c>
      <c r="TYA1" t="s">
        <v>15697</v>
      </c>
      <c r="TYB1" t="s">
        <v>15698</v>
      </c>
      <c r="TYC1" t="s">
        <v>15699</v>
      </c>
      <c r="TYD1" t="s">
        <v>15700</v>
      </c>
      <c r="TYE1" t="s">
        <v>15701</v>
      </c>
      <c r="TYF1" t="s">
        <v>15702</v>
      </c>
      <c r="TYG1" t="s">
        <v>15703</v>
      </c>
      <c r="TYH1" t="s">
        <v>15704</v>
      </c>
      <c r="TYI1" t="s">
        <v>15705</v>
      </c>
      <c r="TYJ1" t="s">
        <v>15706</v>
      </c>
      <c r="TYK1" t="s">
        <v>15707</v>
      </c>
      <c r="TYL1" t="s">
        <v>15708</v>
      </c>
      <c r="TYM1" t="s">
        <v>15709</v>
      </c>
      <c r="TYN1" t="s">
        <v>15710</v>
      </c>
      <c r="TYO1" t="s">
        <v>15711</v>
      </c>
      <c r="TYP1" t="s">
        <v>15712</v>
      </c>
      <c r="TYQ1" t="s">
        <v>15713</v>
      </c>
      <c r="TYR1" t="s">
        <v>15714</v>
      </c>
      <c r="TYS1" t="s">
        <v>15715</v>
      </c>
      <c r="TYT1" t="s">
        <v>15716</v>
      </c>
      <c r="TYU1" t="s">
        <v>15717</v>
      </c>
      <c r="TYV1" t="s">
        <v>15718</v>
      </c>
      <c r="TYW1" t="s">
        <v>15719</v>
      </c>
      <c r="TYX1" t="s">
        <v>15720</v>
      </c>
      <c r="TYY1" t="s">
        <v>15721</v>
      </c>
      <c r="TYZ1" t="s">
        <v>15722</v>
      </c>
      <c r="TZA1" t="s">
        <v>15723</v>
      </c>
      <c r="TZB1" t="s">
        <v>15724</v>
      </c>
      <c r="TZC1" t="s">
        <v>15725</v>
      </c>
      <c r="TZD1" t="s">
        <v>15726</v>
      </c>
      <c r="TZE1" t="s">
        <v>15727</v>
      </c>
      <c r="TZF1" t="s">
        <v>15728</v>
      </c>
      <c r="TZG1" t="s">
        <v>15729</v>
      </c>
      <c r="TZH1" t="s">
        <v>15730</v>
      </c>
      <c r="TZI1" t="s">
        <v>15731</v>
      </c>
      <c r="TZJ1" t="s">
        <v>15732</v>
      </c>
      <c r="TZK1" t="s">
        <v>15733</v>
      </c>
      <c r="TZL1" t="s">
        <v>15734</v>
      </c>
      <c r="TZM1" t="s">
        <v>15735</v>
      </c>
      <c r="TZN1" t="s">
        <v>15736</v>
      </c>
      <c r="TZO1" t="s">
        <v>15737</v>
      </c>
      <c r="TZP1" t="s">
        <v>15738</v>
      </c>
      <c r="TZQ1" t="s">
        <v>15739</v>
      </c>
      <c r="TZR1" t="s">
        <v>15740</v>
      </c>
      <c r="TZS1" t="s">
        <v>15741</v>
      </c>
      <c r="TZT1" t="s">
        <v>15742</v>
      </c>
      <c r="TZU1" t="s">
        <v>15743</v>
      </c>
      <c r="TZV1" t="s">
        <v>15744</v>
      </c>
      <c r="TZW1" t="s">
        <v>15745</v>
      </c>
      <c r="TZX1" t="s">
        <v>15746</v>
      </c>
      <c r="TZY1" t="s">
        <v>15747</v>
      </c>
      <c r="TZZ1" t="s">
        <v>15748</v>
      </c>
      <c r="UAA1" t="s">
        <v>15749</v>
      </c>
      <c r="UAB1" t="s">
        <v>15750</v>
      </c>
      <c r="UAC1" t="s">
        <v>15751</v>
      </c>
      <c r="UAD1" t="s">
        <v>15752</v>
      </c>
      <c r="UAE1" t="s">
        <v>15753</v>
      </c>
      <c r="UAF1" t="s">
        <v>15754</v>
      </c>
      <c r="UAG1" t="s">
        <v>15755</v>
      </c>
      <c r="UAH1" t="s">
        <v>15756</v>
      </c>
      <c r="UAI1" t="s">
        <v>15757</v>
      </c>
      <c r="UAJ1" t="s">
        <v>15758</v>
      </c>
      <c r="UAK1" t="s">
        <v>15759</v>
      </c>
      <c r="UAL1" t="s">
        <v>15760</v>
      </c>
      <c r="UAM1" t="s">
        <v>15761</v>
      </c>
      <c r="UAN1" t="s">
        <v>15762</v>
      </c>
      <c r="UAO1" t="s">
        <v>15763</v>
      </c>
      <c r="UAP1" t="s">
        <v>15764</v>
      </c>
      <c r="UAQ1" t="s">
        <v>15765</v>
      </c>
      <c r="UAR1" t="s">
        <v>15766</v>
      </c>
      <c r="UAS1" t="s">
        <v>15767</v>
      </c>
      <c r="UAT1" t="s">
        <v>15768</v>
      </c>
      <c r="UAU1" t="s">
        <v>15769</v>
      </c>
      <c r="UAV1" t="s">
        <v>15770</v>
      </c>
      <c r="UAW1" t="s">
        <v>15771</v>
      </c>
      <c r="UAX1" t="s">
        <v>15772</v>
      </c>
      <c r="UAY1" t="s">
        <v>15773</v>
      </c>
      <c r="UAZ1" t="s">
        <v>15774</v>
      </c>
      <c r="UBA1" t="s">
        <v>15775</v>
      </c>
      <c r="UBB1" t="s">
        <v>15776</v>
      </c>
      <c r="UBC1" t="s">
        <v>15777</v>
      </c>
      <c r="UBD1" t="s">
        <v>15778</v>
      </c>
      <c r="UBE1" t="s">
        <v>15779</v>
      </c>
      <c r="UBF1" t="s">
        <v>15780</v>
      </c>
      <c r="UBG1" t="s">
        <v>15781</v>
      </c>
      <c r="UBH1" t="s">
        <v>15782</v>
      </c>
      <c r="UBI1" t="s">
        <v>15783</v>
      </c>
      <c r="UBJ1" t="s">
        <v>15784</v>
      </c>
      <c r="UBK1" t="s">
        <v>15785</v>
      </c>
      <c r="UBL1" t="s">
        <v>15786</v>
      </c>
      <c r="UBM1" t="s">
        <v>15787</v>
      </c>
      <c r="UBN1" t="s">
        <v>15788</v>
      </c>
      <c r="UBO1" t="s">
        <v>15789</v>
      </c>
      <c r="UBP1" t="s">
        <v>15790</v>
      </c>
      <c r="UBQ1" t="s">
        <v>15791</v>
      </c>
      <c r="UBR1" t="s">
        <v>15792</v>
      </c>
      <c r="UBS1" t="s">
        <v>15793</v>
      </c>
      <c r="UBT1" t="s">
        <v>15794</v>
      </c>
      <c r="UBU1" t="s">
        <v>15795</v>
      </c>
      <c r="UBV1" t="s">
        <v>15796</v>
      </c>
      <c r="UBW1" t="s">
        <v>15797</v>
      </c>
      <c r="UBX1" t="s">
        <v>15798</v>
      </c>
      <c r="UBY1" t="s">
        <v>15799</v>
      </c>
      <c r="UBZ1" t="s">
        <v>15800</v>
      </c>
      <c r="UCA1" t="s">
        <v>15801</v>
      </c>
      <c r="UCB1" t="s">
        <v>15802</v>
      </c>
      <c r="UCC1" t="s">
        <v>15803</v>
      </c>
      <c r="UCD1" t="s">
        <v>15804</v>
      </c>
      <c r="UCE1" t="s">
        <v>15805</v>
      </c>
      <c r="UCF1" t="s">
        <v>15806</v>
      </c>
      <c r="UCG1" t="s">
        <v>15807</v>
      </c>
      <c r="UCH1" t="s">
        <v>15808</v>
      </c>
      <c r="UCI1" t="s">
        <v>15809</v>
      </c>
      <c r="UCJ1" t="s">
        <v>15810</v>
      </c>
      <c r="UCK1" t="s">
        <v>15811</v>
      </c>
      <c r="UCL1" t="s">
        <v>15812</v>
      </c>
      <c r="UCM1" t="s">
        <v>15813</v>
      </c>
      <c r="UCN1" t="s">
        <v>15814</v>
      </c>
      <c r="UCO1" t="s">
        <v>15815</v>
      </c>
      <c r="UCP1" t="s">
        <v>15816</v>
      </c>
      <c r="UCQ1" t="s">
        <v>15817</v>
      </c>
      <c r="UCR1" t="s">
        <v>15818</v>
      </c>
      <c r="UCS1" t="s">
        <v>15819</v>
      </c>
      <c r="UCT1" t="s">
        <v>15820</v>
      </c>
      <c r="UCU1" t="s">
        <v>15821</v>
      </c>
      <c r="UCV1" t="s">
        <v>15822</v>
      </c>
      <c r="UCW1" t="s">
        <v>15823</v>
      </c>
      <c r="UCX1" t="s">
        <v>15824</v>
      </c>
      <c r="UCY1" t="s">
        <v>15825</v>
      </c>
      <c r="UCZ1" t="s">
        <v>15826</v>
      </c>
      <c r="UDA1" t="s">
        <v>15827</v>
      </c>
      <c r="UDB1" t="s">
        <v>15828</v>
      </c>
      <c r="UDC1" t="s">
        <v>15829</v>
      </c>
      <c r="UDD1" t="s">
        <v>15830</v>
      </c>
      <c r="UDE1" t="s">
        <v>15831</v>
      </c>
      <c r="UDF1" t="s">
        <v>15832</v>
      </c>
      <c r="UDG1" t="s">
        <v>15833</v>
      </c>
      <c r="UDH1" t="s">
        <v>15834</v>
      </c>
      <c r="UDI1" t="s">
        <v>15835</v>
      </c>
      <c r="UDJ1" t="s">
        <v>15836</v>
      </c>
      <c r="UDK1" t="s">
        <v>15837</v>
      </c>
      <c r="UDL1" t="s">
        <v>15838</v>
      </c>
      <c r="UDM1" t="s">
        <v>15839</v>
      </c>
      <c r="UDN1" t="s">
        <v>15840</v>
      </c>
      <c r="UDO1" t="s">
        <v>15841</v>
      </c>
      <c r="UDP1" t="s">
        <v>15842</v>
      </c>
      <c r="UDQ1" t="s">
        <v>15843</v>
      </c>
      <c r="UDR1" t="s">
        <v>15844</v>
      </c>
      <c r="UDS1" t="s">
        <v>15845</v>
      </c>
      <c r="UDT1" t="s">
        <v>15846</v>
      </c>
      <c r="UDU1" t="s">
        <v>15847</v>
      </c>
      <c r="UDV1" t="s">
        <v>15848</v>
      </c>
      <c r="UDW1" t="s">
        <v>15849</v>
      </c>
      <c r="UDX1" t="s">
        <v>15850</v>
      </c>
      <c r="UDY1" t="s">
        <v>15851</v>
      </c>
      <c r="UDZ1" t="s">
        <v>15852</v>
      </c>
      <c r="UEA1" t="s">
        <v>15853</v>
      </c>
      <c r="UEB1" t="s">
        <v>15854</v>
      </c>
      <c r="UEC1" t="s">
        <v>15855</v>
      </c>
      <c r="UED1" t="s">
        <v>15856</v>
      </c>
      <c r="UEE1" t="s">
        <v>15857</v>
      </c>
      <c r="UEF1" t="s">
        <v>15858</v>
      </c>
      <c r="UEG1" t="s">
        <v>15859</v>
      </c>
      <c r="UEH1" t="s">
        <v>15860</v>
      </c>
      <c r="UEI1" t="s">
        <v>15861</v>
      </c>
      <c r="UEJ1" t="s">
        <v>15862</v>
      </c>
      <c r="UEK1" t="s">
        <v>15863</v>
      </c>
      <c r="UEL1" t="s">
        <v>15864</v>
      </c>
      <c r="UEM1" t="s">
        <v>15865</v>
      </c>
      <c r="UEN1" t="s">
        <v>15866</v>
      </c>
      <c r="UEO1" t="s">
        <v>15867</v>
      </c>
      <c r="UEP1" t="s">
        <v>15868</v>
      </c>
      <c r="UEQ1" t="s">
        <v>15869</v>
      </c>
      <c r="UER1" t="s">
        <v>15870</v>
      </c>
      <c r="UES1" t="s">
        <v>15871</v>
      </c>
      <c r="UET1" t="s">
        <v>15872</v>
      </c>
      <c r="UEU1" t="s">
        <v>15873</v>
      </c>
      <c r="UEV1" t="s">
        <v>15874</v>
      </c>
      <c r="UEW1" t="s">
        <v>15875</v>
      </c>
      <c r="UEX1" t="s">
        <v>15876</v>
      </c>
      <c r="UEY1" t="s">
        <v>15877</v>
      </c>
      <c r="UEZ1" t="s">
        <v>15878</v>
      </c>
      <c r="UFA1" t="s">
        <v>15879</v>
      </c>
      <c r="UFB1" t="s">
        <v>15880</v>
      </c>
      <c r="UFC1" t="s">
        <v>15881</v>
      </c>
      <c r="UFD1" t="s">
        <v>15882</v>
      </c>
      <c r="UFE1" t="s">
        <v>15883</v>
      </c>
      <c r="UFF1" t="s">
        <v>15884</v>
      </c>
      <c r="UFG1" t="s">
        <v>15885</v>
      </c>
      <c r="UFH1" t="s">
        <v>15886</v>
      </c>
      <c r="UFI1" t="s">
        <v>15887</v>
      </c>
      <c r="UFJ1" t="s">
        <v>15888</v>
      </c>
      <c r="UFK1" t="s">
        <v>15889</v>
      </c>
      <c r="UFL1" t="s">
        <v>15890</v>
      </c>
      <c r="UFM1" t="s">
        <v>15891</v>
      </c>
      <c r="UFN1" t="s">
        <v>15892</v>
      </c>
      <c r="UFO1" t="s">
        <v>15893</v>
      </c>
      <c r="UFP1" t="s">
        <v>15894</v>
      </c>
      <c r="UFQ1" t="s">
        <v>15895</v>
      </c>
      <c r="UFR1" t="s">
        <v>15896</v>
      </c>
      <c r="UFS1" t="s">
        <v>15897</v>
      </c>
      <c r="UFT1" t="s">
        <v>15898</v>
      </c>
      <c r="UFU1" t="s">
        <v>15899</v>
      </c>
      <c r="UFV1" t="s">
        <v>15900</v>
      </c>
      <c r="UFW1" t="s">
        <v>15901</v>
      </c>
      <c r="UFX1" t="s">
        <v>15902</v>
      </c>
      <c r="UFY1" t="s">
        <v>15903</v>
      </c>
      <c r="UFZ1" t="s">
        <v>15904</v>
      </c>
      <c r="UGA1" t="s">
        <v>15905</v>
      </c>
      <c r="UGB1" t="s">
        <v>15906</v>
      </c>
      <c r="UGC1" t="s">
        <v>15907</v>
      </c>
      <c r="UGD1" t="s">
        <v>15908</v>
      </c>
      <c r="UGE1" t="s">
        <v>15909</v>
      </c>
      <c r="UGF1" t="s">
        <v>15910</v>
      </c>
      <c r="UGG1" t="s">
        <v>15911</v>
      </c>
      <c r="UGH1" t="s">
        <v>15912</v>
      </c>
      <c r="UGI1" t="s">
        <v>15913</v>
      </c>
      <c r="UGJ1" t="s">
        <v>15914</v>
      </c>
      <c r="UGK1" t="s">
        <v>15915</v>
      </c>
      <c r="UGL1" t="s">
        <v>15916</v>
      </c>
      <c r="UGM1" t="s">
        <v>15917</v>
      </c>
      <c r="UGN1" t="s">
        <v>15918</v>
      </c>
      <c r="UGO1" t="s">
        <v>15919</v>
      </c>
      <c r="UGP1" t="s">
        <v>15920</v>
      </c>
      <c r="UGQ1" t="s">
        <v>15921</v>
      </c>
      <c r="UGR1" t="s">
        <v>15922</v>
      </c>
      <c r="UGS1" t="s">
        <v>15923</v>
      </c>
      <c r="UGT1" t="s">
        <v>15924</v>
      </c>
      <c r="UGU1" t="s">
        <v>15925</v>
      </c>
      <c r="UGV1" t="s">
        <v>15926</v>
      </c>
      <c r="UGW1" t="s">
        <v>15927</v>
      </c>
      <c r="UGX1" t="s">
        <v>15928</v>
      </c>
      <c r="UGY1" t="s">
        <v>15929</v>
      </c>
      <c r="UGZ1" t="s">
        <v>15930</v>
      </c>
      <c r="UHA1" t="s">
        <v>15931</v>
      </c>
      <c r="UHB1" t="s">
        <v>15932</v>
      </c>
      <c r="UHC1" t="s">
        <v>15933</v>
      </c>
      <c r="UHD1" t="s">
        <v>15934</v>
      </c>
      <c r="UHE1" t="s">
        <v>15935</v>
      </c>
      <c r="UHF1" t="s">
        <v>15936</v>
      </c>
      <c r="UHG1" t="s">
        <v>15937</v>
      </c>
      <c r="UHH1" t="s">
        <v>15938</v>
      </c>
      <c r="UHI1" t="s">
        <v>15939</v>
      </c>
      <c r="UHJ1" t="s">
        <v>15940</v>
      </c>
      <c r="UHK1" t="s">
        <v>15941</v>
      </c>
      <c r="UHL1" t="s">
        <v>15942</v>
      </c>
      <c r="UHM1" t="s">
        <v>15943</v>
      </c>
      <c r="UHN1" t="s">
        <v>15944</v>
      </c>
      <c r="UHO1" t="s">
        <v>15945</v>
      </c>
      <c r="UHP1" t="s">
        <v>15946</v>
      </c>
      <c r="UHQ1" t="s">
        <v>15947</v>
      </c>
      <c r="UHR1" t="s">
        <v>15948</v>
      </c>
      <c r="UHS1" t="s">
        <v>15949</v>
      </c>
      <c r="UHT1" t="s">
        <v>15950</v>
      </c>
      <c r="UHU1" t="s">
        <v>15951</v>
      </c>
      <c r="UHV1" t="s">
        <v>15952</v>
      </c>
      <c r="UHW1" t="s">
        <v>15953</v>
      </c>
      <c r="UHX1" t="s">
        <v>15954</v>
      </c>
      <c r="UHY1" t="s">
        <v>15955</v>
      </c>
      <c r="UHZ1" t="s">
        <v>15956</v>
      </c>
      <c r="UIA1" t="s">
        <v>15957</v>
      </c>
      <c r="UIB1" t="s">
        <v>15958</v>
      </c>
      <c r="UIC1" t="s">
        <v>15959</v>
      </c>
      <c r="UID1" t="s">
        <v>15960</v>
      </c>
      <c r="UIE1" t="s">
        <v>15961</v>
      </c>
      <c r="UIF1" t="s">
        <v>15962</v>
      </c>
      <c r="UIG1" t="s">
        <v>15963</v>
      </c>
      <c r="UIH1" t="s">
        <v>15964</v>
      </c>
      <c r="UII1" t="s">
        <v>15965</v>
      </c>
      <c r="UIJ1" t="s">
        <v>15966</v>
      </c>
      <c r="UIK1" t="s">
        <v>15967</v>
      </c>
      <c r="UIL1" t="s">
        <v>15968</v>
      </c>
      <c r="UIM1" t="s">
        <v>15969</v>
      </c>
      <c r="UIN1" t="s">
        <v>15970</v>
      </c>
      <c r="UIO1" t="s">
        <v>15971</v>
      </c>
      <c r="UIP1" t="s">
        <v>15972</v>
      </c>
      <c r="UIQ1" t="s">
        <v>15973</v>
      </c>
      <c r="UIR1" t="s">
        <v>15974</v>
      </c>
      <c r="UIS1" t="s">
        <v>15975</v>
      </c>
      <c r="UIT1" t="s">
        <v>15976</v>
      </c>
      <c r="UIU1" t="s">
        <v>15977</v>
      </c>
      <c r="UIV1" t="s">
        <v>15978</v>
      </c>
      <c r="UIW1" t="s">
        <v>15979</v>
      </c>
      <c r="UIX1" t="s">
        <v>15980</v>
      </c>
      <c r="UIY1" t="s">
        <v>15981</v>
      </c>
      <c r="UIZ1" t="s">
        <v>15982</v>
      </c>
      <c r="UJA1" t="s">
        <v>15983</v>
      </c>
      <c r="UJB1" t="s">
        <v>15984</v>
      </c>
      <c r="UJC1" t="s">
        <v>15985</v>
      </c>
      <c r="UJD1" t="s">
        <v>15986</v>
      </c>
      <c r="UJE1" t="s">
        <v>15987</v>
      </c>
      <c r="UJF1" t="s">
        <v>15988</v>
      </c>
      <c r="UJG1" t="s">
        <v>15989</v>
      </c>
      <c r="UJH1" t="s">
        <v>15990</v>
      </c>
      <c r="UJI1" t="s">
        <v>15991</v>
      </c>
      <c r="UJJ1" t="s">
        <v>15992</v>
      </c>
      <c r="UJK1" t="s">
        <v>15993</v>
      </c>
      <c r="UJL1" t="s">
        <v>15994</v>
      </c>
      <c r="UJM1" t="s">
        <v>15995</v>
      </c>
      <c r="UJN1" t="s">
        <v>15996</v>
      </c>
      <c r="UJO1" t="s">
        <v>15997</v>
      </c>
      <c r="UJP1" t="s">
        <v>15998</v>
      </c>
      <c r="UJQ1" t="s">
        <v>15999</v>
      </c>
      <c r="UJR1" t="s">
        <v>16000</v>
      </c>
      <c r="UJS1" t="s">
        <v>16001</v>
      </c>
      <c r="UJT1" t="s">
        <v>16002</v>
      </c>
      <c r="UJU1" t="s">
        <v>16003</v>
      </c>
      <c r="UJV1" t="s">
        <v>16004</v>
      </c>
      <c r="UJW1" t="s">
        <v>16005</v>
      </c>
      <c r="UJX1" t="s">
        <v>16006</v>
      </c>
      <c r="UJY1" t="s">
        <v>16007</v>
      </c>
      <c r="UJZ1" t="s">
        <v>16008</v>
      </c>
      <c r="UKA1" t="s">
        <v>16009</v>
      </c>
      <c r="UKB1" t="s">
        <v>16010</v>
      </c>
      <c r="UKC1" t="s">
        <v>16011</v>
      </c>
      <c r="UKD1" t="s">
        <v>16012</v>
      </c>
      <c r="UKE1" t="s">
        <v>16013</v>
      </c>
      <c r="UKF1" t="s">
        <v>16014</v>
      </c>
      <c r="UKG1" t="s">
        <v>16015</v>
      </c>
      <c r="UKH1" t="s">
        <v>16016</v>
      </c>
      <c r="UKI1" t="s">
        <v>16017</v>
      </c>
      <c r="UKJ1" t="s">
        <v>16018</v>
      </c>
      <c r="UKK1" t="s">
        <v>16019</v>
      </c>
      <c r="UKL1" t="s">
        <v>16020</v>
      </c>
      <c r="UKM1" t="s">
        <v>16021</v>
      </c>
      <c r="UKN1" t="s">
        <v>16022</v>
      </c>
      <c r="UKO1" t="s">
        <v>16023</v>
      </c>
      <c r="UKP1" t="s">
        <v>16024</v>
      </c>
      <c r="UKQ1" t="s">
        <v>16025</v>
      </c>
      <c r="UKR1" t="s">
        <v>16026</v>
      </c>
      <c r="UKS1" t="s">
        <v>16027</v>
      </c>
      <c r="UKT1" t="s">
        <v>16028</v>
      </c>
      <c r="UKU1" t="s">
        <v>16029</v>
      </c>
      <c r="UKV1" t="s">
        <v>16030</v>
      </c>
      <c r="UKW1" t="s">
        <v>16031</v>
      </c>
      <c r="UKX1" t="s">
        <v>16032</v>
      </c>
      <c r="UKY1" t="s">
        <v>16033</v>
      </c>
      <c r="UKZ1" t="s">
        <v>16034</v>
      </c>
      <c r="ULA1" t="s">
        <v>16035</v>
      </c>
      <c r="ULB1" t="s">
        <v>16036</v>
      </c>
      <c r="ULC1" t="s">
        <v>16037</v>
      </c>
      <c r="ULD1" t="s">
        <v>16038</v>
      </c>
      <c r="ULE1" t="s">
        <v>16039</v>
      </c>
      <c r="ULF1" t="s">
        <v>16040</v>
      </c>
      <c r="ULG1" t="s">
        <v>16041</v>
      </c>
      <c r="ULH1" t="s">
        <v>16042</v>
      </c>
      <c r="ULI1" t="s">
        <v>16043</v>
      </c>
      <c r="ULJ1" t="s">
        <v>16044</v>
      </c>
      <c r="ULK1" t="s">
        <v>16045</v>
      </c>
      <c r="ULL1" t="s">
        <v>16046</v>
      </c>
      <c r="ULM1" t="s">
        <v>16047</v>
      </c>
      <c r="ULN1" t="s">
        <v>16048</v>
      </c>
      <c r="ULO1" t="s">
        <v>16049</v>
      </c>
      <c r="ULP1" t="s">
        <v>16050</v>
      </c>
      <c r="ULQ1" t="s">
        <v>16051</v>
      </c>
      <c r="ULR1" t="s">
        <v>16052</v>
      </c>
      <c r="ULS1" t="s">
        <v>16053</v>
      </c>
      <c r="ULT1" t="s">
        <v>16054</v>
      </c>
      <c r="ULU1" t="s">
        <v>16055</v>
      </c>
      <c r="ULV1" t="s">
        <v>16056</v>
      </c>
      <c r="ULW1" t="s">
        <v>16057</v>
      </c>
      <c r="ULX1" t="s">
        <v>16058</v>
      </c>
      <c r="ULY1" t="s">
        <v>16059</v>
      </c>
      <c r="ULZ1" t="s">
        <v>16060</v>
      </c>
      <c r="UMA1" t="s">
        <v>16061</v>
      </c>
      <c r="UMB1" t="s">
        <v>16062</v>
      </c>
      <c r="UMC1" t="s">
        <v>16063</v>
      </c>
      <c r="UMD1" t="s">
        <v>16064</v>
      </c>
      <c r="UME1" t="s">
        <v>16065</v>
      </c>
      <c r="UMF1" t="s">
        <v>16066</v>
      </c>
      <c r="UMG1" t="s">
        <v>16067</v>
      </c>
      <c r="UMH1" t="s">
        <v>16068</v>
      </c>
      <c r="UMI1" t="s">
        <v>16069</v>
      </c>
      <c r="UMJ1" t="s">
        <v>16070</v>
      </c>
      <c r="UMK1" t="s">
        <v>16071</v>
      </c>
      <c r="UML1" t="s">
        <v>16072</v>
      </c>
      <c r="UMM1" t="s">
        <v>16073</v>
      </c>
      <c r="UMN1" t="s">
        <v>16074</v>
      </c>
      <c r="UMO1" t="s">
        <v>16075</v>
      </c>
      <c r="UMP1" t="s">
        <v>16076</v>
      </c>
      <c r="UMQ1" t="s">
        <v>16077</v>
      </c>
      <c r="UMR1" t="s">
        <v>16078</v>
      </c>
      <c r="UMS1" t="s">
        <v>16079</v>
      </c>
      <c r="UMT1" t="s">
        <v>16080</v>
      </c>
      <c r="UMU1" t="s">
        <v>16081</v>
      </c>
      <c r="UMV1" t="s">
        <v>16082</v>
      </c>
      <c r="UMW1" t="s">
        <v>16083</v>
      </c>
      <c r="UMX1" t="s">
        <v>16084</v>
      </c>
      <c r="UMY1" t="s">
        <v>16085</v>
      </c>
      <c r="UMZ1" t="s">
        <v>16086</v>
      </c>
      <c r="UNA1" t="s">
        <v>16087</v>
      </c>
      <c r="UNB1" t="s">
        <v>16088</v>
      </c>
      <c r="UNC1" t="s">
        <v>16089</v>
      </c>
      <c r="UND1" t="s">
        <v>16090</v>
      </c>
      <c r="UNE1" t="s">
        <v>16091</v>
      </c>
      <c r="UNF1" t="s">
        <v>16092</v>
      </c>
      <c r="UNG1" t="s">
        <v>16093</v>
      </c>
      <c r="UNH1" t="s">
        <v>16094</v>
      </c>
      <c r="UNI1" t="s">
        <v>16095</v>
      </c>
      <c r="UNJ1" t="s">
        <v>16096</v>
      </c>
      <c r="UNK1" t="s">
        <v>16097</v>
      </c>
      <c r="UNL1" t="s">
        <v>16098</v>
      </c>
      <c r="UNM1" t="s">
        <v>16099</v>
      </c>
      <c r="UNN1" t="s">
        <v>16100</v>
      </c>
      <c r="UNO1" t="s">
        <v>16101</v>
      </c>
      <c r="UNP1" t="s">
        <v>16102</v>
      </c>
      <c r="UNQ1" t="s">
        <v>16103</v>
      </c>
      <c r="UNR1" t="s">
        <v>16104</v>
      </c>
      <c r="UNS1" t="s">
        <v>16105</v>
      </c>
      <c r="UNT1" t="s">
        <v>16106</v>
      </c>
      <c r="UNU1" t="s">
        <v>16107</v>
      </c>
      <c r="UNV1" t="s">
        <v>16108</v>
      </c>
      <c r="UNW1" t="s">
        <v>16109</v>
      </c>
      <c r="UNX1" t="s">
        <v>16110</v>
      </c>
      <c r="UNY1" t="s">
        <v>16111</v>
      </c>
      <c r="UNZ1" t="s">
        <v>16112</v>
      </c>
      <c r="UOA1" t="s">
        <v>16113</v>
      </c>
      <c r="UOB1" t="s">
        <v>16114</v>
      </c>
      <c r="UOC1" t="s">
        <v>16115</v>
      </c>
      <c r="UOD1" t="s">
        <v>16116</v>
      </c>
      <c r="UOE1" t="s">
        <v>16117</v>
      </c>
      <c r="UOF1" t="s">
        <v>16118</v>
      </c>
      <c r="UOG1" t="s">
        <v>16119</v>
      </c>
      <c r="UOH1" t="s">
        <v>16120</v>
      </c>
      <c r="UOI1" t="s">
        <v>16121</v>
      </c>
      <c r="UOJ1" t="s">
        <v>16122</v>
      </c>
      <c r="UOK1" t="s">
        <v>16123</v>
      </c>
      <c r="UOL1" t="s">
        <v>16124</v>
      </c>
      <c r="UOM1" t="s">
        <v>16125</v>
      </c>
      <c r="UON1" t="s">
        <v>16126</v>
      </c>
      <c r="UOO1" t="s">
        <v>16127</v>
      </c>
      <c r="UOP1" t="s">
        <v>16128</v>
      </c>
      <c r="UOQ1" t="s">
        <v>16129</v>
      </c>
      <c r="UOR1" t="s">
        <v>16130</v>
      </c>
      <c r="UOS1" t="s">
        <v>16131</v>
      </c>
      <c r="UOT1" t="s">
        <v>16132</v>
      </c>
      <c r="UOU1" t="s">
        <v>16133</v>
      </c>
      <c r="UOV1" t="s">
        <v>16134</v>
      </c>
      <c r="UOW1" t="s">
        <v>16135</v>
      </c>
      <c r="UOX1" t="s">
        <v>16136</v>
      </c>
      <c r="UOY1" t="s">
        <v>16137</v>
      </c>
      <c r="UOZ1" t="s">
        <v>16138</v>
      </c>
      <c r="UPA1" t="s">
        <v>16139</v>
      </c>
      <c r="UPB1" t="s">
        <v>16140</v>
      </c>
      <c r="UPC1" t="s">
        <v>16141</v>
      </c>
      <c r="UPD1" t="s">
        <v>16142</v>
      </c>
      <c r="UPE1" t="s">
        <v>16143</v>
      </c>
      <c r="UPF1" t="s">
        <v>16144</v>
      </c>
      <c r="UPG1" t="s">
        <v>16145</v>
      </c>
      <c r="UPH1" t="s">
        <v>16146</v>
      </c>
      <c r="UPI1" t="s">
        <v>16147</v>
      </c>
      <c r="UPJ1" t="s">
        <v>16148</v>
      </c>
      <c r="UPK1" t="s">
        <v>16149</v>
      </c>
      <c r="UPL1" t="s">
        <v>16150</v>
      </c>
      <c r="UPM1" t="s">
        <v>16151</v>
      </c>
      <c r="UPN1" t="s">
        <v>16152</v>
      </c>
      <c r="UPO1" t="s">
        <v>16153</v>
      </c>
      <c r="UPP1" t="s">
        <v>16154</v>
      </c>
      <c r="UPQ1" t="s">
        <v>16155</v>
      </c>
      <c r="UPR1" t="s">
        <v>16156</v>
      </c>
      <c r="UPS1" t="s">
        <v>16157</v>
      </c>
      <c r="UPT1" t="s">
        <v>16158</v>
      </c>
      <c r="UPU1" t="s">
        <v>16159</v>
      </c>
      <c r="UPV1" t="s">
        <v>16160</v>
      </c>
      <c r="UPW1" t="s">
        <v>16161</v>
      </c>
      <c r="UPX1" t="s">
        <v>16162</v>
      </c>
      <c r="UPY1" t="s">
        <v>16163</v>
      </c>
      <c r="UPZ1" t="s">
        <v>16164</v>
      </c>
      <c r="UQA1" t="s">
        <v>16165</v>
      </c>
      <c r="UQB1" t="s">
        <v>16166</v>
      </c>
      <c r="UQC1" t="s">
        <v>16167</v>
      </c>
      <c r="UQD1" t="s">
        <v>16168</v>
      </c>
      <c r="UQE1" t="s">
        <v>16169</v>
      </c>
      <c r="UQF1" t="s">
        <v>16170</v>
      </c>
      <c r="UQG1" t="s">
        <v>16171</v>
      </c>
      <c r="UQH1" t="s">
        <v>16172</v>
      </c>
      <c r="UQI1" t="s">
        <v>16173</v>
      </c>
      <c r="UQJ1" t="s">
        <v>16174</v>
      </c>
      <c r="UQK1" t="s">
        <v>16175</v>
      </c>
      <c r="UQL1" t="s">
        <v>16176</v>
      </c>
      <c r="UQM1" t="s">
        <v>16177</v>
      </c>
      <c r="UQN1" t="s">
        <v>16178</v>
      </c>
      <c r="UQO1" t="s">
        <v>16179</v>
      </c>
      <c r="UQP1" t="s">
        <v>16180</v>
      </c>
      <c r="UQQ1" t="s">
        <v>16181</v>
      </c>
      <c r="UQR1" t="s">
        <v>16182</v>
      </c>
      <c r="UQS1" t="s">
        <v>16183</v>
      </c>
      <c r="UQT1" t="s">
        <v>16184</v>
      </c>
      <c r="UQU1" t="s">
        <v>16185</v>
      </c>
      <c r="UQV1" t="s">
        <v>16186</v>
      </c>
      <c r="UQW1" t="s">
        <v>16187</v>
      </c>
      <c r="UQX1" t="s">
        <v>16188</v>
      </c>
      <c r="UQY1" t="s">
        <v>16189</v>
      </c>
      <c r="UQZ1" t="s">
        <v>16190</v>
      </c>
      <c r="URA1" t="s">
        <v>16191</v>
      </c>
      <c r="URB1" t="s">
        <v>16192</v>
      </c>
      <c r="URC1" t="s">
        <v>16193</v>
      </c>
      <c r="URD1" t="s">
        <v>16194</v>
      </c>
      <c r="URE1" t="s">
        <v>16195</v>
      </c>
      <c r="URF1" t="s">
        <v>16196</v>
      </c>
      <c r="URG1" t="s">
        <v>16197</v>
      </c>
      <c r="URH1" t="s">
        <v>16198</v>
      </c>
      <c r="URI1" t="s">
        <v>16199</v>
      </c>
      <c r="URJ1" t="s">
        <v>16200</v>
      </c>
      <c r="URK1" t="s">
        <v>16201</v>
      </c>
      <c r="URL1" t="s">
        <v>16202</v>
      </c>
      <c r="URM1" t="s">
        <v>16203</v>
      </c>
      <c r="URN1" t="s">
        <v>16204</v>
      </c>
      <c r="URO1" t="s">
        <v>16205</v>
      </c>
      <c r="URP1" t="s">
        <v>16206</v>
      </c>
      <c r="URQ1" t="s">
        <v>16207</v>
      </c>
      <c r="URR1" t="s">
        <v>16208</v>
      </c>
      <c r="URS1" t="s">
        <v>16209</v>
      </c>
      <c r="URT1" t="s">
        <v>16210</v>
      </c>
      <c r="URU1" t="s">
        <v>16211</v>
      </c>
      <c r="URV1" t="s">
        <v>16212</v>
      </c>
      <c r="URW1" t="s">
        <v>16213</v>
      </c>
      <c r="URX1" t="s">
        <v>16214</v>
      </c>
      <c r="URY1" t="s">
        <v>16215</v>
      </c>
      <c r="URZ1" t="s">
        <v>16216</v>
      </c>
      <c r="USA1" t="s">
        <v>16217</v>
      </c>
      <c r="USB1" t="s">
        <v>16218</v>
      </c>
      <c r="USC1" t="s">
        <v>16219</v>
      </c>
      <c r="USD1" t="s">
        <v>16220</v>
      </c>
      <c r="USE1" t="s">
        <v>16221</v>
      </c>
      <c r="USF1" t="s">
        <v>16222</v>
      </c>
      <c r="USG1" t="s">
        <v>16223</v>
      </c>
      <c r="USH1" t="s">
        <v>16224</v>
      </c>
      <c r="USI1" t="s">
        <v>16225</v>
      </c>
      <c r="USJ1" t="s">
        <v>16226</v>
      </c>
      <c r="USK1" t="s">
        <v>16227</v>
      </c>
      <c r="USL1" t="s">
        <v>16228</v>
      </c>
      <c r="USM1" t="s">
        <v>16229</v>
      </c>
      <c r="USN1" t="s">
        <v>16230</v>
      </c>
      <c r="USO1" t="s">
        <v>16231</v>
      </c>
      <c r="USP1" t="s">
        <v>16232</v>
      </c>
      <c r="USQ1" t="s">
        <v>16233</v>
      </c>
      <c r="USR1" t="s">
        <v>16234</v>
      </c>
      <c r="USS1" t="s">
        <v>16235</v>
      </c>
      <c r="UST1" t="s">
        <v>16236</v>
      </c>
      <c r="USU1" t="s">
        <v>16237</v>
      </c>
      <c r="USV1" t="s">
        <v>16238</v>
      </c>
      <c r="USW1" t="s">
        <v>16239</v>
      </c>
      <c r="USX1" t="s">
        <v>16240</v>
      </c>
      <c r="USY1" t="s">
        <v>16241</v>
      </c>
      <c r="USZ1" t="s">
        <v>16242</v>
      </c>
      <c r="UTA1" t="s">
        <v>16243</v>
      </c>
      <c r="UTB1" t="s">
        <v>16244</v>
      </c>
      <c r="UTC1" t="s">
        <v>16245</v>
      </c>
      <c r="UTD1" t="s">
        <v>16246</v>
      </c>
      <c r="UTE1" t="s">
        <v>16247</v>
      </c>
      <c r="UTF1" t="s">
        <v>16248</v>
      </c>
      <c r="UTG1" t="s">
        <v>16249</v>
      </c>
      <c r="UTH1" t="s">
        <v>16250</v>
      </c>
      <c r="UTI1" t="s">
        <v>16251</v>
      </c>
      <c r="UTJ1" t="s">
        <v>16252</v>
      </c>
      <c r="UTK1" t="s">
        <v>16253</v>
      </c>
      <c r="UTL1" t="s">
        <v>16254</v>
      </c>
      <c r="UTM1" t="s">
        <v>16255</v>
      </c>
      <c r="UTN1" t="s">
        <v>16256</v>
      </c>
      <c r="UTO1" t="s">
        <v>16257</v>
      </c>
      <c r="UTP1" t="s">
        <v>16258</v>
      </c>
      <c r="UTQ1" t="s">
        <v>16259</v>
      </c>
      <c r="UTR1" t="s">
        <v>16260</v>
      </c>
      <c r="UTS1" t="s">
        <v>16261</v>
      </c>
      <c r="UTT1" t="s">
        <v>16262</v>
      </c>
      <c r="UTU1" t="s">
        <v>16263</v>
      </c>
      <c r="UTV1" t="s">
        <v>16264</v>
      </c>
      <c r="UTW1" t="s">
        <v>16265</v>
      </c>
      <c r="UTX1" t="s">
        <v>16266</v>
      </c>
      <c r="UTY1" t="s">
        <v>16267</v>
      </c>
      <c r="UTZ1" t="s">
        <v>16268</v>
      </c>
      <c r="UUA1" t="s">
        <v>16269</v>
      </c>
      <c r="UUB1" t="s">
        <v>16270</v>
      </c>
      <c r="UUC1" t="s">
        <v>16271</v>
      </c>
      <c r="UUD1" t="s">
        <v>16272</v>
      </c>
      <c r="UUE1" t="s">
        <v>16273</v>
      </c>
      <c r="UUF1" t="s">
        <v>16274</v>
      </c>
      <c r="UUG1" t="s">
        <v>16275</v>
      </c>
      <c r="UUH1" t="s">
        <v>16276</v>
      </c>
      <c r="UUI1" t="s">
        <v>16277</v>
      </c>
      <c r="UUJ1" t="s">
        <v>16278</v>
      </c>
      <c r="UUK1" t="s">
        <v>16279</v>
      </c>
      <c r="UUL1" t="s">
        <v>16280</v>
      </c>
      <c r="UUM1" t="s">
        <v>16281</v>
      </c>
      <c r="UUN1" t="s">
        <v>16282</v>
      </c>
      <c r="UUO1" t="s">
        <v>16283</v>
      </c>
      <c r="UUP1" t="s">
        <v>16284</v>
      </c>
      <c r="UUQ1" t="s">
        <v>16285</v>
      </c>
      <c r="UUR1" t="s">
        <v>16286</v>
      </c>
      <c r="UUS1" t="s">
        <v>16287</v>
      </c>
      <c r="UUT1" t="s">
        <v>16288</v>
      </c>
      <c r="UUU1" t="s">
        <v>16289</v>
      </c>
      <c r="UUV1" t="s">
        <v>16290</v>
      </c>
      <c r="UUW1" t="s">
        <v>16291</v>
      </c>
      <c r="UUX1" t="s">
        <v>16292</v>
      </c>
      <c r="UUY1" t="s">
        <v>16293</v>
      </c>
      <c r="UUZ1" t="s">
        <v>16294</v>
      </c>
      <c r="UVA1" t="s">
        <v>16295</v>
      </c>
      <c r="UVB1" t="s">
        <v>16296</v>
      </c>
      <c r="UVC1" t="s">
        <v>16297</v>
      </c>
      <c r="UVD1" t="s">
        <v>16298</v>
      </c>
      <c r="UVE1" t="s">
        <v>16299</v>
      </c>
      <c r="UVF1" t="s">
        <v>16300</v>
      </c>
      <c r="UVG1" t="s">
        <v>16301</v>
      </c>
      <c r="UVH1" t="s">
        <v>16302</v>
      </c>
      <c r="UVI1" t="s">
        <v>16303</v>
      </c>
      <c r="UVJ1" t="s">
        <v>16304</v>
      </c>
      <c r="UVK1" t="s">
        <v>16305</v>
      </c>
      <c r="UVL1" t="s">
        <v>16306</v>
      </c>
      <c r="UVM1" t="s">
        <v>16307</v>
      </c>
      <c r="UVN1" t="s">
        <v>16308</v>
      </c>
      <c r="UVO1" t="s">
        <v>16309</v>
      </c>
      <c r="UVP1" t="s">
        <v>16310</v>
      </c>
      <c r="UVQ1" t="s">
        <v>16311</v>
      </c>
      <c r="UVR1" t="s">
        <v>16312</v>
      </c>
      <c r="UVS1" t="s">
        <v>16313</v>
      </c>
      <c r="UVT1" t="s">
        <v>16314</v>
      </c>
      <c r="UVU1" t="s">
        <v>16315</v>
      </c>
      <c r="UVV1" t="s">
        <v>16316</v>
      </c>
      <c r="UVW1" t="s">
        <v>16317</v>
      </c>
      <c r="UVX1" t="s">
        <v>16318</v>
      </c>
      <c r="UVY1" t="s">
        <v>16319</v>
      </c>
      <c r="UVZ1" t="s">
        <v>16320</v>
      </c>
      <c r="UWA1" t="s">
        <v>16321</v>
      </c>
      <c r="UWB1" t="s">
        <v>16322</v>
      </c>
      <c r="UWC1" t="s">
        <v>16323</v>
      </c>
      <c r="UWD1" t="s">
        <v>16324</v>
      </c>
      <c r="UWE1" t="s">
        <v>16325</v>
      </c>
      <c r="UWF1" t="s">
        <v>16326</v>
      </c>
      <c r="UWG1" t="s">
        <v>16327</v>
      </c>
      <c r="UWH1" t="s">
        <v>16328</v>
      </c>
      <c r="UWI1" t="s">
        <v>16329</v>
      </c>
      <c r="UWJ1" t="s">
        <v>16330</v>
      </c>
      <c r="UWK1" t="s">
        <v>16331</v>
      </c>
      <c r="UWL1" t="s">
        <v>16332</v>
      </c>
      <c r="UWM1" t="s">
        <v>16333</v>
      </c>
      <c r="UWN1" t="s">
        <v>16334</v>
      </c>
      <c r="UWO1" t="s">
        <v>16335</v>
      </c>
      <c r="UWP1" t="s">
        <v>16336</v>
      </c>
      <c r="UWQ1" t="s">
        <v>16337</v>
      </c>
      <c r="UWR1" t="s">
        <v>16338</v>
      </c>
      <c r="UWS1" t="s">
        <v>16339</v>
      </c>
      <c r="UWT1" t="s">
        <v>16340</v>
      </c>
      <c r="UWU1" t="s">
        <v>16341</v>
      </c>
      <c r="UWV1" t="s">
        <v>16342</v>
      </c>
      <c r="UWW1" t="s">
        <v>16343</v>
      </c>
      <c r="UWX1" t="s">
        <v>16344</v>
      </c>
      <c r="UWY1" t="s">
        <v>16345</v>
      </c>
      <c r="UWZ1" t="s">
        <v>16346</v>
      </c>
      <c r="UXA1" t="s">
        <v>16347</v>
      </c>
      <c r="UXB1" t="s">
        <v>16348</v>
      </c>
      <c r="UXC1" t="s">
        <v>16349</v>
      </c>
      <c r="UXD1" t="s">
        <v>16350</v>
      </c>
      <c r="UXE1" t="s">
        <v>16351</v>
      </c>
      <c r="UXF1" t="s">
        <v>16352</v>
      </c>
      <c r="UXG1" t="s">
        <v>16353</v>
      </c>
      <c r="UXH1" t="s">
        <v>16354</v>
      </c>
      <c r="UXI1" t="s">
        <v>16355</v>
      </c>
      <c r="UXJ1" t="s">
        <v>16356</v>
      </c>
      <c r="UXK1" t="s">
        <v>16357</v>
      </c>
      <c r="UXL1" t="s">
        <v>16358</v>
      </c>
      <c r="UXM1" t="s">
        <v>16359</v>
      </c>
      <c r="UXN1" t="s">
        <v>16360</v>
      </c>
      <c r="UXO1" t="s">
        <v>16361</v>
      </c>
      <c r="UXP1" t="s">
        <v>16362</v>
      </c>
      <c r="UXQ1" t="s">
        <v>16363</v>
      </c>
      <c r="UXR1" t="s">
        <v>16364</v>
      </c>
      <c r="UXS1" t="s">
        <v>16365</v>
      </c>
      <c r="UXT1" t="s">
        <v>16366</v>
      </c>
      <c r="UXU1" t="s">
        <v>16367</v>
      </c>
      <c r="UXV1" t="s">
        <v>16368</v>
      </c>
      <c r="UXW1" t="s">
        <v>16369</v>
      </c>
      <c r="UXX1" t="s">
        <v>16370</v>
      </c>
      <c r="UXY1" t="s">
        <v>16371</v>
      </c>
      <c r="UXZ1" t="s">
        <v>16372</v>
      </c>
      <c r="UYA1" t="s">
        <v>16373</v>
      </c>
      <c r="UYB1" t="s">
        <v>16374</v>
      </c>
      <c r="UYC1" t="s">
        <v>16375</v>
      </c>
      <c r="UYD1" t="s">
        <v>16376</v>
      </c>
      <c r="UYE1" t="s">
        <v>16377</v>
      </c>
      <c r="UYF1" t="s">
        <v>16378</v>
      </c>
      <c r="UYG1" t="s">
        <v>16379</v>
      </c>
      <c r="UYH1" t="s">
        <v>16380</v>
      </c>
      <c r="UYI1" t="s">
        <v>16381</v>
      </c>
      <c r="UYJ1" t="s">
        <v>16382</v>
      </c>
      <c r="UYK1" t="s">
        <v>16383</v>
      </c>
      <c r="UYL1" t="s">
        <v>16384</v>
      </c>
      <c r="UYM1" t="s">
        <v>16385</v>
      </c>
      <c r="UYN1" t="s">
        <v>16386</v>
      </c>
      <c r="UYO1" t="s">
        <v>16387</v>
      </c>
      <c r="UYP1" t="s">
        <v>16388</v>
      </c>
      <c r="UYQ1" t="s">
        <v>16389</v>
      </c>
      <c r="UYR1" t="s">
        <v>16390</v>
      </c>
      <c r="UYS1" t="s">
        <v>16391</v>
      </c>
      <c r="UYT1" t="s">
        <v>16392</v>
      </c>
      <c r="UYU1" t="s">
        <v>16393</v>
      </c>
      <c r="UYV1" t="s">
        <v>16394</v>
      </c>
      <c r="UYW1" t="s">
        <v>16395</v>
      </c>
      <c r="UYX1" t="s">
        <v>16396</v>
      </c>
      <c r="UYY1" t="s">
        <v>16397</v>
      </c>
      <c r="UYZ1" t="s">
        <v>16398</v>
      </c>
      <c r="UZA1" t="s">
        <v>16399</v>
      </c>
      <c r="UZB1" t="s">
        <v>16400</v>
      </c>
      <c r="UZC1" t="s">
        <v>16401</v>
      </c>
      <c r="UZD1" t="s">
        <v>16402</v>
      </c>
      <c r="UZE1" t="s">
        <v>16403</v>
      </c>
      <c r="UZF1" t="s">
        <v>16404</v>
      </c>
      <c r="UZG1" t="s">
        <v>16405</v>
      </c>
      <c r="UZH1" t="s">
        <v>16406</v>
      </c>
      <c r="UZI1" t="s">
        <v>16407</v>
      </c>
      <c r="UZJ1" t="s">
        <v>16408</v>
      </c>
      <c r="UZK1" t="s">
        <v>16409</v>
      </c>
      <c r="UZL1" t="s">
        <v>16410</v>
      </c>
      <c r="UZM1" t="s">
        <v>16411</v>
      </c>
      <c r="UZN1" t="s">
        <v>16412</v>
      </c>
      <c r="UZO1" t="s">
        <v>16413</v>
      </c>
      <c r="UZP1" t="s">
        <v>16414</v>
      </c>
      <c r="UZQ1" t="s">
        <v>16415</v>
      </c>
      <c r="UZR1" t="s">
        <v>16416</v>
      </c>
      <c r="UZS1" t="s">
        <v>16417</v>
      </c>
      <c r="UZT1" t="s">
        <v>16418</v>
      </c>
      <c r="UZU1" t="s">
        <v>16419</v>
      </c>
      <c r="UZV1" t="s">
        <v>16420</v>
      </c>
      <c r="UZW1" t="s">
        <v>16421</v>
      </c>
      <c r="UZX1" t="s">
        <v>16422</v>
      </c>
      <c r="UZY1" t="s">
        <v>16423</v>
      </c>
      <c r="UZZ1" t="s">
        <v>16424</v>
      </c>
      <c r="VAA1" t="s">
        <v>16425</v>
      </c>
      <c r="VAB1" t="s">
        <v>16426</v>
      </c>
      <c r="VAC1" t="s">
        <v>16427</v>
      </c>
      <c r="VAD1" t="s">
        <v>16428</v>
      </c>
      <c r="VAE1" t="s">
        <v>16429</v>
      </c>
      <c r="VAF1" t="s">
        <v>16430</v>
      </c>
      <c r="VAG1" t="s">
        <v>16431</v>
      </c>
      <c r="VAH1" t="s">
        <v>16432</v>
      </c>
      <c r="VAI1" t="s">
        <v>16433</v>
      </c>
      <c r="VAJ1" t="s">
        <v>16434</v>
      </c>
      <c r="VAK1" t="s">
        <v>16435</v>
      </c>
      <c r="VAL1" t="s">
        <v>16436</v>
      </c>
      <c r="VAM1" t="s">
        <v>16437</v>
      </c>
      <c r="VAN1" t="s">
        <v>16438</v>
      </c>
      <c r="VAO1" t="s">
        <v>16439</v>
      </c>
      <c r="VAP1" t="s">
        <v>16440</v>
      </c>
      <c r="VAQ1" t="s">
        <v>16441</v>
      </c>
      <c r="VAR1" t="s">
        <v>16442</v>
      </c>
      <c r="VAS1" t="s">
        <v>16443</v>
      </c>
      <c r="VAT1" t="s">
        <v>16444</v>
      </c>
      <c r="VAU1" t="s">
        <v>16445</v>
      </c>
      <c r="VAV1" t="s">
        <v>16446</v>
      </c>
      <c r="VAW1" t="s">
        <v>16447</v>
      </c>
      <c r="VAX1" t="s">
        <v>16448</v>
      </c>
      <c r="VAY1" t="s">
        <v>16449</v>
      </c>
      <c r="VAZ1" t="s">
        <v>16450</v>
      </c>
      <c r="VBA1" t="s">
        <v>16451</v>
      </c>
      <c r="VBB1" t="s">
        <v>16452</v>
      </c>
      <c r="VBC1" t="s">
        <v>16453</v>
      </c>
      <c r="VBD1" t="s">
        <v>16454</v>
      </c>
      <c r="VBE1" t="s">
        <v>16455</v>
      </c>
      <c r="VBF1" t="s">
        <v>16456</v>
      </c>
      <c r="VBG1" t="s">
        <v>16457</v>
      </c>
      <c r="VBH1" t="s">
        <v>16458</v>
      </c>
      <c r="VBI1" t="s">
        <v>16459</v>
      </c>
      <c r="VBJ1" t="s">
        <v>16460</v>
      </c>
      <c r="VBK1" t="s">
        <v>16461</v>
      </c>
      <c r="VBL1" t="s">
        <v>16462</v>
      </c>
      <c r="VBM1" t="s">
        <v>16463</v>
      </c>
      <c r="VBN1" t="s">
        <v>16464</v>
      </c>
      <c r="VBO1" t="s">
        <v>16465</v>
      </c>
      <c r="VBP1" t="s">
        <v>16466</v>
      </c>
      <c r="VBQ1" t="s">
        <v>16467</v>
      </c>
      <c r="VBR1" t="s">
        <v>16468</v>
      </c>
      <c r="VBS1" t="s">
        <v>16469</v>
      </c>
      <c r="VBT1" t="s">
        <v>16470</v>
      </c>
      <c r="VBU1" t="s">
        <v>16471</v>
      </c>
      <c r="VBV1" t="s">
        <v>16472</v>
      </c>
      <c r="VBW1" t="s">
        <v>16473</v>
      </c>
      <c r="VBX1" t="s">
        <v>16474</v>
      </c>
      <c r="VBY1" t="s">
        <v>16475</v>
      </c>
      <c r="VBZ1" t="s">
        <v>16476</v>
      </c>
      <c r="VCA1" t="s">
        <v>16477</v>
      </c>
      <c r="VCB1" t="s">
        <v>16478</v>
      </c>
      <c r="VCC1" t="s">
        <v>16479</v>
      </c>
      <c r="VCD1" t="s">
        <v>16480</v>
      </c>
      <c r="VCE1" t="s">
        <v>16481</v>
      </c>
      <c r="VCF1" t="s">
        <v>16482</v>
      </c>
      <c r="VCG1" t="s">
        <v>16483</v>
      </c>
      <c r="VCH1" t="s">
        <v>16484</v>
      </c>
      <c r="VCI1" t="s">
        <v>16485</v>
      </c>
      <c r="VCJ1" t="s">
        <v>16486</v>
      </c>
      <c r="VCK1" t="s">
        <v>16487</v>
      </c>
      <c r="VCL1" t="s">
        <v>16488</v>
      </c>
      <c r="VCM1" t="s">
        <v>16489</v>
      </c>
      <c r="VCN1" t="s">
        <v>16490</v>
      </c>
      <c r="VCO1" t="s">
        <v>16491</v>
      </c>
      <c r="VCP1" t="s">
        <v>16492</v>
      </c>
      <c r="VCQ1" t="s">
        <v>16493</v>
      </c>
      <c r="VCR1" t="s">
        <v>16494</v>
      </c>
      <c r="VCS1" t="s">
        <v>16495</v>
      </c>
      <c r="VCT1" t="s">
        <v>16496</v>
      </c>
      <c r="VCU1" t="s">
        <v>16497</v>
      </c>
      <c r="VCV1" t="s">
        <v>16498</v>
      </c>
      <c r="VCW1" t="s">
        <v>16499</v>
      </c>
      <c r="VCX1" t="s">
        <v>16500</v>
      </c>
      <c r="VCY1" t="s">
        <v>16501</v>
      </c>
      <c r="VCZ1" t="s">
        <v>16502</v>
      </c>
      <c r="VDA1" t="s">
        <v>16503</v>
      </c>
      <c r="VDB1" t="s">
        <v>16504</v>
      </c>
      <c r="VDC1" t="s">
        <v>16505</v>
      </c>
      <c r="VDD1" t="s">
        <v>16506</v>
      </c>
      <c r="VDE1" t="s">
        <v>16507</v>
      </c>
      <c r="VDF1" t="s">
        <v>16508</v>
      </c>
      <c r="VDG1" t="s">
        <v>16509</v>
      </c>
      <c r="VDH1" t="s">
        <v>16510</v>
      </c>
      <c r="VDI1" t="s">
        <v>16511</v>
      </c>
      <c r="VDJ1" t="s">
        <v>16512</v>
      </c>
      <c r="VDK1" t="s">
        <v>16513</v>
      </c>
      <c r="VDL1" t="s">
        <v>16514</v>
      </c>
      <c r="VDM1" t="s">
        <v>16515</v>
      </c>
      <c r="VDN1" t="s">
        <v>16516</v>
      </c>
      <c r="VDO1" t="s">
        <v>16517</v>
      </c>
      <c r="VDP1" t="s">
        <v>16518</v>
      </c>
      <c r="VDQ1" t="s">
        <v>16519</v>
      </c>
      <c r="VDR1" t="s">
        <v>16520</v>
      </c>
      <c r="VDS1" t="s">
        <v>16521</v>
      </c>
      <c r="VDT1" t="s">
        <v>16522</v>
      </c>
      <c r="VDU1" t="s">
        <v>16523</v>
      </c>
      <c r="VDV1" t="s">
        <v>16524</v>
      </c>
      <c r="VDW1" t="s">
        <v>16525</v>
      </c>
      <c r="VDX1" t="s">
        <v>16526</v>
      </c>
      <c r="VDY1" t="s">
        <v>16527</v>
      </c>
      <c r="VDZ1" t="s">
        <v>16528</v>
      </c>
      <c r="VEA1" t="s">
        <v>16529</v>
      </c>
      <c r="VEB1" t="s">
        <v>16530</v>
      </c>
      <c r="VEC1" t="s">
        <v>16531</v>
      </c>
      <c r="VED1" t="s">
        <v>16532</v>
      </c>
      <c r="VEE1" t="s">
        <v>16533</v>
      </c>
      <c r="VEF1" t="s">
        <v>16534</v>
      </c>
      <c r="VEG1" t="s">
        <v>16535</v>
      </c>
      <c r="VEH1" t="s">
        <v>16536</v>
      </c>
      <c r="VEI1" t="s">
        <v>16537</v>
      </c>
      <c r="VEJ1" t="s">
        <v>16538</v>
      </c>
      <c r="VEK1" t="s">
        <v>16539</v>
      </c>
      <c r="VEL1" t="s">
        <v>16540</v>
      </c>
      <c r="VEM1" t="s">
        <v>16541</v>
      </c>
      <c r="VEN1" t="s">
        <v>16542</v>
      </c>
      <c r="VEO1" t="s">
        <v>16543</v>
      </c>
      <c r="VEP1" t="s">
        <v>16544</v>
      </c>
      <c r="VEQ1" t="s">
        <v>16545</v>
      </c>
      <c r="VER1" t="s">
        <v>16546</v>
      </c>
      <c r="VES1" t="s">
        <v>16547</v>
      </c>
      <c r="VET1" t="s">
        <v>16548</v>
      </c>
      <c r="VEU1" t="s">
        <v>16549</v>
      </c>
      <c r="VEV1" t="s">
        <v>16550</v>
      </c>
      <c r="VEW1" t="s">
        <v>16551</v>
      </c>
      <c r="VEX1" t="s">
        <v>16552</v>
      </c>
      <c r="VEY1" t="s">
        <v>16553</v>
      </c>
      <c r="VEZ1" t="s">
        <v>16554</v>
      </c>
      <c r="VFA1" t="s">
        <v>16555</v>
      </c>
      <c r="VFB1" t="s">
        <v>16556</v>
      </c>
      <c r="VFC1" t="s">
        <v>16557</v>
      </c>
      <c r="VFD1" t="s">
        <v>16558</v>
      </c>
      <c r="VFE1" t="s">
        <v>16559</v>
      </c>
      <c r="VFF1" t="s">
        <v>16560</v>
      </c>
      <c r="VFG1" t="s">
        <v>16561</v>
      </c>
      <c r="VFH1" t="s">
        <v>16562</v>
      </c>
      <c r="VFI1" t="s">
        <v>16563</v>
      </c>
      <c r="VFJ1" t="s">
        <v>16564</v>
      </c>
      <c r="VFK1" t="s">
        <v>16565</v>
      </c>
      <c r="VFL1" t="s">
        <v>16566</v>
      </c>
      <c r="VFM1" t="s">
        <v>16567</v>
      </c>
      <c r="VFN1" t="s">
        <v>16568</v>
      </c>
      <c r="VFO1" t="s">
        <v>16569</v>
      </c>
      <c r="VFP1" t="s">
        <v>16570</v>
      </c>
      <c r="VFQ1" t="s">
        <v>16571</v>
      </c>
      <c r="VFR1" t="s">
        <v>16572</v>
      </c>
      <c r="VFS1" t="s">
        <v>16573</v>
      </c>
      <c r="VFT1" t="s">
        <v>16574</v>
      </c>
      <c r="VFU1" t="s">
        <v>16575</v>
      </c>
      <c r="VFV1" t="s">
        <v>16576</v>
      </c>
      <c r="VFW1" t="s">
        <v>16577</v>
      </c>
      <c r="VFX1" t="s">
        <v>16578</v>
      </c>
      <c r="VFY1" t="s">
        <v>16579</v>
      </c>
      <c r="VFZ1" t="s">
        <v>16580</v>
      </c>
      <c r="VGA1" t="s">
        <v>16581</v>
      </c>
      <c r="VGB1" t="s">
        <v>16582</v>
      </c>
      <c r="VGC1" t="s">
        <v>16583</v>
      </c>
      <c r="VGD1" t="s">
        <v>16584</v>
      </c>
      <c r="VGE1" t="s">
        <v>16585</v>
      </c>
      <c r="VGF1" t="s">
        <v>16586</v>
      </c>
      <c r="VGG1" t="s">
        <v>16587</v>
      </c>
      <c r="VGH1" t="s">
        <v>16588</v>
      </c>
      <c r="VGI1" t="s">
        <v>16589</v>
      </c>
      <c r="VGJ1" t="s">
        <v>16590</v>
      </c>
      <c r="VGK1" t="s">
        <v>16591</v>
      </c>
      <c r="VGL1" t="s">
        <v>16592</v>
      </c>
      <c r="VGM1" t="s">
        <v>16593</v>
      </c>
      <c r="VGN1" t="s">
        <v>16594</v>
      </c>
      <c r="VGO1" t="s">
        <v>16595</v>
      </c>
      <c r="VGP1" t="s">
        <v>16596</v>
      </c>
      <c r="VGQ1" t="s">
        <v>16597</v>
      </c>
      <c r="VGR1" t="s">
        <v>16598</v>
      </c>
      <c r="VGS1" t="s">
        <v>16599</v>
      </c>
      <c r="VGT1" t="s">
        <v>16600</v>
      </c>
      <c r="VGU1" t="s">
        <v>16601</v>
      </c>
      <c r="VGV1" t="s">
        <v>16602</v>
      </c>
      <c r="VGW1" t="s">
        <v>16603</v>
      </c>
      <c r="VGX1" t="s">
        <v>16604</v>
      </c>
      <c r="VGY1" t="s">
        <v>16605</v>
      </c>
      <c r="VGZ1" t="s">
        <v>16606</v>
      </c>
      <c r="VHA1" t="s">
        <v>16607</v>
      </c>
      <c r="VHB1" t="s">
        <v>16608</v>
      </c>
      <c r="VHC1" t="s">
        <v>16609</v>
      </c>
      <c r="VHD1" t="s">
        <v>16610</v>
      </c>
      <c r="VHE1" t="s">
        <v>16611</v>
      </c>
      <c r="VHF1" t="s">
        <v>16612</v>
      </c>
      <c r="VHG1" t="s">
        <v>16613</v>
      </c>
      <c r="VHH1" t="s">
        <v>16614</v>
      </c>
      <c r="VHI1" t="s">
        <v>16615</v>
      </c>
      <c r="VHJ1" t="s">
        <v>16616</v>
      </c>
      <c r="VHK1" t="s">
        <v>16617</v>
      </c>
      <c r="VHL1" t="s">
        <v>16618</v>
      </c>
      <c r="VHM1" t="s">
        <v>16619</v>
      </c>
      <c r="VHN1" t="s">
        <v>16620</v>
      </c>
      <c r="VHO1" t="s">
        <v>16621</v>
      </c>
      <c r="VHP1" t="s">
        <v>16622</v>
      </c>
      <c r="VHQ1" t="s">
        <v>16623</v>
      </c>
      <c r="VHR1" t="s">
        <v>16624</v>
      </c>
      <c r="VHS1" t="s">
        <v>16625</v>
      </c>
      <c r="VHT1" t="s">
        <v>16626</v>
      </c>
      <c r="VHU1" t="s">
        <v>16627</v>
      </c>
      <c r="VHV1" t="s">
        <v>16628</v>
      </c>
      <c r="VHW1" t="s">
        <v>16629</v>
      </c>
      <c r="VHX1" t="s">
        <v>16630</v>
      </c>
      <c r="VHY1" t="s">
        <v>16631</v>
      </c>
      <c r="VHZ1" t="s">
        <v>16632</v>
      </c>
      <c r="VIA1" t="s">
        <v>16633</v>
      </c>
      <c r="VIB1" t="s">
        <v>16634</v>
      </c>
      <c r="VIC1" t="s">
        <v>16635</v>
      </c>
      <c r="VID1" t="s">
        <v>16636</v>
      </c>
      <c r="VIE1" t="s">
        <v>16637</v>
      </c>
      <c r="VIF1" t="s">
        <v>16638</v>
      </c>
      <c r="VIG1" t="s">
        <v>16639</v>
      </c>
      <c r="VIH1" t="s">
        <v>16640</v>
      </c>
      <c r="VII1" t="s">
        <v>16641</v>
      </c>
      <c r="VIJ1" t="s">
        <v>16642</v>
      </c>
      <c r="VIK1" t="s">
        <v>16643</v>
      </c>
      <c r="VIL1" t="s">
        <v>16644</v>
      </c>
      <c r="VIM1" t="s">
        <v>16645</v>
      </c>
      <c r="VIN1" t="s">
        <v>16646</v>
      </c>
      <c r="VIO1" t="s">
        <v>16647</v>
      </c>
      <c r="VIP1" t="s">
        <v>16648</v>
      </c>
      <c r="VIQ1" t="s">
        <v>16649</v>
      </c>
      <c r="VIR1" t="s">
        <v>16650</v>
      </c>
      <c r="VIS1" t="s">
        <v>16651</v>
      </c>
      <c r="VIT1" t="s">
        <v>16652</v>
      </c>
      <c r="VIU1" t="s">
        <v>16653</v>
      </c>
      <c r="VIV1" t="s">
        <v>16654</v>
      </c>
      <c r="VIW1" t="s">
        <v>16655</v>
      </c>
      <c r="VIX1" t="s">
        <v>16656</v>
      </c>
      <c r="VIY1" t="s">
        <v>16657</v>
      </c>
      <c r="VIZ1" t="s">
        <v>16658</v>
      </c>
      <c r="VJA1" t="s">
        <v>16659</v>
      </c>
      <c r="VJB1" t="s">
        <v>16660</v>
      </c>
      <c r="VJC1" t="s">
        <v>16661</v>
      </c>
      <c r="VJD1" t="s">
        <v>16662</v>
      </c>
      <c r="VJE1" t="s">
        <v>16663</v>
      </c>
      <c r="VJF1" t="s">
        <v>16664</v>
      </c>
      <c r="VJG1" t="s">
        <v>16665</v>
      </c>
      <c r="VJH1" t="s">
        <v>16666</v>
      </c>
      <c r="VJI1" t="s">
        <v>16667</v>
      </c>
      <c r="VJJ1" t="s">
        <v>16668</v>
      </c>
      <c r="VJK1" t="s">
        <v>16669</v>
      </c>
      <c r="VJL1" t="s">
        <v>16670</v>
      </c>
      <c r="VJM1" t="s">
        <v>16671</v>
      </c>
      <c r="VJN1" t="s">
        <v>16672</v>
      </c>
      <c r="VJO1" t="s">
        <v>16673</v>
      </c>
      <c r="VJP1" t="s">
        <v>16674</v>
      </c>
      <c r="VJQ1" t="s">
        <v>16675</v>
      </c>
      <c r="VJR1" t="s">
        <v>16676</v>
      </c>
      <c r="VJS1" t="s">
        <v>16677</v>
      </c>
      <c r="VJT1" t="s">
        <v>16678</v>
      </c>
      <c r="VJU1" t="s">
        <v>16679</v>
      </c>
      <c r="VJV1" t="s">
        <v>16680</v>
      </c>
      <c r="VJW1" t="s">
        <v>16681</v>
      </c>
      <c r="VJX1" t="s">
        <v>16682</v>
      </c>
      <c r="VJY1" t="s">
        <v>16683</v>
      </c>
      <c r="VJZ1" t="s">
        <v>16684</v>
      </c>
      <c r="VKA1" t="s">
        <v>16685</v>
      </c>
      <c r="VKB1" t="s">
        <v>16686</v>
      </c>
      <c r="VKC1" t="s">
        <v>16687</v>
      </c>
      <c r="VKD1" t="s">
        <v>16688</v>
      </c>
      <c r="VKE1" t="s">
        <v>16689</v>
      </c>
      <c r="VKF1" t="s">
        <v>16690</v>
      </c>
      <c r="VKG1" t="s">
        <v>16691</v>
      </c>
      <c r="VKH1" t="s">
        <v>16692</v>
      </c>
      <c r="VKI1" t="s">
        <v>16693</v>
      </c>
      <c r="VKJ1" t="s">
        <v>16694</v>
      </c>
      <c r="VKK1" t="s">
        <v>16695</v>
      </c>
      <c r="VKL1" t="s">
        <v>16696</v>
      </c>
      <c r="VKM1" t="s">
        <v>16697</v>
      </c>
      <c r="VKN1" t="s">
        <v>16698</v>
      </c>
      <c r="VKO1" t="s">
        <v>16699</v>
      </c>
      <c r="VKP1" t="s">
        <v>16700</v>
      </c>
      <c r="VKQ1" t="s">
        <v>16701</v>
      </c>
      <c r="VKR1" t="s">
        <v>16702</v>
      </c>
      <c r="VKS1" t="s">
        <v>16703</v>
      </c>
      <c r="VKT1" t="s">
        <v>16704</v>
      </c>
      <c r="VKU1" t="s">
        <v>16705</v>
      </c>
      <c r="VKV1" t="s">
        <v>16706</v>
      </c>
      <c r="VKW1" t="s">
        <v>16707</v>
      </c>
      <c r="VKX1" t="s">
        <v>16708</v>
      </c>
      <c r="VKY1" t="s">
        <v>16709</v>
      </c>
      <c r="VKZ1" t="s">
        <v>16710</v>
      </c>
      <c r="VLA1" t="s">
        <v>16711</v>
      </c>
      <c r="VLB1" t="s">
        <v>16712</v>
      </c>
      <c r="VLC1" t="s">
        <v>16713</v>
      </c>
      <c r="VLD1" t="s">
        <v>16714</v>
      </c>
      <c r="VLE1" t="s">
        <v>16715</v>
      </c>
      <c r="VLF1" t="s">
        <v>16716</v>
      </c>
      <c r="VLG1" t="s">
        <v>16717</v>
      </c>
      <c r="VLH1" t="s">
        <v>16718</v>
      </c>
      <c r="VLI1" t="s">
        <v>16719</v>
      </c>
      <c r="VLJ1" t="s">
        <v>16720</v>
      </c>
      <c r="VLK1" t="s">
        <v>16721</v>
      </c>
      <c r="VLL1" t="s">
        <v>16722</v>
      </c>
      <c r="VLM1" t="s">
        <v>16723</v>
      </c>
      <c r="VLN1" t="s">
        <v>16724</v>
      </c>
      <c r="VLO1" t="s">
        <v>16725</v>
      </c>
      <c r="VLP1" t="s">
        <v>16726</v>
      </c>
      <c r="VLQ1" t="s">
        <v>16727</v>
      </c>
      <c r="VLR1" t="s">
        <v>16728</v>
      </c>
      <c r="VLS1" t="s">
        <v>16729</v>
      </c>
      <c r="VLT1" t="s">
        <v>16730</v>
      </c>
      <c r="VLU1" t="s">
        <v>16731</v>
      </c>
      <c r="VLV1" t="s">
        <v>16732</v>
      </c>
      <c r="VLW1" t="s">
        <v>16733</v>
      </c>
      <c r="VLX1" t="s">
        <v>16734</v>
      </c>
      <c r="VLY1" t="s">
        <v>16735</v>
      </c>
      <c r="VLZ1" t="s">
        <v>16736</v>
      </c>
      <c r="VMA1" t="s">
        <v>16737</v>
      </c>
      <c r="VMB1" t="s">
        <v>16738</v>
      </c>
      <c r="VMC1" t="s">
        <v>16739</v>
      </c>
      <c r="VMD1" t="s">
        <v>16740</v>
      </c>
      <c r="VME1" t="s">
        <v>16741</v>
      </c>
      <c r="VMF1" t="s">
        <v>16742</v>
      </c>
      <c r="VMG1" t="s">
        <v>16743</v>
      </c>
      <c r="VMH1" t="s">
        <v>16744</v>
      </c>
      <c r="VMI1" t="s">
        <v>16745</v>
      </c>
      <c r="VMJ1" t="s">
        <v>16746</v>
      </c>
      <c r="VMK1" t="s">
        <v>16747</v>
      </c>
      <c r="VML1" t="s">
        <v>16748</v>
      </c>
      <c r="VMM1" t="s">
        <v>16749</v>
      </c>
      <c r="VMN1" t="s">
        <v>16750</v>
      </c>
      <c r="VMO1" t="s">
        <v>16751</v>
      </c>
      <c r="VMP1" t="s">
        <v>16752</v>
      </c>
      <c r="VMQ1" t="s">
        <v>16753</v>
      </c>
      <c r="VMR1" t="s">
        <v>16754</v>
      </c>
      <c r="VMS1" t="s">
        <v>16755</v>
      </c>
      <c r="VMT1" t="s">
        <v>16756</v>
      </c>
      <c r="VMU1" t="s">
        <v>16757</v>
      </c>
      <c r="VMV1" t="s">
        <v>16758</v>
      </c>
      <c r="VMW1" t="s">
        <v>16759</v>
      </c>
      <c r="VMX1" t="s">
        <v>16760</v>
      </c>
      <c r="VMY1" t="s">
        <v>16761</v>
      </c>
      <c r="VMZ1" t="s">
        <v>16762</v>
      </c>
      <c r="VNA1" t="s">
        <v>16763</v>
      </c>
      <c r="VNB1" t="s">
        <v>16764</v>
      </c>
      <c r="VNC1" t="s">
        <v>16765</v>
      </c>
      <c r="VND1" t="s">
        <v>16766</v>
      </c>
      <c r="VNE1" t="s">
        <v>16767</v>
      </c>
      <c r="VNF1" t="s">
        <v>16768</v>
      </c>
      <c r="VNG1" t="s">
        <v>16769</v>
      </c>
      <c r="VNH1" t="s">
        <v>16770</v>
      </c>
      <c r="VNI1" t="s">
        <v>16771</v>
      </c>
      <c r="VNJ1" t="s">
        <v>16772</v>
      </c>
      <c r="VNK1" t="s">
        <v>16773</v>
      </c>
      <c r="VNL1" t="s">
        <v>16774</v>
      </c>
      <c r="VNM1" t="s">
        <v>16775</v>
      </c>
      <c r="VNN1" t="s">
        <v>16776</v>
      </c>
      <c r="VNO1" t="s">
        <v>16777</v>
      </c>
      <c r="VNP1" t="s">
        <v>16778</v>
      </c>
      <c r="VNQ1" t="s">
        <v>16779</v>
      </c>
      <c r="VNR1" t="s">
        <v>16780</v>
      </c>
      <c r="VNS1" t="s">
        <v>16781</v>
      </c>
      <c r="VNT1" t="s">
        <v>16782</v>
      </c>
      <c r="VNU1" t="s">
        <v>16783</v>
      </c>
      <c r="VNV1" t="s">
        <v>16784</v>
      </c>
      <c r="VNW1" t="s">
        <v>16785</v>
      </c>
      <c r="VNX1" t="s">
        <v>16786</v>
      </c>
      <c r="VNY1" t="s">
        <v>16787</v>
      </c>
      <c r="VNZ1" t="s">
        <v>16788</v>
      </c>
      <c r="VOA1" t="s">
        <v>16789</v>
      </c>
      <c r="VOB1" t="s">
        <v>16790</v>
      </c>
      <c r="VOC1" t="s">
        <v>16791</v>
      </c>
      <c r="VOD1" t="s">
        <v>16792</v>
      </c>
      <c r="VOE1" t="s">
        <v>16793</v>
      </c>
      <c r="VOF1" t="s">
        <v>16794</v>
      </c>
      <c r="VOG1" t="s">
        <v>16795</v>
      </c>
      <c r="VOH1" t="s">
        <v>16796</v>
      </c>
      <c r="VOI1" t="s">
        <v>16797</v>
      </c>
      <c r="VOJ1" t="s">
        <v>16798</v>
      </c>
      <c r="VOK1" t="s">
        <v>16799</v>
      </c>
      <c r="VOL1" t="s">
        <v>16800</v>
      </c>
      <c r="VOM1" t="s">
        <v>16801</v>
      </c>
      <c r="VON1" t="s">
        <v>16802</v>
      </c>
      <c r="VOO1" t="s">
        <v>16803</v>
      </c>
      <c r="VOP1" t="s">
        <v>16804</v>
      </c>
      <c r="VOQ1" t="s">
        <v>16805</v>
      </c>
      <c r="VOR1" t="s">
        <v>16806</v>
      </c>
      <c r="VOS1" t="s">
        <v>16807</v>
      </c>
      <c r="VOT1" t="s">
        <v>16808</v>
      </c>
      <c r="VOU1" t="s">
        <v>16809</v>
      </c>
      <c r="VOV1" t="s">
        <v>16810</v>
      </c>
      <c r="VOW1" t="s">
        <v>16811</v>
      </c>
      <c r="VOX1" t="s">
        <v>16812</v>
      </c>
      <c r="VOY1" t="s">
        <v>16813</v>
      </c>
      <c r="VOZ1" t="s">
        <v>16814</v>
      </c>
      <c r="VPA1" t="s">
        <v>16815</v>
      </c>
      <c r="VPB1" t="s">
        <v>16816</v>
      </c>
      <c r="VPC1" t="s">
        <v>16817</v>
      </c>
      <c r="VPD1" t="s">
        <v>16818</v>
      </c>
      <c r="VPE1" t="s">
        <v>16819</v>
      </c>
      <c r="VPF1" t="s">
        <v>16820</v>
      </c>
      <c r="VPG1" t="s">
        <v>16821</v>
      </c>
      <c r="VPH1" t="s">
        <v>16822</v>
      </c>
      <c r="VPI1" t="s">
        <v>16823</v>
      </c>
      <c r="VPJ1" t="s">
        <v>16824</v>
      </c>
      <c r="VPK1" t="s">
        <v>16825</v>
      </c>
      <c r="VPL1" t="s">
        <v>16826</v>
      </c>
      <c r="VPM1" t="s">
        <v>16827</v>
      </c>
      <c r="VPN1" t="s">
        <v>16828</v>
      </c>
      <c r="VPO1" t="s">
        <v>16829</v>
      </c>
      <c r="VPP1" t="s">
        <v>16830</v>
      </c>
      <c r="VPQ1" t="s">
        <v>16831</v>
      </c>
      <c r="VPR1" t="s">
        <v>16832</v>
      </c>
      <c r="VPS1" t="s">
        <v>16833</v>
      </c>
      <c r="VPT1" t="s">
        <v>16834</v>
      </c>
      <c r="VPU1" t="s">
        <v>16835</v>
      </c>
      <c r="VPV1" t="s">
        <v>16836</v>
      </c>
      <c r="VPW1" t="s">
        <v>16837</v>
      </c>
      <c r="VPX1" t="s">
        <v>16838</v>
      </c>
      <c r="VPY1" t="s">
        <v>16839</v>
      </c>
      <c r="VPZ1" t="s">
        <v>16840</v>
      </c>
      <c r="VQA1" t="s">
        <v>16841</v>
      </c>
      <c r="VQB1" t="s">
        <v>16842</v>
      </c>
      <c r="VQC1" t="s">
        <v>16843</v>
      </c>
      <c r="VQD1" t="s">
        <v>16844</v>
      </c>
      <c r="VQE1" t="s">
        <v>16845</v>
      </c>
      <c r="VQF1" t="s">
        <v>16846</v>
      </c>
      <c r="VQG1" t="s">
        <v>16847</v>
      </c>
      <c r="VQH1" t="s">
        <v>16848</v>
      </c>
      <c r="VQI1" t="s">
        <v>16849</v>
      </c>
      <c r="VQJ1" t="s">
        <v>16850</v>
      </c>
      <c r="VQK1" t="s">
        <v>16851</v>
      </c>
      <c r="VQL1" t="s">
        <v>16852</v>
      </c>
      <c r="VQM1" t="s">
        <v>16853</v>
      </c>
      <c r="VQN1" t="s">
        <v>16854</v>
      </c>
      <c r="VQO1" t="s">
        <v>16855</v>
      </c>
      <c r="VQP1" t="s">
        <v>16856</v>
      </c>
      <c r="VQQ1" t="s">
        <v>16857</v>
      </c>
      <c r="VQR1" t="s">
        <v>16858</v>
      </c>
      <c r="VQS1" t="s">
        <v>16859</v>
      </c>
      <c r="VQT1" t="s">
        <v>16860</v>
      </c>
      <c r="VQU1" t="s">
        <v>16861</v>
      </c>
      <c r="VQV1" t="s">
        <v>16862</v>
      </c>
      <c r="VQW1" t="s">
        <v>16863</v>
      </c>
      <c r="VQX1" t="s">
        <v>16864</v>
      </c>
      <c r="VQY1" t="s">
        <v>16865</v>
      </c>
      <c r="VQZ1" t="s">
        <v>16866</v>
      </c>
      <c r="VRA1" t="s">
        <v>16867</v>
      </c>
      <c r="VRB1" t="s">
        <v>16868</v>
      </c>
      <c r="VRC1" t="s">
        <v>16869</v>
      </c>
      <c r="VRD1" t="s">
        <v>16870</v>
      </c>
      <c r="VRE1" t="s">
        <v>16871</v>
      </c>
      <c r="VRF1" t="s">
        <v>16872</v>
      </c>
      <c r="VRG1" t="s">
        <v>16873</v>
      </c>
      <c r="VRH1" t="s">
        <v>16874</v>
      </c>
      <c r="VRI1" t="s">
        <v>16875</v>
      </c>
      <c r="VRJ1" t="s">
        <v>16876</v>
      </c>
      <c r="VRK1" t="s">
        <v>16877</v>
      </c>
      <c r="VRL1" t="s">
        <v>16878</v>
      </c>
      <c r="VRM1" t="s">
        <v>16879</v>
      </c>
      <c r="VRN1" t="s">
        <v>16880</v>
      </c>
      <c r="VRO1" t="s">
        <v>16881</v>
      </c>
      <c r="VRP1" t="s">
        <v>16882</v>
      </c>
      <c r="VRQ1" t="s">
        <v>16883</v>
      </c>
      <c r="VRR1" t="s">
        <v>16884</v>
      </c>
      <c r="VRS1" t="s">
        <v>16885</v>
      </c>
      <c r="VRT1" t="s">
        <v>16886</v>
      </c>
      <c r="VRU1" t="s">
        <v>16887</v>
      </c>
      <c r="VRV1" t="s">
        <v>16888</v>
      </c>
      <c r="VRW1" t="s">
        <v>16889</v>
      </c>
      <c r="VRX1" t="s">
        <v>16890</v>
      </c>
      <c r="VRY1" t="s">
        <v>16891</v>
      </c>
      <c r="VRZ1" t="s">
        <v>16892</v>
      </c>
      <c r="VSA1" t="s">
        <v>16893</v>
      </c>
      <c r="VSB1" t="s">
        <v>16894</v>
      </c>
      <c r="VSC1" t="s">
        <v>16895</v>
      </c>
      <c r="VSD1" t="s">
        <v>16896</v>
      </c>
      <c r="VSE1" t="s">
        <v>16897</v>
      </c>
      <c r="VSF1" t="s">
        <v>16898</v>
      </c>
      <c r="VSG1" t="s">
        <v>16899</v>
      </c>
      <c r="VSH1" t="s">
        <v>16900</v>
      </c>
      <c r="VSI1" t="s">
        <v>16901</v>
      </c>
      <c r="VSJ1" t="s">
        <v>16902</v>
      </c>
      <c r="VSK1" t="s">
        <v>16903</v>
      </c>
      <c r="VSL1" t="s">
        <v>16904</v>
      </c>
      <c r="VSM1" t="s">
        <v>16905</v>
      </c>
      <c r="VSN1" t="s">
        <v>16906</v>
      </c>
      <c r="VSO1" t="s">
        <v>16907</v>
      </c>
      <c r="VSP1" t="s">
        <v>16908</v>
      </c>
      <c r="VSQ1" t="s">
        <v>16909</v>
      </c>
      <c r="VSR1" t="s">
        <v>16910</v>
      </c>
      <c r="VSS1" t="s">
        <v>16911</v>
      </c>
      <c r="VST1" t="s">
        <v>16912</v>
      </c>
      <c r="VSU1" t="s">
        <v>16913</v>
      </c>
      <c r="VSV1" t="s">
        <v>16914</v>
      </c>
      <c r="VSW1" t="s">
        <v>16915</v>
      </c>
      <c r="VSX1" t="s">
        <v>16916</v>
      </c>
      <c r="VSY1" t="s">
        <v>16917</v>
      </c>
      <c r="VSZ1" t="s">
        <v>16918</v>
      </c>
      <c r="VTA1" t="s">
        <v>16919</v>
      </c>
      <c r="VTB1" t="s">
        <v>16920</v>
      </c>
      <c r="VTC1" t="s">
        <v>16921</v>
      </c>
      <c r="VTD1" t="s">
        <v>16922</v>
      </c>
      <c r="VTE1" t="s">
        <v>16923</v>
      </c>
      <c r="VTF1" t="s">
        <v>16924</v>
      </c>
      <c r="VTG1" t="s">
        <v>16925</v>
      </c>
      <c r="VTH1" t="s">
        <v>16926</v>
      </c>
      <c r="VTI1" t="s">
        <v>16927</v>
      </c>
      <c r="VTJ1" t="s">
        <v>16928</v>
      </c>
      <c r="VTK1" t="s">
        <v>16929</v>
      </c>
      <c r="VTL1" t="s">
        <v>16930</v>
      </c>
      <c r="VTM1" t="s">
        <v>16931</v>
      </c>
      <c r="VTN1" t="s">
        <v>16932</v>
      </c>
      <c r="VTO1" t="s">
        <v>16933</v>
      </c>
      <c r="VTP1" t="s">
        <v>16934</v>
      </c>
      <c r="VTQ1" t="s">
        <v>16935</v>
      </c>
      <c r="VTR1" t="s">
        <v>16936</v>
      </c>
      <c r="VTS1" t="s">
        <v>16937</v>
      </c>
      <c r="VTT1" t="s">
        <v>16938</v>
      </c>
      <c r="VTU1" t="s">
        <v>16939</v>
      </c>
      <c r="VTV1" t="s">
        <v>16940</v>
      </c>
      <c r="VTW1" t="s">
        <v>16941</v>
      </c>
      <c r="VTX1" t="s">
        <v>16942</v>
      </c>
      <c r="VTY1" t="s">
        <v>16943</v>
      </c>
      <c r="VTZ1" t="s">
        <v>16944</v>
      </c>
      <c r="VUA1" t="s">
        <v>16945</v>
      </c>
      <c r="VUB1" t="s">
        <v>16946</v>
      </c>
      <c r="VUC1" t="s">
        <v>16947</v>
      </c>
      <c r="VUD1" t="s">
        <v>16948</v>
      </c>
      <c r="VUE1" t="s">
        <v>16949</v>
      </c>
      <c r="VUF1" t="s">
        <v>16950</v>
      </c>
      <c r="VUG1" t="s">
        <v>16951</v>
      </c>
      <c r="VUH1" t="s">
        <v>16952</v>
      </c>
      <c r="VUI1" t="s">
        <v>16953</v>
      </c>
      <c r="VUJ1" t="s">
        <v>16954</v>
      </c>
      <c r="VUK1" t="s">
        <v>16955</v>
      </c>
      <c r="VUL1" t="s">
        <v>16956</v>
      </c>
      <c r="VUM1" t="s">
        <v>16957</v>
      </c>
      <c r="VUN1" t="s">
        <v>16958</v>
      </c>
      <c r="VUO1" t="s">
        <v>16959</v>
      </c>
      <c r="VUP1" t="s">
        <v>16960</v>
      </c>
      <c r="VUQ1" t="s">
        <v>16961</v>
      </c>
      <c r="VUR1" t="s">
        <v>16962</v>
      </c>
      <c r="VUS1" t="s">
        <v>16963</v>
      </c>
      <c r="VUT1" t="s">
        <v>16964</v>
      </c>
      <c r="VUU1" t="s">
        <v>16965</v>
      </c>
      <c r="VUV1" t="s">
        <v>16966</v>
      </c>
      <c r="VUW1" t="s">
        <v>16967</v>
      </c>
      <c r="VUX1" t="s">
        <v>16968</v>
      </c>
      <c r="VUY1" t="s">
        <v>16969</v>
      </c>
      <c r="VUZ1" t="s">
        <v>16970</v>
      </c>
      <c r="VVA1" t="s">
        <v>16971</v>
      </c>
      <c r="VVB1" t="s">
        <v>16972</v>
      </c>
      <c r="VVC1" t="s">
        <v>16973</v>
      </c>
      <c r="VVD1" t="s">
        <v>16974</v>
      </c>
      <c r="VVE1" t="s">
        <v>16975</v>
      </c>
      <c r="VVF1" t="s">
        <v>16976</v>
      </c>
      <c r="VVG1" t="s">
        <v>16977</v>
      </c>
      <c r="VVH1" t="s">
        <v>16978</v>
      </c>
      <c r="VVI1" t="s">
        <v>16979</v>
      </c>
      <c r="VVJ1" t="s">
        <v>16980</v>
      </c>
      <c r="VVK1" t="s">
        <v>16981</v>
      </c>
      <c r="VVL1" t="s">
        <v>16982</v>
      </c>
      <c r="VVM1" t="s">
        <v>16983</v>
      </c>
      <c r="VVN1" t="s">
        <v>16984</v>
      </c>
      <c r="VVO1" t="s">
        <v>16985</v>
      </c>
      <c r="VVP1" t="s">
        <v>16986</v>
      </c>
      <c r="VVQ1" t="s">
        <v>16987</v>
      </c>
      <c r="VVR1" t="s">
        <v>16988</v>
      </c>
      <c r="VVS1" t="s">
        <v>16989</v>
      </c>
      <c r="VVT1" t="s">
        <v>16990</v>
      </c>
      <c r="VVU1" t="s">
        <v>16991</v>
      </c>
      <c r="VVV1" t="s">
        <v>16992</v>
      </c>
      <c r="VVW1" t="s">
        <v>16993</v>
      </c>
      <c r="VVX1" t="s">
        <v>16994</v>
      </c>
      <c r="VVY1" t="s">
        <v>16995</v>
      </c>
      <c r="VVZ1" t="s">
        <v>16996</v>
      </c>
      <c r="VWA1" t="s">
        <v>16997</v>
      </c>
      <c r="VWB1" t="s">
        <v>16998</v>
      </c>
      <c r="VWC1" t="s">
        <v>16999</v>
      </c>
      <c r="VWD1" t="s">
        <v>17000</v>
      </c>
      <c r="VWE1" t="s">
        <v>17001</v>
      </c>
      <c r="VWF1" t="s">
        <v>17002</v>
      </c>
      <c r="VWG1" t="s">
        <v>17003</v>
      </c>
      <c r="VWH1" t="s">
        <v>17004</v>
      </c>
      <c r="VWI1" t="s">
        <v>17005</v>
      </c>
      <c r="VWJ1" t="s">
        <v>17006</v>
      </c>
      <c r="VWK1" t="s">
        <v>17007</v>
      </c>
      <c r="VWL1" t="s">
        <v>17008</v>
      </c>
      <c r="VWM1" t="s">
        <v>17009</v>
      </c>
      <c r="VWN1" t="s">
        <v>17010</v>
      </c>
      <c r="VWO1" t="s">
        <v>17011</v>
      </c>
      <c r="VWP1" t="s">
        <v>17012</v>
      </c>
      <c r="VWQ1" t="s">
        <v>17013</v>
      </c>
      <c r="VWR1" t="s">
        <v>17014</v>
      </c>
      <c r="VWS1" t="s">
        <v>17015</v>
      </c>
      <c r="VWT1" t="s">
        <v>17016</v>
      </c>
      <c r="VWU1" t="s">
        <v>17017</v>
      </c>
      <c r="VWV1" t="s">
        <v>17018</v>
      </c>
      <c r="VWW1" t="s">
        <v>17019</v>
      </c>
      <c r="VWX1" t="s">
        <v>17020</v>
      </c>
      <c r="VWY1" t="s">
        <v>17021</v>
      </c>
      <c r="VWZ1" t="s">
        <v>17022</v>
      </c>
      <c r="VXA1" t="s">
        <v>17023</v>
      </c>
      <c r="VXB1" t="s">
        <v>17024</v>
      </c>
      <c r="VXC1" t="s">
        <v>17025</v>
      </c>
      <c r="VXD1" t="s">
        <v>17026</v>
      </c>
      <c r="VXE1" t="s">
        <v>17027</v>
      </c>
      <c r="VXF1" t="s">
        <v>17028</v>
      </c>
      <c r="VXG1" t="s">
        <v>17029</v>
      </c>
      <c r="VXH1" t="s">
        <v>17030</v>
      </c>
      <c r="VXI1" t="s">
        <v>17031</v>
      </c>
      <c r="VXJ1" t="s">
        <v>17032</v>
      </c>
      <c r="VXK1" t="s">
        <v>17033</v>
      </c>
      <c r="VXL1" t="s">
        <v>17034</v>
      </c>
      <c r="VXM1" t="s">
        <v>17035</v>
      </c>
      <c r="VXN1" t="s">
        <v>17036</v>
      </c>
      <c r="VXO1" t="s">
        <v>17037</v>
      </c>
      <c r="VXP1" t="s">
        <v>17038</v>
      </c>
      <c r="VXQ1" t="s">
        <v>17039</v>
      </c>
      <c r="VXR1" t="s">
        <v>17040</v>
      </c>
      <c r="VXS1" t="s">
        <v>17041</v>
      </c>
      <c r="VXT1" t="s">
        <v>17042</v>
      </c>
      <c r="VXU1" t="s">
        <v>17043</v>
      </c>
      <c r="VXV1" t="s">
        <v>17044</v>
      </c>
      <c r="VXW1" t="s">
        <v>17045</v>
      </c>
      <c r="VXX1" t="s">
        <v>17046</v>
      </c>
      <c r="VXY1" t="s">
        <v>17047</v>
      </c>
      <c r="VXZ1" t="s">
        <v>17048</v>
      </c>
      <c r="VYA1" t="s">
        <v>17049</v>
      </c>
      <c r="VYB1" t="s">
        <v>17050</v>
      </c>
      <c r="VYC1" t="s">
        <v>17051</v>
      </c>
      <c r="VYD1" t="s">
        <v>17052</v>
      </c>
      <c r="VYE1" t="s">
        <v>17053</v>
      </c>
      <c r="VYF1" t="s">
        <v>17054</v>
      </c>
      <c r="VYG1" t="s">
        <v>17055</v>
      </c>
      <c r="VYH1" t="s">
        <v>17056</v>
      </c>
      <c r="VYI1" t="s">
        <v>17057</v>
      </c>
      <c r="VYJ1" t="s">
        <v>17058</v>
      </c>
      <c r="VYK1" t="s">
        <v>17059</v>
      </c>
      <c r="VYL1" t="s">
        <v>17060</v>
      </c>
      <c r="VYM1" t="s">
        <v>17061</v>
      </c>
      <c r="VYN1" t="s">
        <v>17062</v>
      </c>
      <c r="VYO1" t="s">
        <v>17063</v>
      </c>
      <c r="VYP1" t="s">
        <v>17064</v>
      </c>
      <c r="VYQ1" t="s">
        <v>17065</v>
      </c>
      <c r="VYR1" t="s">
        <v>17066</v>
      </c>
      <c r="VYS1" t="s">
        <v>17067</v>
      </c>
      <c r="VYT1" t="s">
        <v>17068</v>
      </c>
      <c r="VYU1" t="s">
        <v>17069</v>
      </c>
      <c r="VYV1" t="s">
        <v>17070</v>
      </c>
      <c r="VYW1" t="s">
        <v>17071</v>
      </c>
      <c r="VYX1" t="s">
        <v>17072</v>
      </c>
      <c r="VYY1" t="s">
        <v>17073</v>
      </c>
      <c r="VYZ1" t="s">
        <v>17074</v>
      </c>
      <c r="VZA1" t="s">
        <v>17075</v>
      </c>
      <c r="VZB1" t="s">
        <v>17076</v>
      </c>
      <c r="VZC1" t="s">
        <v>17077</v>
      </c>
      <c r="VZD1" t="s">
        <v>17078</v>
      </c>
      <c r="VZE1" t="s">
        <v>17079</v>
      </c>
      <c r="VZF1" t="s">
        <v>17080</v>
      </c>
      <c r="VZG1" t="s">
        <v>17081</v>
      </c>
      <c r="VZH1" t="s">
        <v>17082</v>
      </c>
      <c r="VZI1" t="s">
        <v>17083</v>
      </c>
      <c r="VZJ1" t="s">
        <v>17084</v>
      </c>
      <c r="VZK1" t="s">
        <v>17085</v>
      </c>
      <c r="VZL1" t="s">
        <v>17086</v>
      </c>
      <c r="VZM1" t="s">
        <v>17087</v>
      </c>
      <c r="VZN1" t="s">
        <v>17088</v>
      </c>
      <c r="VZO1" t="s">
        <v>17089</v>
      </c>
      <c r="VZP1" t="s">
        <v>17090</v>
      </c>
      <c r="VZQ1" t="s">
        <v>17091</v>
      </c>
      <c r="VZR1" t="s">
        <v>17092</v>
      </c>
      <c r="VZS1" t="s">
        <v>17093</v>
      </c>
      <c r="VZT1" t="s">
        <v>17094</v>
      </c>
      <c r="VZU1" t="s">
        <v>17095</v>
      </c>
      <c r="VZV1" t="s">
        <v>17096</v>
      </c>
      <c r="VZW1" t="s">
        <v>17097</v>
      </c>
      <c r="VZX1" t="s">
        <v>17098</v>
      </c>
      <c r="VZY1" t="s">
        <v>17099</v>
      </c>
      <c r="VZZ1" t="s">
        <v>17100</v>
      </c>
      <c r="WAA1" t="s">
        <v>17101</v>
      </c>
      <c r="WAB1" t="s">
        <v>17102</v>
      </c>
      <c r="WAC1" t="s">
        <v>17103</v>
      </c>
      <c r="WAD1" t="s">
        <v>17104</v>
      </c>
      <c r="WAE1" t="s">
        <v>17105</v>
      </c>
      <c r="WAF1" t="s">
        <v>17106</v>
      </c>
      <c r="WAG1" t="s">
        <v>17107</v>
      </c>
      <c r="WAH1" t="s">
        <v>17108</v>
      </c>
      <c r="WAI1" t="s">
        <v>17109</v>
      </c>
      <c r="WAJ1" t="s">
        <v>17110</v>
      </c>
      <c r="WAK1" t="s">
        <v>17111</v>
      </c>
      <c r="WAL1" t="s">
        <v>17112</v>
      </c>
      <c r="WAM1" t="s">
        <v>17113</v>
      </c>
      <c r="WAN1" t="s">
        <v>17114</v>
      </c>
      <c r="WAO1" t="s">
        <v>17115</v>
      </c>
      <c r="WAP1" t="s">
        <v>17116</v>
      </c>
      <c r="WAQ1" t="s">
        <v>17117</v>
      </c>
      <c r="WAR1" t="s">
        <v>17118</v>
      </c>
      <c r="WAS1" t="s">
        <v>17119</v>
      </c>
      <c r="WAT1" t="s">
        <v>17120</v>
      </c>
      <c r="WAU1" t="s">
        <v>17121</v>
      </c>
      <c r="WAV1" t="s">
        <v>17122</v>
      </c>
      <c r="WAW1" t="s">
        <v>17123</v>
      </c>
      <c r="WAX1" t="s">
        <v>17124</v>
      </c>
      <c r="WAY1" t="s">
        <v>17125</v>
      </c>
      <c r="WAZ1" t="s">
        <v>17126</v>
      </c>
      <c r="WBA1" t="s">
        <v>17127</v>
      </c>
      <c r="WBB1" t="s">
        <v>17128</v>
      </c>
      <c r="WBC1" t="s">
        <v>17129</v>
      </c>
      <c r="WBD1" t="s">
        <v>17130</v>
      </c>
      <c r="WBE1" t="s">
        <v>17131</v>
      </c>
      <c r="WBF1" t="s">
        <v>17132</v>
      </c>
      <c r="WBG1" t="s">
        <v>17133</v>
      </c>
      <c r="WBH1" t="s">
        <v>17134</v>
      </c>
      <c r="WBI1" t="s">
        <v>17135</v>
      </c>
      <c r="WBJ1" t="s">
        <v>17136</v>
      </c>
      <c r="WBK1" t="s">
        <v>17137</v>
      </c>
      <c r="WBL1" t="s">
        <v>17138</v>
      </c>
      <c r="WBM1" t="s">
        <v>17139</v>
      </c>
      <c r="WBN1" t="s">
        <v>17140</v>
      </c>
      <c r="WBO1" t="s">
        <v>17141</v>
      </c>
      <c r="WBP1" t="s">
        <v>17142</v>
      </c>
      <c r="WBQ1" t="s">
        <v>17143</v>
      </c>
      <c r="WBR1" t="s">
        <v>17144</v>
      </c>
      <c r="WBS1" t="s">
        <v>17145</v>
      </c>
      <c r="WBT1" t="s">
        <v>17146</v>
      </c>
      <c r="WBU1" t="s">
        <v>17147</v>
      </c>
      <c r="WBV1" t="s">
        <v>17148</v>
      </c>
      <c r="WBW1" t="s">
        <v>17149</v>
      </c>
      <c r="WBX1" t="s">
        <v>17150</v>
      </c>
      <c r="WBY1" t="s">
        <v>17151</v>
      </c>
      <c r="WBZ1" t="s">
        <v>17152</v>
      </c>
      <c r="WCA1" t="s">
        <v>17153</v>
      </c>
      <c r="WCB1" t="s">
        <v>17154</v>
      </c>
      <c r="WCC1" t="s">
        <v>17155</v>
      </c>
      <c r="WCD1" t="s">
        <v>17156</v>
      </c>
      <c r="WCE1" t="s">
        <v>17157</v>
      </c>
      <c r="WCF1" t="s">
        <v>17158</v>
      </c>
      <c r="WCG1" t="s">
        <v>17159</v>
      </c>
      <c r="WCH1" t="s">
        <v>17160</v>
      </c>
      <c r="WCI1" t="s">
        <v>17161</v>
      </c>
      <c r="WCJ1" t="s">
        <v>17162</v>
      </c>
      <c r="WCK1" t="s">
        <v>17163</v>
      </c>
      <c r="WCL1" t="s">
        <v>17164</v>
      </c>
      <c r="WCM1" t="s">
        <v>17165</v>
      </c>
      <c r="WCN1" t="s">
        <v>17166</v>
      </c>
      <c r="WCO1" t="s">
        <v>17167</v>
      </c>
      <c r="WCP1" t="s">
        <v>17168</v>
      </c>
      <c r="WCQ1" t="s">
        <v>17169</v>
      </c>
      <c r="WCR1" t="s">
        <v>17170</v>
      </c>
      <c r="WCS1" t="s">
        <v>17171</v>
      </c>
      <c r="WCT1" t="s">
        <v>17172</v>
      </c>
      <c r="WCU1" t="s">
        <v>17173</v>
      </c>
      <c r="WCV1" t="s">
        <v>17174</v>
      </c>
      <c r="WCW1" t="s">
        <v>17175</v>
      </c>
      <c r="WCX1" t="s">
        <v>17176</v>
      </c>
      <c r="WCY1" t="s">
        <v>17177</v>
      </c>
      <c r="WCZ1" t="s">
        <v>17178</v>
      </c>
      <c r="WDA1" t="s">
        <v>17179</v>
      </c>
      <c r="WDB1" t="s">
        <v>17180</v>
      </c>
      <c r="WDC1" t="s">
        <v>17181</v>
      </c>
      <c r="WDD1" t="s">
        <v>17182</v>
      </c>
      <c r="WDE1" t="s">
        <v>17183</v>
      </c>
      <c r="WDF1" t="s">
        <v>17184</v>
      </c>
      <c r="WDG1" t="s">
        <v>17185</v>
      </c>
      <c r="WDH1" t="s">
        <v>17186</v>
      </c>
      <c r="WDI1" t="s">
        <v>17187</v>
      </c>
      <c r="WDJ1" t="s">
        <v>17188</v>
      </c>
      <c r="WDK1" t="s">
        <v>17189</v>
      </c>
      <c r="WDL1" t="s">
        <v>17190</v>
      </c>
      <c r="WDM1" t="s">
        <v>17191</v>
      </c>
      <c r="WDN1" t="s">
        <v>17192</v>
      </c>
      <c r="WDO1" t="s">
        <v>17193</v>
      </c>
      <c r="WDP1" t="s">
        <v>17194</v>
      </c>
      <c r="WDQ1" t="s">
        <v>17195</v>
      </c>
      <c r="WDR1" t="s">
        <v>17196</v>
      </c>
      <c r="WDS1" t="s">
        <v>17197</v>
      </c>
      <c r="WDT1" t="s">
        <v>17198</v>
      </c>
      <c r="WDU1" t="s">
        <v>17199</v>
      </c>
      <c r="WDV1" t="s">
        <v>17200</v>
      </c>
      <c r="WDW1" t="s">
        <v>17201</v>
      </c>
      <c r="WDX1" t="s">
        <v>17202</v>
      </c>
      <c r="WDY1" t="s">
        <v>17203</v>
      </c>
      <c r="WDZ1" t="s">
        <v>17204</v>
      </c>
      <c r="WEA1" t="s">
        <v>17205</v>
      </c>
      <c r="WEB1" t="s">
        <v>17206</v>
      </c>
      <c r="WEC1" t="s">
        <v>17207</v>
      </c>
      <c r="WED1" t="s">
        <v>17208</v>
      </c>
      <c r="WEE1" t="s">
        <v>17209</v>
      </c>
      <c r="WEF1" t="s">
        <v>17210</v>
      </c>
      <c r="WEG1" t="s">
        <v>17211</v>
      </c>
      <c r="WEH1" t="s">
        <v>17212</v>
      </c>
      <c r="WEI1" t="s">
        <v>17213</v>
      </c>
      <c r="WEJ1" t="s">
        <v>17214</v>
      </c>
      <c r="WEK1" t="s">
        <v>17215</v>
      </c>
      <c r="WEL1" t="s">
        <v>17216</v>
      </c>
      <c r="WEM1" t="s">
        <v>17217</v>
      </c>
      <c r="WEN1" t="s">
        <v>17218</v>
      </c>
      <c r="WEO1" t="s">
        <v>17219</v>
      </c>
      <c r="WEP1" t="s">
        <v>17220</v>
      </c>
      <c r="WEQ1" t="s">
        <v>17221</v>
      </c>
      <c r="WER1" t="s">
        <v>17222</v>
      </c>
      <c r="WES1" t="s">
        <v>17223</v>
      </c>
      <c r="WET1" t="s">
        <v>17224</v>
      </c>
      <c r="WEU1" t="s">
        <v>17225</v>
      </c>
      <c r="WEV1" t="s">
        <v>17226</v>
      </c>
      <c r="WEW1" t="s">
        <v>17227</v>
      </c>
      <c r="WEX1" t="s">
        <v>17228</v>
      </c>
      <c r="WEY1" t="s">
        <v>17229</v>
      </c>
      <c r="WEZ1" t="s">
        <v>17230</v>
      </c>
      <c r="WFA1" t="s">
        <v>17231</v>
      </c>
      <c r="WFB1" t="s">
        <v>17232</v>
      </c>
      <c r="WFC1" t="s">
        <v>17233</v>
      </c>
      <c r="WFD1" t="s">
        <v>17234</v>
      </c>
      <c r="WFE1" t="s">
        <v>17235</v>
      </c>
      <c r="WFF1" t="s">
        <v>17236</v>
      </c>
      <c r="WFG1" t="s">
        <v>17237</v>
      </c>
      <c r="WFH1" t="s">
        <v>17238</v>
      </c>
      <c r="WFI1" t="s">
        <v>17239</v>
      </c>
      <c r="WFJ1" t="s">
        <v>17240</v>
      </c>
      <c r="WFK1" t="s">
        <v>17241</v>
      </c>
      <c r="WFL1" t="s">
        <v>17242</v>
      </c>
      <c r="WFM1" t="s">
        <v>17243</v>
      </c>
      <c r="WFN1" t="s">
        <v>17244</v>
      </c>
      <c r="WFO1" t="s">
        <v>17245</v>
      </c>
      <c r="WFP1" t="s">
        <v>17246</v>
      </c>
      <c r="WFQ1" t="s">
        <v>17247</v>
      </c>
      <c r="WFR1" t="s">
        <v>17248</v>
      </c>
      <c r="WFS1" t="s">
        <v>17249</v>
      </c>
      <c r="WFT1" t="s">
        <v>17250</v>
      </c>
      <c r="WFU1" t="s">
        <v>17251</v>
      </c>
      <c r="WFV1" t="s">
        <v>17252</v>
      </c>
      <c r="WFW1" t="s">
        <v>17253</v>
      </c>
      <c r="WFX1" t="s">
        <v>17254</v>
      </c>
      <c r="WFY1" t="s">
        <v>17255</v>
      </c>
      <c r="WFZ1" t="s">
        <v>17256</v>
      </c>
      <c r="WGA1" t="s">
        <v>17257</v>
      </c>
      <c r="WGB1" t="s">
        <v>17258</v>
      </c>
      <c r="WGC1" t="s">
        <v>17259</v>
      </c>
      <c r="WGD1" t="s">
        <v>17260</v>
      </c>
      <c r="WGE1" t="s">
        <v>17261</v>
      </c>
      <c r="WGF1" t="s">
        <v>17262</v>
      </c>
      <c r="WGG1" t="s">
        <v>17263</v>
      </c>
      <c r="WGH1" t="s">
        <v>17264</v>
      </c>
      <c r="WGI1" t="s">
        <v>17265</v>
      </c>
      <c r="WGJ1" t="s">
        <v>17266</v>
      </c>
      <c r="WGK1" t="s">
        <v>17267</v>
      </c>
      <c r="WGL1" t="s">
        <v>17268</v>
      </c>
      <c r="WGM1" t="s">
        <v>17269</v>
      </c>
      <c r="WGN1" t="s">
        <v>17270</v>
      </c>
      <c r="WGO1" t="s">
        <v>17271</v>
      </c>
      <c r="WGP1" t="s">
        <v>17272</v>
      </c>
      <c r="WGQ1" t="s">
        <v>17273</v>
      </c>
      <c r="WGR1" t="s">
        <v>17274</v>
      </c>
      <c r="WGS1" t="s">
        <v>17275</v>
      </c>
      <c r="WGT1" t="s">
        <v>17276</v>
      </c>
      <c r="WGU1" t="s">
        <v>17277</v>
      </c>
      <c r="WGV1" t="s">
        <v>17278</v>
      </c>
      <c r="WGW1" t="s">
        <v>17279</v>
      </c>
      <c r="WGX1" t="s">
        <v>17280</v>
      </c>
      <c r="WGY1" t="s">
        <v>17281</v>
      </c>
      <c r="WGZ1" t="s">
        <v>17282</v>
      </c>
      <c r="WHA1" t="s">
        <v>17283</v>
      </c>
      <c r="WHB1" t="s">
        <v>17284</v>
      </c>
      <c r="WHC1" t="s">
        <v>17285</v>
      </c>
      <c r="WHD1" t="s">
        <v>17286</v>
      </c>
      <c r="WHE1" t="s">
        <v>17287</v>
      </c>
      <c r="WHF1" t="s">
        <v>17288</v>
      </c>
      <c r="WHG1" t="s">
        <v>17289</v>
      </c>
      <c r="WHH1" t="s">
        <v>17290</v>
      </c>
      <c r="WHI1" t="s">
        <v>17291</v>
      </c>
      <c r="WHJ1" t="s">
        <v>17292</v>
      </c>
      <c r="WHK1" t="s">
        <v>17293</v>
      </c>
      <c r="WHL1" t="s">
        <v>17294</v>
      </c>
      <c r="WHM1" t="s">
        <v>17295</v>
      </c>
      <c r="WHN1" t="s">
        <v>17296</v>
      </c>
      <c r="WHO1" t="s">
        <v>17297</v>
      </c>
      <c r="WHP1" t="s">
        <v>17298</v>
      </c>
      <c r="WHQ1" t="s">
        <v>17299</v>
      </c>
      <c r="WHR1" t="s">
        <v>17300</v>
      </c>
      <c r="WHS1" t="s">
        <v>17301</v>
      </c>
      <c r="WHT1" t="s">
        <v>17302</v>
      </c>
      <c r="WHU1" t="s">
        <v>17303</v>
      </c>
      <c r="WHV1" t="s">
        <v>17304</v>
      </c>
      <c r="WHW1" t="s">
        <v>17305</v>
      </c>
      <c r="WHX1" t="s">
        <v>17306</v>
      </c>
      <c r="WHY1" t="s">
        <v>17307</v>
      </c>
      <c r="WHZ1" t="s">
        <v>17308</v>
      </c>
      <c r="WIA1" t="s">
        <v>17309</v>
      </c>
      <c r="WIB1" t="s">
        <v>17310</v>
      </c>
      <c r="WIC1" t="s">
        <v>17311</v>
      </c>
      <c r="WID1" t="s">
        <v>17312</v>
      </c>
      <c r="WIE1" t="s">
        <v>17313</v>
      </c>
      <c r="WIF1" t="s">
        <v>17314</v>
      </c>
      <c r="WIG1" t="s">
        <v>17315</v>
      </c>
      <c r="WIH1" t="s">
        <v>17316</v>
      </c>
      <c r="WII1" t="s">
        <v>17317</v>
      </c>
      <c r="WIJ1" t="s">
        <v>17318</v>
      </c>
      <c r="WIK1" t="s">
        <v>17319</v>
      </c>
      <c r="WIL1" t="s">
        <v>17320</v>
      </c>
      <c r="WIM1" t="s">
        <v>17321</v>
      </c>
      <c r="WIN1" t="s">
        <v>17322</v>
      </c>
      <c r="WIO1" t="s">
        <v>17323</v>
      </c>
      <c r="WIP1" t="s">
        <v>17324</v>
      </c>
      <c r="WIQ1" t="s">
        <v>17325</v>
      </c>
      <c r="WIR1" t="s">
        <v>17326</v>
      </c>
      <c r="WIS1" t="s">
        <v>17327</v>
      </c>
      <c r="WIT1" t="s">
        <v>17328</v>
      </c>
      <c r="WIU1" t="s">
        <v>17329</v>
      </c>
      <c r="WIV1" t="s">
        <v>17330</v>
      </c>
      <c r="WIW1" t="s">
        <v>17331</v>
      </c>
      <c r="WIX1" t="s">
        <v>17332</v>
      </c>
      <c r="WIY1" t="s">
        <v>17333</v>
      </c>
      <c r="WIZ1" t="s">
        <v>17334</v>
      </c>
      <c r="WJA1" t="s">
        <v>17335</v>
      </c>
      <c r="WJB1" t="s">
        <v>17336</v>
      </c>
      <c r="WJC1" t="s">
        <v>17337</v>
      </c>
      <c r="WJD1" t="s">
        <v>17338</v>
      </c>
      <c r="WJE1" t="s">
        <v>17339</v>
      </c>
      <c r="WJF1" t="s">
        <v>17340</v>
      </c>
      <c r="WJG1" t="s">
        <v>17341</v>
      </c>
      <c r="WJH1" t="s">
        <v>17342</v>
      </c>
      <c r="WJI1" t="s">
        <v>17343</v>
      </c>
      <c r="WJJ1" t="s">
        <v>17344</v>
      </c>
      <c r="WJK1" t="s">
        <v>17345</v>
      </c>
      <c r="WJL1" t="s">
        <v>17346</v>
      </c>
      <c r="WJM1" t="s">
        <v>17347</v>
      </c>
      <c r="WJN1" t="s">
        <v>17348</v>
      </c>
      <c r="WJO1" t="s">
        <v>17349</v>
      </c>
      <c r="WJP1" t="s">
        <v>17350</v>
      </c>
      <c r="WJQ1" t="s">
        <v>17351</v>
      </c>
      <c r="WJR1" t="s">
        <v>17352</v>
      </c>
      <c r="WJS1" t="s">
        <v>17353</v>
      </c>
      <c r="WJT1" t="s">
        <v>17354</v>
      </c>
      <c r="WJU1" t="s">
        <v>17355</v>
      </c>
      <c r="WJV1" t="s">
        <v>17356</v>
      </c>
      <c r="WJW1" t="s">
        <v>17357</v>
      </c>
      <c r="WJX1" t="s">
        <v>17358</v>
      </c>
      <c r="WJY1" t="s">
        <v>17359</v>
      </c>
      <c r="WJZ1" t="s">
        <v>17360</v>
      </c>
      <c r="WKA1" t="s">
        <v>17361</v>
      </c>
      <c r="WKB1" t="s">
        <v>17362</v>
      </c>
      <c r="WKC1" t="s">
        <v>17363</v>
      </c>
      <c r="WKD1" t="s">
        <v>17364</v>
      </c>
      <c r="WKE1" t="s">
        <v>17365</v>
      </c>
      <c r="WKF1" t="s">
        <v>17366</v>
      </c>
      <c r="WKG1" t="s">
        <v>17367</v>
      </c>
      <c r="WKH1" t="s">
        <v>17368</v>
      </c>
      <c r="WKI1" t="s">
        <v>17369</v>
      </c>
      <c r="WKJ1" t="s">
        <v>17370</v>
      </c>
      <c r="WKK1" t="s">
        <v>17371</v>
      </c>
      <c r="WKL1" t="s">
        <v>17372</v>
      </c>
      <c r="WKM1" t="s">
        <v>17373</v>
      </c>
      <c r="WKN1" t="s">
        <v>17374</v>
      </c>
      <c r="WKO1" t="s">
        <v>17375</v>
      </c>
      <c r="WKP1" t="s">
        <v>17376</v>
      </c>
      <c r="WKQ1" t="s">
        <v>17377</v>
      </c>
      <c r="WKR1" t="s">
        <v>17378</v>
      </c>
      <c r="WKS1" t="s">
        <v>17379</v>
      </c>
      <c r="WKT1" t="s">
        <v>17380</v>
      </c>
      <c r="WKU1" t="s">
        <v>17381</v>
      </c>
      <c r="WKV1" t="s">
        <v>17382</v>
      </c>
      <c r="WKW1" t="s">
        <v>17383</v>
      </c>
      <c r="WKX1" t="s">
        <v>17384</v>
      </c>
      <c r="WKY1" t="s">
        <v>17385</v>
      </c>
      <c r="WKZ1" t="s">
        <v>17386</v>
      </c>
      <c r="WLA1" t="s">
        <v>17387</v>
      </c>
      <c r="WLB1" t="s">
        <v>17388</v>
      </c>
      <c r="WLC1" t="s">
        <v>17389</v>
      </c>
      <c r="WLD1" t="s">
        <v>17390</v>
      </c>
      <c r="WLE1" t="s">
        <v>17391</v>
      </c>
      <c r="WLF1" t="s">
        <v>17392</v>
      </c>
      <c r="WLG1" t="s">
        <v>17393</v>
      </c>
      <c r="WLH1" t="s">
        <v>17394</v>
      </c>
      <c r="WLI1" t="s">
        <v>17395</v>
      </c>
      <c r="WLJ1" t="s">
        <v>17396</v>
      </c>
      <c r="WLK1" t="s">
        <v>17397</v>
      </c>
      <c r="WLL1" t="s">
        <v>17398</v>
      </c>
      <c r="WLM1" t="s">
        <v>17399</v>
      </c>
      <c r="WLN1" t="s">
        <v>17400</v>
      </c>
      <c r="WLO1" t="s">
        <v>17401</v>
      </c>
      <c r="WLP1" t="s">
        <v>17402</v>
      </c>
      <c r="WLQ1" t="s">
        <v>17403</v>
      </c>
      <c r="WLR1" t="s">
        <v>17404</v>
      </c>
      <c r="WLS1" t="s">
        <v>17405</v>
      </c>
      <c r="WLT1" t="s">
        <v>17406</v>
      </c>
      <c r="WLU1" t="s">
        <v>17407</v>
      </c>
      <c r="WLV1" t="s">
        <v>17408</v>
      </c>
      <c r="WLW1" t="s">
        <v>17409</v>
      </c>
      <c r="WLX1" t="s">
        <v>17410</v>
      </c>
      <c r="WLY1" t="s">
        <v>17411</v>
      </c>
      <c r="WLZ1" t="s">
        <v>17412</v>
      </c>
      <c r="WMA1" t="s">
        <v>17413</v>
      </c>
      <c r="WMB1" t="s">
        <v>17414</v>
      </c>
      <c r="WMC1" t="s">
        <v>17415</v>
      </c>
      <c r="WMD1" t="s">
        <v>17416</v>
      </c>
      <c r="WME1" t="s">
        <v>17417</v>
      </c>
      <c r="WMF1" t="s">
        <v>17418</v>
      </c>
      <c r="WMG1" t="s">
        <v>17419</v>
      </c>
      <c r="WMH1" t="s">
        <v>17420</v>
      </c>
      <c r="WMI1" t="s">
        <v>17421</v>
      </c>
      <c r="WMJ1" t="s">
        <v>17422</v>
      </c>
      <c r="WMK1" t="s">
        <v>17423</v>
      </c>
      <c r="WML1" t="s">
        <v>17424</v>
      </c>
      <c r="WMM1" t="s">
        <v>17425</v>
      </c>
      <c r="WMN1" t="s">
        <v>17426</v>
      </c>
      <c r="WMO1" t="s">
        <v>17427</v>
      </c>
      <c r="WMP1" t="s">
        <v>17428</v>
      </c>
      <c r="WMQ1" t="s">
        <v>17429</v>
      </c>
      <c r="WMR1" t="s">
        <v>17430</v>
      </c>
      <c r="WMS1" t="s">
        <v>17431</v>
      </c>
      <c r="WMT1" t="s">
        <v>17432</v>
      </c>
      <c r="WMU1" t="s">
        <v>17433</v>
      </c>
      <c r="WMV1" t="s">
        <v>17434</v>
      </c>
      <c r="WMW1" t="s">
        <v>17435</v>
      </c>
      <c r="WMX1" t="s">
        <v>17436</v>
      </c>
      <c r="WMY1" t="s">
        <v>17437</v>
      </c>
      <c r="WMZ1" t="s">
        <v>17438</v>
      </c>
      <c r="WNA1" t="s">
        <v>17439</v>
      </c>
      <c r="WNB1" t="s">
        <v>17440</v>
      </c>
      <c r="WNC1" t="s">
        <v>17441</v>
      </c>
      <c r="WND1" t="s">
        <v>17442</v>
      </c>
      <c r="WNE1" t="s">
        <v>17443</v>
      </c>
      <c r="WNF1" t="s">
        <v>17444</v>
      </c>
      <c r="WNG1" t="s">
        <v>17445</v>
      </c>
      <c r="WNH1" t="s">
        <v>17446</v>
      </c>
      <c r="WNI1" t="s">
        <v>17447</v>
      </c>
      <c r="WNJ1" t="s">
        <v>17448</v>
      </c>
      <c r="WNK1" t="s">
        <v>17449</v>
      </c>
      <c r="WNL1" t="s">
        <v>17450</v>
      </c>
      <c r="WNM1" t="s">
        <v>17451</v>
      </c>
      <c r="WNN1" t="s">
        <v>17452</v>
      </c>
      <c r="WNO1" t="s">
        <v>17453</v>
      </c>
      <c r="WNP1" t="s">
        <v>17454</v>
      </c>
      <c r="WNQ1" t="s">
        <v>17455</v>
      </c>
      <c r="WNR1" t="s">
        <v>17456</v>
      </c>
      <c r="WNS1" t="s">
        <v>17457</v>
      </c>
      <c r="WNT1" t="s">
        <v>17458</v>
      </c>
      <c r="WNU1" t="s">
        <v>17459</v>
      </c>
      <c r="WNV1" t="s">
        <v>17460</v>
      </c>
      <c r="WNW1" t="s">
        <v>17461</v>
      </c>
      <c r="WNX1" t="s">
        <v>17462</v>
      </c>
      <c r="WNY1" t="s">
        <v>17463</v>
      </c>
      <c r="WNZ1" t="s">
        <v>17464</v>
      </c>
      <c r="WOA1" t="s">
        <v>17465</v>
      </c>
      <c r="WOB1" t="s">
        <v>17466</v>
      </c>
      <c r="WOC1" t="s">
        <v>17467</v>
      </c>
      <c r="WOD1" t="s">
        <v>17468</v>
      </c>
      <c r="WOE1" t="s">
        <v>17469</v>
      </c>
      <c r="WOF1" t="s">
        <v>17470</v>
      </c>
      <c r="WOG1" t="s">
        <v>17471</v>
      </c>
      <c r="WOH1" t="s">
        <v>17472</v>
      </c>
      <c r="WOI1" t="s">
        <v>17473</v>
      </c>
      <c r="WOJ1" t="s">
        <v>17474</v>
      </c>
      <c r="WOK1" t="s">
        <v>17475</v>
      </c>
      <c r="WOL1" t="s">
        <v>17476</v>
      </c>
      <c r="WOM1" t="s">
        <v>17477</v>
      </c>
      <c r="WON1" t="s">
        <v>17478</v>
      </c>
      <c r="WOO1" t="s">
        <v>17479</v>
      </c>
      <c r="WOP1" t="s">
        <v>17480</v>
      </c>
      <c r="WOQ1" t="s">
        <v>17481</v>
      </c>
      <c r="WOR1" t="s">
        <v>17482</v>
      </c>
      <c r="WOS1" t="s">
        <v>17483</v>
      </c>
      <c r="WOT1" t="s">
        <v>17484</v>
      </c>
      <c r="WOU1" t="s">
        <v>17485</v>
      </c>
      <c r="WOV1" t="s">
        <v>17486</v>
      </c>
      <c r="WOW1" t="s">
        <v>17487</v>
      </c>
      <c r="WOX1" t="s">
        <v>17488</v>
      </c>
      <c r="WOY1" t="s">
        <v>17489</v>
      </c>
      <c r="WOZ1" t="s">
        <v>17490</v>
      </c>
      <c r="WPA1" t="s">
        <v>17491</v>
      </c>
      <c r="WPB1" t="s">
        <v>17492</v>
      </c>
      <c r="WPC1" t="s">
        <v>17493</v>
      </c>
      <c r="WPD1" t="s">
        <v>17494</v>
      </c>
      <c r="WPE1" t="s">
        <v>17495</v>
      </c>
      <c r="WPF1" t="s">
        <v>17496</v>
      </c>
      <c r="WPG1" t="s">
        <v>17497</v>
      </c>
      <c r="WPH1" t="s">
        <v>17498</v>
      </c>
      <c r="WPI1" t="s">
        <v>17499</v>
      </c>
      <c r="WPJ1" t="s">
        <v>17500</v>
      </c>
      <c r="WPK1" t="s">
        <v>17501</v>
      </c>
      <c r="WPL1" t="s">
        <v>17502</v>
      </c>
      <c r="WPM1" t="s">
        <v>17503</v>
      </c>
      <c r="WPN1" t="s">
        <v>17504</v>
      </c>
      <c r="WPO1" t="s">
        <v>17505</v>
      </c>
      <c r="WPP1" t="s">
        <v>17506</v>
      </c>
      <c r="WPQ1" t="s">
        <v>17507</v>
      </c>
      <c r="WPR1" t="s">
        <v>17508</v>
      </c>
      <c r="WPS1" t="s">
        <v>17509</v>
      </c>
      <c r="WPT1" t="s">
        <v>17510</v>
      </c>
      <c r="WPU1" t="s">
        <v>17511</v>
      </c>
      <c r="WPV1" t="s">
        <v>17512</v>
      </c>
      <c r="WPW1" t="s">
        <v>17513</v>
      </c>
      <c r="WPX1" t="s">
        <v>17514</v>
      </c>
      <c r="WPY1" t="s">
        <v>17515</v>
      </c>
      <c r="WPZ1" t="s">
        <v>17516</v>
      </c>
      <c r="WQA1" t="s">
        <v>17517</v>
      </c>
      <c r="WQB1" t="s">
        <v>17518</v>
      </c>
      <c r="WQC1" t="s">
        <v>17519</v>
      </c>
      <c r="WQD1" t="s">
        <v>17520</v>
      </c>
      <c r="WQE1" t="s">
        <v>17521</v>
      </c>
      <c r="WQF1" t="s">
        <v>17522</v>
      </c>
      <c r="WQG1" t="s">
        <v>17523</v>
      </c>
      <c r="WQH1" t="s">
        <v>17524</v>
      </c>
      <c r="WQI1" t="s">
        <v>17525</v>
      </c>
      <c r="WQJ1" t="s">
        <v>17526</v>
      </c>
      <c r="WQK1" t="s">
        <v>17527</v>
      </c>
      <c r="WQL1" t="s">
        <v>17528</v>
      </c>
      <c r="WQM1" t="s">
        <v>17529</v>
      </c>
      <c r="WQN1" t="s">
        <v>17530</v>
      </c>
      <c r="WQO1" t="s">
        <v>17531</v>
      </c>
      <c r="WQP1" t="s">
        <v>17532</v>
      </c>
      <c r="WQQ1" t="s">
        <v>17533</v>
      </c>
      <c r="WQR1" t="s">
        <v>17534</v>
      </c>
      <c r="WQS1" t="s">
        <v>17535</v>
      </c>
      <c r="WQT1" t="s">
        <v>17536</v>
      </c>
      <c r="WQU1" t="s">
        <v>17537</v>
      </c>
      <c r="WQV1" t="s">
        <v>17538</v>
      </c>
      <c r="WQW1" t="s">
        <v>17539</v>
      </c>
      <c r="WQX1" t="s">
        <v>17540</v>
      </c>
      <c r="WQY1" t="s">
        <v>17541</v>
      </c>
      <c r="WQZ1" t="s">
        <v>17542</v>
      </c>
      <c r="WRA1" t="s">
        <v>17543</v>
      </c>
      <c r="WRB1" t="s">
        <v>17544</v>
      </c>
      <c r="WRC1" t="s">
        <v>17545</v>
      </c>
      <c r="WRD1" t="s">
        <v>17546</v>
      </c>
      <c r="WRE1" t="s">
        <v>17547</v>
      </c>
      <c r="WRF1" t="s">
        <v>17548</v>
      </c>
      <c r="WRG1" t="s">
        <v>17549</v>
      </c>
      <c r="WRH1" t="s">
        <v>17550</v>
      </c>
      <c r="WRI1" t="s">
        <v>17551</v>
      </c>
      <c r="WRJ1" t="s">
        <v>17552</v>
      </c>
      <c r="WRK1" t="s">
        <v>17553</v>
      </c>
      <c r="WRL1" t="s">
        <v>17554</v>
      </c>
      <c r="WRM1" t="s">
        <v>17555</v>
      </c>
      <c r="WRN1" t="s">
        <v>17556</v>
      </c>
      <c r="WRO1" t="s">
        <v>17557</v>
      </c>
      <c r="WRP1" t="s">
        <v>17558</v>
      </c>
      <c r="WRQ1" t="s">
        <v>17559</v>
      </c>
      <c r="WRR1" t="s">
        <v>17560</v>
      </c>
      <c r="WRS1" t="s">
        <v>17561</v>
      </c>
      <c r="WRT1" t="s">
        <v>17562</v>
      </c>
      <c r="WRU1" t="s">
        <v>17563</v>
      </c>
      <c r="WRV1" t="s">
        <v>17564</v>
      </c>
      <c r="WRW1" t="s">
        <v>17565</v>
      </c>
      <c r="WRX1" t="s">
        <v>17566</v>
      </c>
      <c r="WRY1" t="s">
        <v>17567</v>
      </c>
      <c r="WRZ1" t="s">
        <v>17568</v>
      </c>
      <c r="WSA1" t="s">
        <v>17569</v>
      </c>
      <c r="WSB1" t="s">
        <v>17570</v>
      </c>
      <c r="WSC1" t="s">
        <v>17571</v>
      </c>
      <c r="WSD1" t="s">
        <v>17572</v>
      </c>
      <c r="WSE1" t="s">
        <v>17573</v>
      </c>
      <c r="WSF1" t="s">
        <v>17574</v>
      </c>
      <c r="WSG1" t="s">
        <v>17575</v>
      </c>
      <c r="WSH1" t="s">
        <v>17576</v>
      </c>
      <c r="WSI1" t="s">
        <v>17577</v>
      </c>
      <c r="WSJ1" t="s">
        <v>17578</v>
      </c>
      <c r="WSK1" t="s">
        <v>17579</v>
      </c>
      <c r="WSL1" t="s">
        <v>17580</v>
      </c>
      <c r="WSM1" t="s">
        <v>17581</v>
      </c>
      <c r="WSN1" t="s">
        <v>17582</v>
      </c>
      <c r="WSO1" t="s">
        <v>17583</v>
      </c>
      <c r="WSP1" t="s">
        <v>17584</v>
      </c>
      <c r="WSQ1" t="s">
        <v>17585</v>
      </c>
      <c r="WSR1" t="s">
        <v>17586</v>
      </c>
      <c r="WSS1" t="s">
        <v>17587</v>
      </c>
      <c r="WST1" t="s">
        <v>17588</v>
      </c>
      <c r="WSU1" t="s">
        <v>17589</v>
      </c>
      <c r="WSV1" t="s">
        <v>17590</v>
      </c>
      <c r="WSW1" t="s">
        <v>17591</v>
      </c>
      <c r="WSX1" t="s">
        <v>17592</v>
      </c>
      <c r="WSY1" t="s">
        <v>17593</v>
      </c>
      <c r="WSZ1" t="s">
        <v>17594</v>
      </c>
      <c r="WTA1" t="s">
        <v>17595</v>
      </c>
      <c r="WTB1" t="s">
        <v>17596</v>
      </c>
      <c r="WTC1" t="s">
        <v>17597</v>
      </c>
      <c r="WTD1" t="s">
        <v>17598</v>
      </c>
      <c r="WTE1" t="s">
        <v>17599</v>
      </c>
      <c r="WTF1" t="s">
        <v>17600</v>
      </c>
      <c r="WTG1" t="s">
        <v>17601</v>
      </c>
      <c r="WTH1" t="s">
        <v>17602</v>
      </c>
      <c r="WTI1" t="s">
        <v>17603</v>
      </c>
      <c r="WTJ1" t="s">
        <v>17604</v>
      </c>
      <c r="WTK1" t="s">
        <v>17605</v>
      </c>
      <c r="WTL1" t="s">
        <v>17606</v>
      </c>
      <c r="WTM1" t="s">
        <v>17607</v>
      </c>
      <c r="WTN1" t="s">
        <v>17608</v>
      </c>
      <c r="WTO1" t="s">
        <v>17609</v>
      </c>
      <c r="WTP1" t="s">
        <v>17610</v>
      </c>
      <c r="WTQ1" t="s">
        <v>17611</v>
      </c>
      <c r="WTR1" t="s">
        <v>17612</v>
      </c>
      <c r="WTS1" t="s">
        <v>17613</v>
      </c>
      <c r="WTT1" t="s">
        <v>17614</v>
      </c>
      <c r="WTU1" t="s">
        <v>17615</v>
      </c>
      <c r="WTV1" t="s">
        <v>17616</v>
      </c>
      <c r="WTW1" t="s">
        <v>17617</v>
      </c>
      <c r="WTX1" t="s">
        <v>17618</v>
      </c>
      <c r="WTY1" t="s">
        <v>17619</v>
      </c>
      <c r="WTZ1" t="s">
        <v>17620</v>
      </c>
      <c r="WUA1" t="s">
        <v>17621</v>
      </c>
      <c r="WUB1" t="s">
        <v>17622</v>
      </c>
      <c r="WUC1" t="s">
        <v>17623</v>
      </c>
      <c r="WUD1" t="s">
        <v>17624</v>
      </c>
      <c r="WUE1" t="s">
        <v>17625</v>
      </c>
      <c r="WUF1" t="s">
        <v>17626</v>
      </c>
      <c r="WUG1" t="s">
        <v>17627</v>
      </c>
      <c r="WUH1" t="s">
        <v>17628</v>
      </c>
      <c r="WUI1" t="s">
        <v>17629</v>
      </c>
      <c r="WUJ1" t="s">
        <v>17630</v>
      </c>
      <c r="WUK1" t="s">
        <v>17631</v>
      </c>
      <c r="WUL1" t="s">
        <v>17632</v>
      </c>
      <c r="WUM1" t="s">
        <v>17633</v>
      </c>
      <c r="WUN1" t="s">
        <v>17634</v>
      </c>
      <c r="WUO1" t="s">
        <v>17635</v>
      </c>
      <c r="WUP1" t="s">
        <v>17636</v>
      </c>
      <c r="WUQ1" t="s">
        <v>17637</v>
      </c>
      <c r="WUR1" t="s">
        <v>17638</v>
      </c>
      <c r="WUS1" t="s">
        <v>17639</v>
      </c>
      <c r="WUT1" t="s">
        <v>17640</v>
      </c>
      <c r="WUU1" t="s">
        <v>17641</v>
      </c>
      <c r="WUV1" t="s">
        <v>17642</v>
      </c>
      <c r="WUW1" t="s">
        <v>17643</v>
      </c>
      <c r="WUX1" t="s">
        <v>17644</v>
      </c>
      <c r="WUY1" t="s">
        <v>17645</v>
      </c>
      <c r="WUZ1" t="s">
        <v>17646</v>
      </c>
      <c r="WVA1" t="s">
        <v>17647</v>
      </c>
      <c r="WVB1" t="s">
        <v>17648</v>
      </c>
      <c r="WVC1" t="s">
        <v>17649</v>
      </c>
      <c r="WVD1" t="s">
        <v>17650</v>
      </c>
      <c r="WVE1" t="s">
        <v>17651</v>
      </c>
      <c r="WVF1" t="s">
        <v>17652</v>
      </c>
      <c r="WVG1" t="s">
        <v>17653</v>
      </c>
      <c r="WVH1" t="s">
        <v>17654</v>
      </c>
      <c r="WVI1" t="s">
        <v>17655</v>
      </c>
      <c r="WVJ1" t="s">
        <v>17656</v>
      </c>
      <c r="WVK1" t="s">
        <v>17657</v>
      </c>
      <c r="WVL1" t="s">
        <v>17658</v>
      </c>
      <c r="WVM1" t="s">
        <v>17659</v>
      </c>
      <c r="WVN1" t="s">
        <v>17660</v>
      </c>
      <c r="WVO1" t="s">
        <v>17661</v>
      </c>
      <c r="WVP1" t="s">
        <v>17662</v>
      </c>
      <c r="WVQ1" t="s">
        <v>17663</v>
      </c>
      <c r="WVR1" t="s">
        <v>17664</v>
      </c>
      <c r="WVS1" t="s">
        <v>17665</v>
      </c>
      <c r="WVT1" t="s">
        <v>17666</v>
      </c>
      <c r="WVU1" t="s">
        <v>17667</v>
      </c>
      <c r="WVV1" t="s">
        <v>17668</v>
      </c>
      <c r="WVW1" t="s">
        <v>17669</v>
      </c>
      <c r="WVX1" t="s">
        <v>17670</v>
      </c>
      <c r="WVY1" t="s">
        <v>17671</v>
      </c>
      <c r="WVZ1" t="s">
        <v>17672</v>
      </c>
      <c r="WWA1" t="s">
        <v>17673</v>
      </c>
      <c r="WWB1" t="s">
        <v>17674</v>
      </c>
      <c r="WWC1" t="s">
        <v>17675</v>
      </c>
      <c r="WWD1" t="s">
        <v>17676</v>
      </c>
      <c r="WWE1" t="s">
        <v>17677</v>
      </c>
      <c r="WWF1" t="s">
        <v>17678</v>
      </c>
      <c r="WWG1" t="s">
        <v>17679</v>
      </c>
      <c r="WWH1" t="s">
        <v>17680</v>
      </c>
      <c r="WWI1" t="s">
        <v>17681</v>
      </c>
      <c r="WWJ1" t="s">
        <v>17682</v>
      </c>
      <c r="WWK1" t="s">
        <v>17683</v>
      </c>
      <c r="WWL1" t="s">
        <v>17684</v>
      </c>
      <c r="WWM1" t="s">
        <v>17685</v>
      </c>
      <c r="WWN1" t="s">
        <v>17686</v>
      </c>
      <c r="WWO1" t="s">
        <v>17687</v>
      </c>
      <c r="WWP1" t="s">
        <v>17688</v>
      </c>
      <c r="WWQ1" t="s">
        <v>17689</v>
      </c>
      <c r="WWR1" t="s">
        <v>17690</v>
      </c>
      <c r="WWS1" t="s">
        <v>17691</v>
      </c>
      <c r="WWT1" t="s">
        <v>17692</v>
      </c>
      <c r="WWU1" t="s">
        <v>17693</v>
      </c>
      <c r="WWV1" t="s">
        <v>17694</v>
      </c>
      <c r="WWW1" t="s">
        <v>17695</v>
      </c>
      <c r="WWX1" t="s">
        <v>17696</v>
      </c>
      <c r="WWY1" t="s">
        <v>17697</v>
      </c>
      <c r="WWZ1" t="s">
        <v>17698</v>
      </c>
      <c r="WXA1" t="s">
        <v>17699</v>
      </c>
      <c r="WXB1" t="s">
        <v>17700</v>
      </c>
      <c r="WXC1" t="s">
        <v>17701</v>
      </c>
      <c r="WXD1" t="s">
        <v>17702</v>
      </c>
      <c r="WXE1" t="s">
        <v>17703</v>
      </c>
      <c r="WXF1" t="s">
        <v>17704</v>
      </c>
      <c r="WXG1" t="s">
        <v>17705</v>
      </c>
      <c r="WXH1" t="s">
        <v>17706</v>
      </c>
      <c r="WXI1" t="s">
        <v>17707</v>
      </c>
      <c r="WXJ1" t="s">
        <v>17708</v>
      </c>
      <c r="WXK1" t="s">
        <v>17709</v>
      </c>
      <c r="WXL1" t="s">
        <v>17710</v>
      </c>
      <c r="WXM1" t="s">
        <v>17711</v>
      </c>
      <c r="WXN1" t="s">
        <v>17712</v>
      </c>
      <c r="WXO1" t="s">
        <v>17713</v>
      </c>
      <c r="WXP1" t="s">
        <v>17714</v>
      </c>
      <c r="WXQ1" t="s">
        <v>17715</v>
      </c>
      <c r="WXR1" t="s">
        <v>17716</v>
      </c>
      <c r="WXS1" t="s">
        <v>17717</v>
      </c>
      <c r="WXT1" t="s">
        <v>17718</v>
      </c>
      <c r="WXU1" t="s">
        <v>17719</v>
      </c>
      <c r="WXV1" t="s">
        <v>17720</v>
      </c>
      <c r="WXW1" t="s">
        <v>17721</v>
      </c>
      <c r="WXX1" t="s">
        <v>17722</v>
      </c>
      <c r="WXY1" t="s">
        <v>17723</v>
      </c>
      <c r="WXZ1" t="s">
        <v>17724</v>
      </c>
      <c r="WYA1" t="s">
        <v>17725</v>
      </c>
      <c r="WYB1" t="s">
        <v>17726</v>
      </c>
      <c r="WYC1" t="s">
        <v>17727</v>
      </c>
      <c r="WYD1" t="s">
        <v>17728</v>
      </c>
      <c r="WYE1" t="s">
        <v>17729</v>
      </c>
      <c r="WYF1" t="s">
        <v>17730</v>
      </c>
      <c r="WYG1" t="s">
        <v>17731</v>
      </c>
      <c r="WYH1" t="s">
        <v>17732</v>
      </c>
      <c r="WYI1" t="s">
        <v>17733</v>
      </c>
      <c r="WYJ1" t="s">
        <v>17734</v>
      </c>
      <c r="WYK1" t="s">
        <v>17735</v>
      </c>
      <c r="WYL1" t="s">
        <v>17736</v>
      </c>
      <c r="WYM1" t="s">
        <v>17737</v>
      </c>
      <c r="WYN1" t="s">
        <v>17738</v>
      </c>
      <c r="WYO1" t="s">
        <v>17739</v>
      </c>
      <c r="WYP1" t="s">
        <v>17740</v>
      </c>
      <c r="WYQ1" t="s">
        <v>17741</v>
      </c>
      <c r="WYR1" t="s">
        <v>17742</v>
      </c>
      <c r="WYS1" t="s">
        <v>17743</v>
      </c>
      <c r="WYT1" t="s">
        <v>17744</v>
      </c>
      <c r="WYU1" t="s">
        <v>17745</v>
      </c>
      <c r="WYV1" t="s">
        <v>17746</v>
      </c>
      <c r="WYW1" t="s">
        <v>17747</v>
      </c>
      <c r="WYX1" t="s">
        <v>17748</v>
      </c>
      <c r="WYY1" t="s">
        <v>17749</v>
      </c>
      <c r="WYZ1" t="s">
        <v>17750</v>
      </c>
      <c r="WZA1" t="s">
        <v>17751</v>
      </c>
      <c r="WZB1" t="s">
        <v>17752</v>
      </c>
      <c r="WZC1" t="s">
        <v>17753</v>
      </c>
      <c r="WZD1" t="s">
        <v>17754</v>
      </c>
      <c r="WZE1" t="s">
        <v>17755</v>
      </c>
      <c r="WZF1" t="s">
        <v>17756</v>
      </c>
      <c r="WZG1" t="s">
        <v>17757</v>
      </c>
      <c r="WZH1" t="s">
        <v>17758</v>
      </c>
      <c r="WZI1" t="s">
        <v>17759</v>
      </c>
      <c r="WZJ1" t="s">
        <v>17760</v>
      </c>
      <c r="WZK1" t="s">
        <v>17761</v>
      </c>
      <c r="WZL1" t="s">
        <v>17762</v>
      </c>
      <c r="WZM1" t="s">
        <v>17763</v>
      </c>
      <c r="WZN1" t="s">
        <v>17764</v>
      </c>
      <c r="WZO1" t="s">
        <v>17765</v>
      </c>
      <c r="WZP1" t="s">
        <v>17766</v>
      </c>
      <c r="WZQ1" t="s">
        <v>17767</v>
      </c>
      <c r="WZR1" t="s">
        <v>17768</v>
      </c>
      <c r="WZS1" t="s">
        <v>17769</v>
      </c>
      <c r="WZT1" t="s">
        <v>17770</v>
      </c>
      <c r="WZU1" t="s">
        <v>17771</v>
      </c>
      <c r="WZV1" t="s">
        <v>17772</v>
      </c>
      <c r="WZW1" t="s">
        <v>17773</v>
      </c>
      <c r="WZX1" t="s">
        <v>17774</v>
      </c>
      <c r="WZY1" t="s">
        <v>17775</v>
      </c>
      <c r="WZZ1" t="s">
        <v>17776</v>
      </c>
      <c r="XAA1" t="s">
        <v>17777</v>
      </c>
      <c r="XAB1" t="s">
        <v>17778</v>
      </c>
      <c r="XAC1" t="s">
        <v>17779</v>
      </c>
      <c r="XAD1" t="s">
        <v>17780</v>
      </c>
      <c r="XAE1" t="s">
        <v>17781</v>
      </c>
      <c r="XAF1" t="s">
        <v>17782</v>
      </c>
      <c r="XAG1" t="s">
        <v>17783</v>
      </c>
      <c r="XAH1" t="s">
        <v>17784</v>
      </c>
      <c r="XAI1" t="s">
        <v>17785</v>
      </c>
      <c r="XAJ1" t="s">
        <v>17786</v>
      </c>
      <c r="XAK1" t="s">
        <v>17787</v>
      </c>
      <c r="XAL1" t="s">
        <v>17788</v>
      </c>
      <c r="XAM1" t="s">
        <v>17789</v>
      </c>
      <c r="XAN1" t="s">
        <v>17790</v>
      </c>
      <c r="XAO1" t="s">
        <v>17791</v>
      </c>
      <c r="XAP1" t="s">
        <v>17792</v>
      </c>
      <c r="XAQ1" t="s">
        <v>17793</v>
      </c>
      <c r="XAR1" t="s">
        <v>17794</v>
      </c>
      <c r="XAS1" t="s">
        <v>17795</v>
      </c>
      <c r="XAT1" t="s">
        <v>17796</v>
      </c>
      <c r="XAU1" t="s">
        <v>17797</v>
      </c>
      <c r="XAV1" t="s">
        <v>17798</v>
      </c>
      <c r="XAW1" t="s">
        <v>17799</v>
      </c>
      <c r="XAX1" t="s">
        <v>17800</v>
      </c>
      <c r="XAY1" t="s">
        <v>17801</v>
      </c>
      <c r="XAZ1" t="s">
        <v>17802</v>
      </c>
      <c r="XBA1" t="s">
        <v>17803</v>
      </c>
      <c r="XBB1" t="s">
        <v>17804</v>
      </c>
      <c r="XBC1" t="s">
        <v>17805</v>
      </c>
      <c r="XBD1" t="s">
        <v>17806</v>
      </c>
      <c r="XBE1" t="s">
        <v>17807</v>
      </c>
      <c r="XBF1" t="s">
        <v>17808</v>
      </c>
      <c r="XBG1" t="s">
        <v>17809</v>
      </c>
      <c r="XBH1" t="s">
        <v>17810</v>
      </c>
      <c r="XBI1" t="s">
        <v>17811</v>
      </c>
      <c r="XBJ1" t="s">
        <v>17812</v>
      </c>
      <c r="XBK1" t="s">
        <v>17813</v>
      </c>
      <c r="XBL1" t="s">
        <v>17814</v>
      </c>
      <c r="XBM1" t="s">
        <v>17815</v>
      </c>
      <c r="XBN1" t="s">
        <v>17816</v>
      </c>
      <c r="XBO1" t="s">
        <v>17817</v>
      </c>
      <c r="XBP1" t="s">
        <v>17818</v>
      </c>
      <c r="XBQ1" t="s">
        <v>17819</v>
      </c>
      <c r="XBR1" t="s">
        <v>17820</v>
      </c>
      <c r="XBS1" t="s">
        <v>17821</v>
      </c>
      <c r="XBT1" t="s">
        <v>17822</v>
      </c>
      <c r="XBU1" t="s">
        <v>17823</v>
      </c>
      <c r="XBV1" t="s">
        <v>17824</v>
      </c>
      <c r="XBW1" t="s">
        <v>17825</v>
      </c>
      <c r="XBX1" t="s">
        <v>17826</v>
      </c>
      <c r="XBY1" t="s">
        <v>17827</v>
      </c>
      <c r="XBZ1" t="s">
        <v>17828</v>
      </c>
      <c r="XCA1" t="s">
        <v>17829</v>
      </c>
      <c r="XCB1" t="s">
        <v>17830</v>
      </c>
      <c r="XCC1" t="s">
        <v>17831</v>
      </c>
      <c r="XCD1" t="s">
        <v>17832</v>
      </c>
      <c r="XCE1" t="s">
        <v>17833</v>
      </c>
      <c r="XCF1" t="s">
        <v>17834</v>
      </c>
      <c r="XCG1" t="s">
        <v>17835</v>
      </c>
      <c r="XCH1" t="s">
        <v>17836</v>
      </c>
      <c r="XCI1" t="s">
        <v>17837</v>
      </c>
      <c r="XCJ1" t="s">
        <v>17838</v>
      </c>
      <c r="XCK1" t="s">
        <v>17839</v>
      </c>
      <c r="XCL1" t="s">
        <v>17840</v>
      </c>
      <c r="XCM1" t="s">
        <v>17841</v>
      </c>
      <c r="XCN1" t="s">
        <v>17842</v>
      </c>
      <c r="XCO1" t="s">
        <v>17843</v>
      </c>
      <c r="XCP1" t="s">
        <v>17844</v>
      </c>
      <c r="XCQ1" t="s">
        <v>17845</v>
      </c>
      <c r="XCR1" t="s">
        <v>17846</v>
      </c>
      <c r="XCS1" t="s">
        <v>17847</v>
      </c>
      <c r="XCT1" t="s">
        <v>17848</v>
      </c>
      <c r="XCU1" t="s">
        <v>17849</v>
      </c>
      <c r="XCV1" t="s">
        <v>17850</v>
      </c>
      <c r="XCW1" t="s">
        <v>17851</v>
      </c>
      <c r="XCX1" t="s">
        <v>17852</v>
      </c>
      <c r="XCY1" t="s">
        <v>17853</v>
      </c>
      <c r="XCZ1" t="s">
        <v>17854</v>
      </c>
      <c r="XDA1" t="s">
        <v>17855</v>
      </c>
      <c r="XDB1" t="s">
        <v>17856</v>
      </c>
      <c r="XDC1" t="s">
        <v>17857</v>
      </c>
      <c r="XDD1" t="s">
        <v>17858</v>
      </c>
      <c r="XDE1" t="s">
        <v>17859</v>
      </c>
      <c r="XDF1" t="s">
        <v>17860</v>
      </c>
      <c r="XDG1" t="s">
        <v>17861</v>
      </c>
      <c r="XDH1" t="s">
        <v>17862</v>
      </c>
      <c r="XDI1" t="s">
        <v>17863</v>
      </c>
      <c r="XDJ1" t="s">
        <v>17864</v>
      </c>
      <c r="XDK1" t="s">
        <v>17865</v>
      </c>
      <c r="XDL1" t="s">
        <v>17866</v>
      </c>
      <c r="XDM1" t="s">
        <v>17867</v>
      </c>
      <c r="XDN1" t="s">
        <v>17868</v>
      </c>
      <c r="XDO1" t="s">
        <v>17869</v>
      </c>
      <c r="XDP1" t="s">
        <v>17870</v>
      </c>
      <c r="XDQ1" t="s">
        <v>17871</v>
      </c>
      <c r="XDR1" t="s">
        <v>17872</v>
      </c>
      <c r="XDS1" t="s">
        <v>17873</v>
      </c>
      <c r="XDT1" t="s">
        <v>17874</v>
      </c>
      <c r="XDU1" t="s">
        <v>17875</v>
      </c>
      <c r="XDV1" t="s">
        <v>17876</v>
      </c>
      <c r="XDW1" t="s">
        <v>17877</v>
      </c>
      <c r="XDX1" t="s">
        <v>17878</v>
      </c>
      <c r="XDY1" t="s">
        <v>17879</v>
      </c>
      <c r="XDZ1" t="s">
        <v>17880</v>
      </c>
      <c r="XEA1" t="s">
        <v>17881</v>
      </c>
      <c r="XEB1" t="s">
        <v>17882</v>
      </c>
      <c r="XEC1" t="s">
        <v>17883</v>
      </c>
      <c r="XED1" t="s">
        <v>17884</v>
      </c>
      <c r="XEE1" t="s">
        <v>17885</v>
      </c>
      <c r="XEF1" t="s">
        <v>17886</v>
      </c>
      <c r="XEG1" t="s">
        <v>17887</v>
      </c>
      <c r="XEH1" t="s">
        <v>17888</v>
      </c>
      <c r="XEI1" t="s">
        <v>17889</v>
      </c>
      <c r="XEJ1" t="s">
        <v>17890</v>
      </c>
      <c r="XEK1" t="s">
        <v>17891</v>
      </c>
      <c r="XEL1" t="s">
        <v>17892</v>
      </c>
      <c r="XEM1" t="s">
        <v>17893</v>
      </c>
      <c r="XEN1" t="s">
        <v>17894</v>
      </c>
      <c r="XEO1" t="s">
        <v>17895</v>
      </c>
      <c r="XEP1" t="s">
        <v>17896</v>
      </c>
      <c r="XEQ1" t="s">
        <v>17897</v>
      </c>
      <c r="XER1" t="s">
        <v>17898</v>
      </c>
      <c r="XES1" t="s">
        <v>17899</v>
      </c>
      <c r="XET1" t="s">
        <v>17900</v>
      </c>
      <c r="XEU1" t="s">
        <v>17901</v>
      </c>
      <c r="XEV1" t="s">
        <v>17902</v>
      </c>
      <c r="XEW1" t="s">
        <v>17903</v>
      </c>
      <c r="XEX1" t="s">
        <v>17904</v>
      </c>
      <c r="XEY1" t="s">
        <v>17905</v>
      </c>
      <c r="XEZ1" t="s">
        <v>17906</v>
      </c>
      <c r="XFA1" t="s">
        <v>17907</v>
      </c>
      <c r="XFB1" t="s">
        <v>17908</v>
      </c>
      <c r="XFC1" t="s">
        <v>17909</v>
      </c>
      <c r="XFD1" t="s">
        <v>17910</v>
      </c>
    </row>
    <row r="2" spans="1:16384" x14ac:dyDescent="0.3">
      <c r="A2" t="s">
        <v>11</v>
      </c>
      <c r="B2" s="1">
        <v>45798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>
        <v>15300</v>
      </c>
      <c r="J2">
        <v>0.15</v>
      </c>
      <c r="K2">
        <v>2700.89</v>
      </c>
    </row>
    <row r="3" spans="1:16384" x14ac:dyDescent="0.3">
      <c r="A3" t="s">
        <v>17</v>
      </c>
      <c r="B3" s="1">
        <v>45874</v>
      </c>
      <c r="C3" t="s">
        <v>18</v>
      </c>
      <c r="D3" t="s">
        <v>19</v>
      </c>
      <c r="E3" t="s">
        <v>14</v>
      </c>
      <c r="F3" t="s">
        <v>15</v>
      </c>
      <c r="G3" t="s">
        <v>20</v>
      </c>
      <c r="H3">
        <v>2</v>
      </c>
      <c r="I3">
        <v>32400</v>
      </c>
      <c r="J3">
        <v>0.1</v>
      </c>
      <c r="K3">
        <v>5600.6</v>
      </c>
    </row>
    <row r="4" spans="1:16384" x14ac:dyDescent="0.3">
      <c r="A4" t="s">
        <v>21</v>
      </c>
      <c r="B4" s="1">
        <v>45759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1</v>
      </c>
      <c r="I4">
        <v>10800</v>
      </c>
      <c r="J4">
        <v>0.1</v>
      </c>
      <c r="K4">
        <v>2273.91</v>
      </c>
    </row>
    <row r="5" spans="1:16384" x14ac:dyDescent="0.3">
      <c r="A5" t="s">
        <v>27</v>
      </c>
      <c r="B5" s="1">
        <v>45800</v>
      </c>
      <c r="C5" t="s">
        <v>28</v>
      </c>
      <c r="D5" t="s">
        <v>29</v>
      </c>
      <c r="E5" t="s">
        <v>24</v>
      </c>
      <c r="F5" t="s">
        <v>25</v>
      </c>
      <c r="G5" t="s">
        <v>20</v>
      </c>
      <c r="H5">
        <v>8</v>
      </c>
      <c r="I5">
        <v>86400</v>
      </c>
      <c r="J5">
        <v>0.1</v>
      </c>
      <c r="K5">
        <v>18490.18</v>
      </c>
    </row>
    <row r="6" spans="1:16384" x14ac:dyDescent="0.3">
      <c r="A6" t="s">
        <v>30</v>
      </c>
      <c r="B6" s="1">
        <v>45800</v>
      </c>
      <c r="C6" t="s">
        <v>31</v>
      </c>
      <c r="D6" t="s">
        <v>32</v>
      </c>
      <c r="E6" t="s">
        <v>33</v>
      </c>
      <c r="F6" t="s">
        <v>15</v>
      </c>
      <c r="G6" t="s">
        <v>34</v>
      </c>
      <c r="H6">
        <v>7</v>
      </c>
      <c r="I6">
        <v>11970</v>
      </c>
      <c r="J6">
        <v>0.05</v>
      </c>
      <c r="K6">
        <v>3705.98</v>
      </c>
    </row>
    <row r="7" spans="1:16384" x14ac:dyDescent="0.3">
      <c r="A7" t="s">
        <v>35</v>
      </c>
      <c r="B7" s="1">
        <v>45841</v>
      </c>
      <c r="C7" t="s">
        <v>36</v>
      </c>
      <c r="D7" t="s">
        <v>37</v>
      </c>
      <c r="E7" t="s">
        <v>38</v>
      </c>
      <c r="F7" t="s">
        <v>15</v>
      </c>
      <c r="G7" t="s">
        <v>26</v>
      </c>
      <c r="H7">
        <v>7</v>
      </c>
      <c r="I7">
        <v>196000</v>
      </c>
      <c r="J7">
        <v>0</v>
      </c>
      <c r="K7">
        <v>33251.370000000003</v>
      </c>
    </row>
    <row r="8" spans="1:16384" x14ac:dyDescent="0.3">
      <c r="A8" t="s">
        <v>39</v>
      </c>
      <c r="B8" s="1">
        <v>45721</v>
      </c>
      <c r="C8" t="s">
        <v>40</v>
      </c>
      <c r="D8" t="s">
        <v>41</v>
      </c>
      <c r="E8" t="s">
        <v>42</v>
      </c>
      <c r="F8" t="s">
        <v>15</v>
      </c>
      <c r="G8" t="s">
        <v>43</v>
      </c>
      <c r="H8">
        <v>8</v>
      </c>
      <c r="I8">
        <v>172800</v>
      </c>
      <c r="J8">
        <v>0.1</v>
      </c>
      <c r="K8">
        <v>38027.94</v>
      </c>
    </row>
    <row r="9" spans="1:16384" x14ac:dyDescent="0.3">
      <c r="A9" t="s">
        <v>44</v>
      </c>
      <c r="B9" s="1">
        <v>45979</v>
      </c>
      <c r="C9" t="s">
        <v>45</v>
      </c>
      <c r="D9" t="s">
        <v>46</v>
      </c>
      <c r="E9" t="s">
        <v>47</v>
      </c>
      <c r="F9" t="s">
        <v>15</v>
      </c>
      <c r="G9" t="s">
        <v>34</v>
      </c>
      <c r="H9">
        <v>5</v>
      </c>
      <c r="I9">
        <v>26000</v>
      </c>
      <c r="J9">
        <v>0.2</v>
      </c>
      <c r="K9">
        <v>4998.26</v>
      </c>
    </row>
    <row r="10" spans="1:16384" x14ac:dyDescent="0.3">
      <c r="A10" t="s">
        <v>48</v>
      </c>
      <c r="B10" s="1">
        <v>45996</v>
      </c>
      <c r="C10" t="s">
        <v>49</v>
      </c>
      <c r="D10" t="s">
        <v>50</v>
      </c>
      <c r="E10" t="s">
        <v>51</v>
      </c>
      <c r="F10" t="s">
        <v>15</v>
      </c>
      <c r="G10" t="s">
        <v>34</v>
      </c>
      <c r="H10">
        <v>2</v>
      </c>
      <c r="I10">
        <v>1800</v>
      </c>
      <c r="J10">
        <v>0</v>
      </c>
      <c r="K10">
        <v>573.88</v>
      </c>
    </row>
    <row r="11" spans="1:16384" x14ac:dyDescent="0.3">
      <c r="A11" t="s">
        <v>52</v>
      </c>
      <c r="B11" s="1">
        <v>45800</v>
      </c>
      <c r="C11" t="s">
        <v>45</v>
      </c>
      <c r="D11" t="s">
        <v>46</v>
      </c>
      <c r="E11" t="s">
        <v>24</v>
      </c>
      <c r="F11" t="s">
        <v>25</v>
      </c>
      <c r="G11" t="s">
        <v>34</v>
      </c>
      <c r="H11">
        <v>2</v>
      </c>
      <c r="I11">
        <v>22080</v>
      </c>
      <c r="J11">
        <v>0.08</v>
      </c>
      <c r="K11">
        <v>4462.7299999999996</v>
      </c>
    </row>
    <row r="12" spans="1:16384" x14ac:dyDescent="0.3">
      <c r="A12" t="s">
        <v>53</v>
      </c>
      <c r="B12" s="1">
        <v>46001</v>
      </c>
      <c r="C12" t="s">
        <v>54</v>
      </c>
      <c r="D12" t="s">
        <v>55</v>
      </c>
      <c r="E12" t="s">
        <v>56</v>
      </c>
      <c r="F12" t="s">
        <v>57</v>
      </c>
      <c r="G12" t="s">
        <v>20</v>
      </c>
      <c r="H12">
        <v>6</v>
      </c>
      <c r="I12">
        <v>35280</v>
      </c>
      <c r="J12">
        <v>0.02</v>
      </c>
      <c r="K12">
        <v>7876.82</v>
      </c>
    </row>
    <row r="13" spans="1:16384" x14ac:dyDescent="0.3">
      <c r="A13" t="s">
        <v>58</v>
      </c>
      <c r="B13" s="1">
        <v>45894</v>
      </c>
      <c r="C13" t="s">
        <v>59</v>
      </c>
      <c r="D13" t="s">
        <v>60</v>
      </c>
      <c r="E13" t="s">
        <v>33</v>
      </c>
      <c r="F13" t="s">
        <v>15</v>
      </c>
      <c r="G13" t="s">
        <v>26</v>
      </c>
      <c r="H13">
        <v>4</v>
      </c>
      <c r="I13">
        <v>7056</v>
      </c>
      <c r="J13">
        <v>0.02</v>
      </c>
      <c r="K13">
        <v>2293.71</v>
      </c>
    </row>
    <row r="14" spans="1:16384" x14ac:dyDescent="0.3">
      <c r="A14" t="s">
        <v>61</v>
      </c>
      <c r="B14" s="1">
        <v>45674</v>
      </c>
      <c r="C14" t="s">
        <v>62</v>
      </c>
      <c r="D14" t="s">
        <v>63</v>
      </c>
      <c r="E14" t="s">
        <v>64</v>
      </c>
      <c r="F14" t="s">
        <v>57</v>
      </c>
      <c r="G14" t="s">
        <v>43</v>
      </c>
      <c r="H14">
        <v>1</v>
      </c>
      <c r="I14">
        <v>7840</v>
      </c>
      <c r="J14">
        <v>0.02</v>
      </c>
      <c r="K14">
        <v>1842.85</v>
      </c>
    </row>
    <row r="15" spans="1:16384" x14ac:dyDescent="0.3">
      <c r="A15" t="s">
        <v>65</v>
      </c>
      <c r="B15" s="1">
        <v>45819</v>
      </c>
      <c r="C15" t="s">
        <v>66</v>
      </c>
      <c r="D15" t="s">
        <v>67</v>
      </c>
      <c r="E15" t="s">
        <v>38</v>
      </c>
      <c r="F15" t="s">
        <v>15</v>
      </c>
      <c r="G15" t="s">
        <v>43</v>
      </c>
      <c r="H15">
        <v>4</v>
      </c>
      <c r="I15">
        <v>100800</v>
      </c>
      <c r="J15">
        <v>0.1</v>
      </c>
      <c r="K15">
        <v>14922.36</v>
      </c>
    </row>
    <row r="16" spans="1:16384" x14ac:dyDescent="0.3">
      <c r="A16" t="s">
        <v>68</v>
      </c>
      <c r="B16" s="1">
        <v>45729</v>
      </c>
      <c r="C16" t="s">
        <v>69</v>
      </c>
      <c r="D16" t="s">
        <v>70</v>
      </c>
      <c r="E16" t="s">
        <v>71</v>
      </c>
      <c r="F16" t="s">
        <v>72</v>
      </c>
      <c r="G16" t="s">
        <v>26</v>
      </c>
      <c r="H16">
        <v>3</v>
      </c>
      <c r="I16">
        <v>6270</v>
      </c>
      <c r="J16">
        <v>0.05</v>
      </c>
      <c r="K16">
        <v>1883.62</v>
      </c>
    </row>
    <row r="17" spans="1:11" x14ac:dyDescent="0.3">
      <c r="A17" t="s">
        <v>73</v>
      </c>
      <c r="B17" s="1">
        <v>45862</v>
      </c>
      <c r="C17" t="s">
        <v>74</v>
      </c>
      <c r="D17" t="s">
        <v>75</v>
      </c>
      <c r="E17" t="s">
        <v>76</v>
      </c>
      <c r="F17" t="s">
        <v>25</v>
      </c>
      <c r="G17" t="s">
        <v>16</v>
      </c>
      <c r="H17">
        <v>7</v>
      </c>
      <c r="I17">
        <v>3150</v>
      </c>
      <c r="J17">
        <v>0.1</v>
      </c>
      <c r="K17">
        <v>895.57</v>
      </c>
    </row>
    <row r="18" spans="1:11" x14ac:dyDescent="0.3">
      <c r="A18" t="s">
        <v>77</v>
      </c>
      <c r="B18" s="1">
        <v>45682</v>
      </c>
      <c r="C18" t="s">
        <v>78</v>
      </c>
      <c r="D18" t="s">
        <v>79</v>
      </c>
      <c r="E18" t="s">
        <v>80</v>
      </c>
      <c r="F18" t="s">
        <v>15</v>
      </c>
      <c r="G18" t="s">
        <v>16</v>
      </c>
      <c r="H18">
        <v>2</v>
      </c>
      <c r="I18">
        <v>5600</v>
      </c>
      <c r="J18">
        <v>0.2</v>
      </c>
      <c r="K18">
        <v>1454</v>
      </c>
    </row>
    <row r="19" spans="1:11" x14ac:dyDescent="0.3">
      <c r="A19" t="s">
        <v>81</v>
      </c>
      <c r="B19" s="1">
        <v>45690</v>
      </c>
      <c r="C19" t="s">
        <v>82</v>
      </c>
      <c r="D19" t="s">
        <v>83</v>
      </c>
      <c r="E19" t="s">
        <v>33</v>
      </c>
      <c r="F19" t="s">
        <v>15</v>
      </c>
      <c r="G19" t="s">
        <v>26</v>
      </c>
      <c r="H19">
        <v>7</v>
      </c>
      <c r="I19">
        <v>11340</v>
      </c>
      <c r="J19">
        <v>0.1</v>
      </c>
      <c r="K19">
        <v>3597.56</v>
      </c>
    </row>
    <row r="20" spans="1:11" x14ac:dyDescent="0.3">
      <c r="A20" t="s">
        <v>84</v>
      </c>
      <c r="B20" s="1">
        <v>45663</v>
      </c>
      <c r="C20" t="s">
        <v>85</v>
      </c>
      <c r="D20" t="s">
        <v>86</v>
      </c>
      <c r="E20" t="s">
        <v>87</v>
      </c>
      <c r="F20" t="s">
        <v>15</v>
      </c>
      <c r="G20" t="s">
        <v>20</v>
      </c>
      <c r="H20">
        <v>5</v>
      </c>
      <c r="I20">
        <v>5400</v>
      </c>
      <c r="J20">
        <v>0.1</v>
      </c>
      <c r="K20">
        <v>1581.73</v>
      </c>
    </row>
    <row r="21" spans="1:11" x14ac:dyDescent="0.3">
      <c r="A21" t="s">
        <v>88</v>
      </c>
      <c r="B21" s="1">
        <v>45986</v>
      </c>
      <c r="C21" t="s">
        <v>89</v>
      </c>
      <c r="D21" t="s">
        <v>90</v>
      </c>
      <c r="E21" t="s">
        <v>47</v>
      </c>
      <c r="F21" t="s">
        <v>15</v>
      </c>
      <c r="G21" t="s">
        <v>34</v>
      </c>
      <c r="H21">
        <v>5</v>
      </c>
      <c r="I21">
        <v>26000</v>
      </c>
      <c r="J21">
        <v>0.2</v>
      </c>
      <c r="K21">
        <v>4708.78</v>
      </c>
    </row>
    <row r="22" spans="1:11" x14ac:dyDescent="0.3">
      <c r="A22" t="s">
        <v>91</v>
      </c>
      <c r="B22" s="1">
        <v>45792</v>
      </c>
      <c r="C22" t="s">
        <v>92</v>
      </c>
      <c r="D22" t="s">
        <v>93</v>
      </c>
      <c r="E22" t="s">
        <v>33</v>
      </c>
      <c r="F22" t="s">
        <v>15</v>
      </c>
      <c r="G22" t="s">
        <v>16</v>
      </c>
      <c r="H22">
        <v>8</v>
      </c>
      <c r="I22">
        <v>14400</v>
      </c>
      <c r="J22">
        <v>0</v>
      </c>
      <c r="K22">
        <v>5162.41</v>
      </c>
    </row>
    <row r="23" spans="1:11" x14ac:dyDescent="0.3">
      <c r="A23" t="s">
        <v>94</v>
      </c>
      <c r="B23" s="1">
        <v>45985</v>
      </c>
      <c r="C23" t="s">
        <v>95</v>
      </c>
      <c r="D23" t="s">
        <v>96</v>
      </c>
      <c r="E23" t="s">
        <v>14</v>
      </c>
      <c r="F23" t="s">
        <v>15</v>
      </c>
      <c r="G23" t="s">
        <v>16</v>
      </c>
      <c r="H23">
        <v>5</v>
      </c>
      <c r="I23">
        <v>72000</v>
      </c>
      <c r="J23">
        <v>0.2</v>
      </c>
      <c r="K23">
        <v>13146.46</v>
      </c>
    </row>
    <row r="24" spans="1:11" x14ac:dyDescent="0.3">
      <c r="A24" t="s">
        <v>97</v>
      </c>
      <c r="B24" s="1">
        <v>45929</v>
      </c>
      <c r="C24" t="s">
        <v>98</v>
      </c>
      <c r="D24" t="s">
        <v>99</v>
      </c>
      <c r="E24" t="s">
        <v>56</v>
      </c>
      <c r="F24" t="s">
        <v>57</v>
      </c>
      <c r="G24" t="s">
        <v>26</v>
      </c>
      <c r="H24">
        <v>3</v>
      </c>
      <c r="I24">
        <v>16200</v>
      </c>
      <c r="J24">
        <v>0.1</v>
      </c>
      <c r="K24">
        <v>3956.23</v>
      </c>
    </row>
    <row r="25" spans="1:11" x14ac:dyDescent="0.3">
      <c r="A25" t="s">
        <v>100</v>
      </c>
      <c r="B25" s="1">
        <v>45843</v>
      </c>
      <c r="C25" t="s">
        <v>101</v>
      </c>
      <c r="D25" t="s">
        <v>102</v>
      </c>
      <c r="E25" t="s">
        <v>80</v>
      </c>
      <c r="F25" t="s">
        <v>15</v>
      </c>
      <c r="G25" t="s">
        <v>34</v>
      </c>
      <c r="H25">
        <v>1</v>
      </c>
      <c r="I25">
        <v>3500</v>
      </c>
      <c r="J25">
        <v>0</v>
      </c>
      <c r="K25">
        <v>954.54</v>
      </c>
    </row>
    <row r="26" spans="1:11" x14ac:dyDescent="0.3">
      <c r="A26" t="s">
        <v>103</v>
      </c>
      <c r="B26" s="1">
        <v>45698</v>
      </c>
      <c r="C26" t="s">
        <v>104</v>
      </c>
      <c r="D26" t="s">
        <v>105</v>
      </c>
      <c r="E26" t="s">
        <v>42</v>
      </c>
      <c r="F26" t="s">
        <v>15</v>
      </c>
      <c r="G26" t="s">
        <v>43</v>
      </c>
      <c r="H26">
        <v>4</v>
      </c>
      <c r="I26">
        <v>86400</v>
      </c>
      <c r="J26">
        <v>0.1</v>
      </c>
      <c r="K26">
        <v>16174.09</v>
      </c>
    </row>
    <row r="27" spans="1:11" x14ac:dyDescent="0.3">
      <c r="A27" t="s">
        <v>106</v>
      </c>
      <c r="B27" s="1">
        <v>45995</v>
      </c>
      <c r="C27" t="s">
        <v>107</v>
      </c>
      <c r="D27" t="s">
        <v>108</v>
      </c>
      <c r="E27" t="s">
        <v>38</v>
      </c>
      <c r="F27" t="s">
        <v>15</v>
      </c>
      <c r="G27" t="s">
        <v>26</v>
      </c>
      <c r="H27">
        <v>3</v>
      </c>
      <c r="I27">
        <v>82320</v>
      </c>
      <c r="J27">
        <v>0.02</v>
      </c>
      <c r="K27">
        <v>13109.11</v>
      </c>
    </row>
    <row r="28" spans="1:11" x14ac:dyDescent="0.3">
      <c r="A28" t="s">
        <v>109</v>
      </c>
      <c r="B28" s="1">
        <v>45934</v>
      </c>
      <c r="C28" t="s">
        <v>110</v>
      </c>
      <c r="D28" t="s">
        <v>111</v>
      </c>
      <c r="E28" t="s">
        <v>76</v>
      </c>
      <c r="F28" t="s">
        <v>25</v>
      </c>
      <c r="G28" t="s">
        <v>16</v>
      </c>
      <c r="H28">
        <v>7</v>
      </c>
      <c r="I28">
        <v>3430</v>
      </c>
      <c r="J28">
        <v>0.02</v>
      </c>
      <c r="K28">
        <v>1066.6300000000001</v>
      </c>
    </row>
    <row r="29" spans="1:11" x14ac:dyDescent="0.3">
      <c r="A29" t="s">
        <v>112</v>
      </c>
      <c r="B29" s="1">
        <v>45990</v>
      </c>
      <c r="C29" t="s">
        <v>113</v>
      </c>
      <c r="D29" t="s">
        <v>114</v>
      </c>
      <c r="E29" t="s">
        <v>115</v>
      </c>
      <c r="F29" t="s">
        <v>25</v>
      </c>
      <c r="G29" t="s">
        <v>26</v>
      </c>
      <c r="H29">
        <v>7</v>
      </c>
      <c r="I29">
        <v>1785</v>
      </c>
      <c r="J29">
        <v>0.15</v>
      </c>
      <c r="K29">
        <v>554.57000000000005</v>
      </c>
    </row>
    <row r="30" spans="1:11" x14ac:dyDescent="0.3">
      <c r="A30" t="s">
        <v>116</v>
      </c>
      <c r="B30" s="1">
        <v>45690</v>
      </c>
      <c r="C30" t="s">
        <v>117</v>
      </c>
      <c r="D30" t="s">
        <v>118</v>
      </c>
      <c r="E30" t="s">
        <v>14</v>
      </c>
      <c r="F30" t="s">
        <v>15</v>
      </c>
      <c r="G30" t="s">
        <v>26</v>
      </c>
      <c r="H30">
        <v>4</v>
      </c>
      <c r="I30">
        <v>70560</v>
      </c>
      <c r="J30">
        <v>0.02</v>
      </c>
      <c r="K30">
        <v>13287.31</v>
      </c>
    </row>
    <row r="31" spans="1:11" x14ac:dyDescent="0.3">
      <c r="A31" t="s">
        <v>119</v>
      </c>
      <c r="B31" s="1">
        <v>45694</v>
      </c>
      <c r="C31" t="s">
        <v>120</v>
      </c>
      <c r="D31" t="s">
        <v>121</v>
      </c>
      <c r="E31" t="s">
        <v>24</v>
      </c>
      <c r="F31" t="s">
        <v>25</v>
      </c>
      <c r="G31" t="s">
        <v>20</v>
      </c>
      <c r="H31">
        <v>4</v>
      </c>
      <c r="I31">
        <v>48000</v>
      </c>
      <c r="J31">
        <v>0</v>
      </c>
      <c r="K31">
        <v>10332.549999999999</v>
      </c>
    </row>
    <row r="32" spans="1:11" x14ac:dyDescent="0.3">
      <c r="A32" t="s">
        <v>122</v>
      </c>
      <c r="B32" s="1">
        <v>45827</v>
      </c>
      <c r="C32" t="s">
        <v>123</v>
      </c>
      <c r="D32" t="s">
        <v>124</v>
      </c>
      <c r="E32" t="s">
        <v>38</v>
      </c>
      <c r="F32" t="s">
        <v>15</v>
      </c>
      <c r="G32" t="s">
        <v>16</v>
      </c>
      <c r="H32">
        <v>1</v>
      </c>
      <c r="I32">
        <v>22400</v>
      </c>
      <c r="J32">
        <v>0.2</v>
      </c>
      <c r="K32">
        <v>3066.02</v>
      </c>
    </row>
    <row r="33" spans="1:11" x14ac:dyDescent="0.3">
      <c r="A33" t="s">
        <v>125</v>
      </c>
      <c r="B33" s="1">
        <v>45725</v>
      </c>
      <c r="C33" t="s">
        <v>126</v>
      </c>
      <c r="D33" t="s">
        <v>127</v>
      </c>
      <c r="E33" t="s">
        <v>80</v>
      </c>
      <c r="F33" t="s">
        <v>15</v>
      </c>
      <c r="G33" t="s">
        <v>26</v>
      </c>
      <c r="H33">
        <v>4</v>
      </c>
      <c r="I33">
        <v>12600</v>
      </c>
      <c r="J33">
        <v>0.1</v>
      </c>
      <c r="K33">
        <v>3278.65</v>
      </c>
    </row>
    <row r="34" spans="1:11" x14ac:dyDescent="0.3">
      <c r="A34" t="s">
        <v>128</v>
      </c>
      <c r="B34" s="1">
        <v>45900</v>
      </c>
      <c r="C34" t="s">
        <v>49</v>
      </c>
      <c r="D34" t="s">
        <v>50</v>
      </c>
      <c r="E34" t="s">
        <v>80</v>
      </c>
      <c r="F34" t="s">
        <v>15</v>
      </c>
      <c r="G34" t="s">
        <v>16</v>
      </c>
      <c r="H34">
        <v>4</v>
      </c>
      <c r="I34">
        <v>11200</v>
      </c>
      <c r="J34">
        <v>0.2</v>
      </c>
      <c r="K34">
        <v>2877.12</v>
      </c>
    </row>
    <row r="35" spans="1:11" x14ac:dyDescent="0.3">
      <c r="A35" t="s">
        <v>129</v>
      </c>
      <c r="B35" s="1">
        <v>45874</v>
      </c>
      <c r="C35" t="s">
        <v>130</v>
      </c>
      <c r="D35" t="s">
        <v>131</v>
      </c>
      <c r="E35" t="s">
        <v>14</v>
      </c>
      <c r="F35" t="s">
        <v>15</v>
      </c>
      <c r="G35" t="s">
        <v>20</v>
      </c>
      <c r="H35">
        <v>7</v>
      </c>
      <c r="I35">
        <v>119700</v>
      </c>
      <c r="J35">
        <v>0.05</v>
      </c>
      <c r="K35">
        <v>22620.27</v>
      </c>
    </row>
    <row r="36" spans="1:11" x14ac:dyDescent="0.3">
      <c r="A36" t="s">
        <v>132</v>
      </c>
      <c r="B36" s="1">
        <v>45831</v>
      </c>
      <c r="C36" t="s">
        <v>133</v>
      </c>
      <c r="D36" t="s">
        <v>134</v>
      </c>
      <c r="E36" t="s">
        <v>14</v>
      </c>
      <c r="F36" t="s">
        <v>15</v>
      </c>
      <c r="G36" t="s">
        <v>20</v>
      </c>
      <c r="H36">
        <v>1</v>
      </c>
      <c r="I36">
        <v>16560</v>
      </c>
      <c r="J36">
        <v>0.08</v>
      </c>
      <c r="K36">
        <v>3318.33</v>
      </c>
    </row>
    <row r="37" spans="1:11" x14ac:dyDescent="0.3">
      <c r="A37" t="s">
        <v>135</v>
      </c>
      <c r="B37" s="1">
        <v>45887</v>
      </c>
      <c r="C37" t="s">
        <v>136</v>
      </c>
      <c r="D37" t="s">
        <v>137</v>
      </c>
      <c r="E37" t="s">
        <v>51</v>
      </c>
      <c r="F37" t="s">
        <v>15</v>
      </c>
      <c r="G37" t="s">
        <v>16</v>
      </c>
      <c r="H37">
        <v>4</v>
      </c>
      <c r="I37">
        <v>3240</v>
      </c>
      <c r="J37">
        <v>0.1</v>
      </c>
      <c r="K37">
        <v>980.92</v>
      </c>
    </row>
    <row r="38" spans="1:11" x14ac:dyDescent="0.3">
      <c r="A38" t="s">
        <v>138</v>
      </c>
      <c r="B38" s="1">
        <v>45696</v>
      </c>
      <c r="C38" t="s">
        <v>126</v>
      </c>
      <c r="D38" t="s">
        <v>127</v>
      </c>
      <c r="E38" t="s">
        <v>71</v>
      </c>
      <c r="F38" t="s">
        <v>72</v>
      </c>
      <c r="G38" t="s">
        <v>26</v>
      </c>
      <c r="H38">
        <v>4</v>
      </c>
      <c r="I38">
        <v>7040</v>
      </c>
      <c r="J38">
        <v>0.2</v>
      </c>
      <c r="K38">
        <v>2074.52</v>
      </c>
    </row>
    <row r="39" spans="1:11" x14ac:dyDescent="0.3">
      <c r="A39" t="s">
        <v>139</v>
      </c>
      <c r="B39" s="1">
        <v>45779</v>
      </c>
      <c r="C39" t="s">
        <v>140</v>
      </c>
      <c r="D39" t="s">
        <v>141</v>
      </c>
      <c r="E39" t="s">
        <v>42</v>
      </c>
      <c r="F39" t="s">
        <v>15</v>
      </c>
      <c r="G39" t="s">
        <v>43</v>
      </c>
      <c r="H39">
        <v>1</v>
      </c>
      <c r="I39">
        <v>24000</v>
      </c>
      <c r="J39">
        <v>0</v>
      </c>
      <c r="K39">
        <v>4733.05</v>
      </c>
    </row>
    <row r="40" spans="1:11" x14ac:dyDescent="0.3">
      <c r="A40" t="s">
        <v>142</v>
      </c>
      <c r="B40" s="1">
        <v>45742</v>
      </c>
      <c r="C40" t="s">
        <v>143</v>
      </c>
      <c r="D40" t="s">
        <v>144</v>
      </c>
      <c r="E40" t="s">
        <v>51</v>
      </c>
      <c r="F40" t="s">
        <v>15</v>
      </c>
      <c r="G40" t="s">
        <v>43</v>
      </c>
      <c r="H40">
        <v>7</v>
      </c>
      <c r="I40">
        <v>6300</v>
      </c>
      <c r="J40">
        <v>0</v>
      </c>
      <c r="K40">
        <v>2059.33</v>
      </c>
    </row>
    <row r="41" spans="1:11" x14ac:dyDescent="0.3">
      <c r="A41" t="s">
        <v>145</v>
      </c>
      <c r="B41" s="1">
        <v>46014</v>
      </c>
      <c r="C41" t="s">
        <v>40</v>
      </c>
      <c r="D41" t="s">
        <v>41</v>
      </c>
      <c r="E41" t="s">
        <v>71</v>
      </c>
      <c r="F41" t="s">
        <v>72</v>
      </c>
      <c r="G41" t="s">
        <v>26</v>
      </c>
      <c r="H41">
        <v>5</v>
      </c>
      <c r="I41">
        <v>10120</v>
      </c>
      <c r="J41">
        <v>0.08</v>
      </c>
      <c r="K41">
        <v>3406.1</v>
      </c>
    </row>
    <row r="42" spans="1:11" x14ac:dyDescent="0.3">
      <c r="A42" t="s">
        <v>146</v>
      </c>
      <c r="B42" s="1">
        <v>45809</v>
      </c>
      <c r="C42" t="s">
        <v>147</v>
      </c>
      <c r="D42" t="s">
        <v>148</v>
      </c>
      <c r="E42" t="s">
        <v>80</v>
      </c>
      <c r="F42" t="s">
        <v>15</v>
      </c>
      <c r="G42" t="s">
        <v>20</v>
      </c>
      <c r="H42">
        <v>3</v>
      </c>
      <c r="I42">
        <v>10290</v>
      </c>
      <c r="J42">
        <v>0.02</v>
      </c>
      <c r="K42">
        <v>2510.5500000000002</v>
      </c>
    </row>
    <row r="43" spans="1:11" x14ac:dyDescent="0.3">
      <c r="A43" t="s">
        <v>149</v>
      </c>
      <c r="B43" s="1">
        <v>45818</v>
      </c>
      <c r="C43" t="s">
        <v>150</v>
      </c>
      <c r="D43" t="s">
        <v>151</v>
      </c>
      <c r="E43" t="s">
        <v>47</v>
      </c>
      <c r="F43" t="s">
        <v>15</v>
      </c>
      <c r="G43" t="s">
        <v>26</v>
      </c>
      <c r="H43">
        <v>1</v>
      </c>
      <c r="I43">
        <v>5525</v>
      </c>
      <c r="J43">
        <v>0.15</v>
      </c>
      <c r="K43">
        <v>964.14</v>
      </c>
    </row>
    <row r="44" spans="1:11" x14ac:dyDescent="0.3">
      <c r="A44" t="s">
        <v>152</v>
      </c>
      <c r="B44" s="1">
        <v>45918</v>
      </c>
      <c r="C44" t="s">
        <v>153</v>
      </c>
      <c r="D44" t="s">
        <v>154</v>
      </c>
      <c r="E44" t="s">
        <v>87</v>
      </c>
      <c r="F44" t="s">
        <v>15</v>
      </c>
      <c r="G44" t="s">
        <v>16</v>
      </c>
      <c r="H44">
        <v>3</v>
      </c>
      <c r="I44">
        <v>3600</v>
      </c>
      <c r="J44">
        <v>0</v>
      </c>
      <c r="K44">
        <v>979.46</v>
      </c>
    </row>
    <row r="45" spans="1:11" x14ac:dyDescent="0.3">
      <c r="A45" t="s">
        <v>155</v>
      </c>
      <c r="B45" s="1">
        <v>45778</v>
      </c>
      <c r="C45" t="s">
        <v>156</v>
      </c>
      <c r="D45" t="s">
        <v>157</v>
      </c>
      <c r="E45" t="s">
        <v>158</v>
      </c>
      <c r="F45" t="s">
        <v>25</v>
      </c>
      <c r="G45" t="s">
        <v>26</v>
      </c>
      <c r="H45">
        <v>2</v>
      </c>
      <c r="I45">
        <v>1360</v>
      </c>
      <c r="J45">
        <v>0.15</v>
      </c>
      <c r="K45">
        <v>398.55</v>
      </c>
    </row>
    <row r="46" spans="1:11" x14ac:dyDescent="0.3">
      <c r="A46" t="s">
        <v>159</v>
      </c>
      <c r="B46" s="1">
        <v>45699</v>
      </c>
      <c r="C46" t="s">
        <v>136</v>
      </c>
      <c r="D46" t="s">
        <v>137</v>
      </c>
      <c r="E46" t="s">
        <v>160</v>
      </c>
      <c r="F46" t="s">
        <v>25</v>
      </c>
      <c r="G46" t="s">
        <v>26</v>
      </c>
      <c r="H46">
        <v>1</v>
      </c>
      <c r="I46">
        <v>630</v>
      </c>
      <c r="J46">
        <v>0.1</v>
      </c>
      <c r="K46">
        <v>189.66</v>
      </c>
    </row>
    <row r="47" spans="1:11" x14ac:dyDescent="0.3">
      <c r="A47" t="s">
        <v>161</v>
      </c>
      <c r="B47" s="1">
        <v>45762</v>
      </c>
      <c r="C47" t="s">
        <v>162</v>
      </c>
      <c r="D47" t="s">
        <v>163</v>
      </c>
      <c r="E47" t="s">
        <v>87</v>
      </c>
      <c r="F47" t="s">
        <v>15</v>
      </c>
      <c r="G47" t="s">
        <v>34</v>
      </c>
      <c r="H47">
        <v>6</v>
      </c>
      <c r="I47">
        <v>6840</v>
      </c>
      <c r="J47">
        <v>0.05</v>
      </c>
      <c r="K47">
        <v>2025.78</v>
      </c>
    </row>
    <row r="48" spans="1:11" x14ac:dyDescent="0.3">
      <c r="A48" t="s">
        <v>164</v>
      </c>
      <c r="B48" s="1">
        <v>46001</v>
      </c>
      <c r="C48" t="s">
        <v>104</v>
      </c>
      <c r="D48" t="s">
        <v>105</v>
      </c>
      <c r="E48" t="s">
        <v>76</v>
      </c>
      <c r="F48" t="s">
        <v>25</v>
      </c>
      <c r="G48" t="s">
        <v>43</v>
      </c>
      <c r="H48">
        <v>7</v>
      </c>
      <c r="I48">
        <v>3430</v>
      </c>
      <c r="J48">
        <v>0.02</v>
      </c>
      <c r="K48">
        <v>1048.19</v>
      </c>
    </row>
    <row r="49" spans="1:11" x14ac:dyDescent="0.3">
      <c r="A49" t="s">
        <v>165</v>
      </c>
      <c r="B49" s="1">
        <v>45976</v>
      </c>
      <c r="C49" t="s">
        <v>166</v>
      </c>
      <c r="D49" t="s">
        <v>167</v>
      </c>
      <c r="E49" t="s">
        <v>38</v>
      </c>
      <c r="F49" t="s">
        <v>15</v>
      </c>
      <c r="G49" t="s">
        <v>20</v>
      </c>
      <c r="H49">
        <v>1</v>
      </c>
      <c r="I49">
        <v>25760</v>
      </c>
      <c r="J49">
        <v>0.08</v>
      </c>
      <c r="K49">
        <v>4408.8900000000003</v>
      </c>
    </row>
    <row r="50" spans="1:11" x14ac:dyDescent="0.3">
      <c r="A50" t="s">
        <v>168</v>
      </c>
      <c r="B50" s="1">
        <v>45793</v>
      </c>
      <c r="C50" t="s">
        <v>169</v>
      </c>
      <c r="D50" t="s">
        <v>170</v>
      </c>
      <c r="E50" t="s">
        <v>47</v>
      </c>
      <c r="F50" t="s">
        <v>15</v>
      </c>
      <c r="G50" t="s">
        <v>34</v>
      </c>
      <c r="H50">
        <v>4</v>
      </c>
      <c r="I50">
        <v>23400</v>
      </c>
      <c r="J50">
        <v>0.1</v>
      </c>
      <c r="K50">
        <v>4244.2</v>
      </c>
    </row>
    <row r="51" spans="1:11" x14ac:dyDescent="0.3">
      <c r="A51" t="s">
        <v>171</v>
      </c>
      <c r="B51" s="1">
        <v>45803</v>
      </c>
      <c r="C51" t="s">
        <v>172</v>
      </c>
      <c r="D51" t="s">
        <v>173</v>
      </c>
      <c r="E51" t="s">
        <v>38</v>
      </c>
      <c r="F51" t="s">
        <v>15</v>
      </c>
      <c r="G51" t="s">
        <v>26</v>
      </c>
      <c r="H51">
        <v>4</v>
      </c>
      <c r="I51">
        <v>106400</v>
      </c>
      <c r="J51">
        <v>0.05</v>
      </c>
      <c r="K51">
        <v>15889.31</v>
      </c>
    </row>
    <row r="52" spans="1:11" x14ac:dyDescent="0.3">
      <c r="A52" t="s">
        <v>174</v>
      </c>
      <c r="B52" s="1">
        <v>45941</v>
      </c>
      <c r="C52" t="s">
        <v>175</v>
      </c>
      <c r="D52" t="s">
        <v>176</v>
      </c>
      <c r="E52" t="s">
        <v>115</v>
      </c>
      <c r="F52" t="s">
        <v>25</v>
      </c>
      <c r="G52" t="s">
        <v>20</v>
      </c>
      <c r="H52">
        <v>1</v>
      </c>
      <c r="I52">
        <v>255</v>
      </c>
      <c r="J52">
        <v>0.15</v>
      </c>
      <c r="K52">
        <v>78.040000000000006</v>
      </c>
    </row>
    <row r="53" spans="1:11" x14ac:dyDescent="0.3">
      <c r="A53" t="s">
        <v>177</v>
      </c>
      <c r="B53" s="1">
        <v>45712</v>
      </c>
      <c r="C53" t="s">
        <v>178</v>
      </c>
      <c r="D53" t="s">
        <v>179</v>
      </c>
      <c r="E53" t="s">
        <v>180</v>
      </c>
      <c r="F53" t="s">
        <v>15</v>
      </c>
      <c r="G53" t="s">
        <v>16</v>
      </c>
      <c r="H53">
        <v>5</v>
      </c>
      <c r="I53">
        <v>15000</v>
      </c>
      <c r="J53">
        <v>0</v>
      </c>
      <c r="K53">
        <v>5193.93</v>
      </c>
    </row>
    <row r="54" spans="1:11" x14ac:dyDescent="0.3">
      <c r="A54" t="s">
        <v>181</v>
      </c>
      <c r="B54" s="1">
        <v>45833</v>
      </c>
      <c r="C54" t="s">
        <v>182</v>
      </c>
      <c r="D54" t="s">
        <v>183</v>
      </c>
      <c r="E54" t="s">
        <v>115</v>
      </c>
      <c r="F54" t="s">
        <v>25</v>
      </c>
      <c r="G54" t="s">
        <v>34</v>
      </c>
      <c r="H54">
        <v>4</v>
      </c>
      <c r="I54">
        <v>1020</v>
      </c>
      <c r="J54">
        <v>0.15</v>
      </c>
      <c r="K54">
        <v>306.02999999999997</v>
      </c>
    </row>
    <row r="55" spans="1:11" x14ac:dyDescent="0.3">
      <c r="A55" t="s">
        <v>184</v>
      </c>
      <c r="B55" s="1">
        <v>45684</v>
      </c>
      <c r="C55" t="s">
        <v>95</v>
      </c>
      <c r="D55" t="s">
        <v>96</v>
      </c>
      <c r="E55" t="s">
        <v>80</v>
      </c>
      <c r="F55" t="s">
        <v>15</v>
      </c>
      <c r="G55" t="s">
        <v>43</v>
      </c>
      <c r="H55">
        <v>5</v>
      </c>
      <c r="I55">
        <v>14000</v>
      </c>
      <c r="J55">
        <v>0.2</v>
      </c>
      <c r="K55">
        <v>3081.45</v>
      </c>
    </row>
    <row r="56" spans="1:11" x14ac:dyDescent="0.3">
      <c r="A56" t="s">
        <v>185</v>
      </c>
      <c r="B56" s="1">
        <v>45828</v>
      </c>
      <c r="C56" t="s">
        <v>186</v>
      </c>
      <c r="D56" t="s">
        <v>187</v>
      </c>
      <c r="E56" t="s">
        <v>76</v>
      </c>
      <c r="F56" t="s">
        <v>25</v>
      </c>
      <c r="G56" t="s">
        <v>34</v>
      </c>
      <c r="H56">
        <v>1</v>
      </c>
      <c r="I56">
        <v>500</v>
      </c>
      <c r="J56">
        <v>0</v>
      </c>
      <c r="K56">
        <v>156.51</v>
      </c>
    </row>
    <row r="57" spans="1:11" x14ac:dyDescent="0.3">
      <c r="A57" t="s">
        <v>188</v>
      </c>
      <c r="B57" s="1">
        <v>45662</v>
      </c>
      <c r="C57" t="s">
        <v>54</v>
      </c>
      <c r="D57" t="s">
        <v>55</v>
      </c>
      <c r="E57" t="s">
        <v>71</v>
      </c>
      <c r="F57" t="s">
        <v>72</v>
      </c>
      <c r="G57" t="s">
        <v>16</v>
      </c>
      <c r="H57">
        <v>7</v>
      </c>
      <c r="I57">
        <v>13860</v>
      </c>
      <c r="J57">
        <v>0.1</v>
      </c>
      <c r="K57">
        <v>3983.21</v>
      </c>
    </row>
    <row r="58" spans="1:11" x14ac:dyDescent="0.3">
      <c r="A58" t="s">
        <v>189</v>
      </c>
      <c r="B58" s="1">
        <v>45940</v>
      </c>
      <c r="C58" t="s">
        <v>190</v>
      </c>
      <c r="D58" t="s">
        <v>191</v>
      </c>
      <c r="E58" t="s">
        <v>42</v>
      </c>
      <c r="F58" t="s">
        <v>15</v>
      </c>
      <c r="G58" t="s">
        <v>16</v>
      </c>
      <c r="H58">
        <v>6</v>
      </c>
      <c r="I58">
        <v>129600</v>
      </c>
      <c r="J58">
        <v>0.1</v>
      </c>
      <c r="K58">
        <v>24560.85</v>
      </c>
    </row>
    <row r="59" spans="1:11" x14ac:dyDescent="0.3">
      <c r="A59" t="s">
        <v>192</v>
      </c>
      <c r="B59" s="1">
        <v>45678</v>
      </c>
      <c r="C59" t="s">
        <v>193</v>
      </c>
      <c r="D59" t="s">
        <v>194</v>
      </c>
      <c r="E59" t="s">
        <v>115</v>
      </c>
      <c r="F59" t="s">
        <v>25</v>
      </c>
      <c r="G59" t="s">
        <v>16</v>
      </c>
      <c r="H59">
        <v>6</v>
      </c>
      <c r="I59">
        <v>1440</v>
      </c>
      <c r="J59">
        <v>0.2</v>
      </c>
      <c r="K59">
        <v>488.3</v>
      </c>
    </row>
    <row r="60" spans="1:11" x14ac:dyDescent="0.3">
      <c r="A60" t="s">
        <v>195</v>
      </c>
      <c r="B60" s="1">
        <v>45944</v>
      </c>
      <c r="C60" t="s">
        <v>89</v>
      </c>
      <c r="D60" t="s">
        <v>90</v>
      </c>
      <c r="E60" t="s">
        <v>24</v>
      </c>
      <c r="F60" t="s">
        <v>25</v>
      </c>
      <c r="G60" t="s">
        <v>43</v>
      </c>
      <c r="H60">
        <v>2</v>
      </c>
      <c r="I60">
        <v>22800</v>
      </c>
      <c r="J60">
        <v>0.05</v>
      </c>
      <c r="K60">
        <v>4994.8100000000004</v>
      </c>
    </row>
    <row r="61" spans="1:11" x14ac:dyDescent="0.3">
      <c r="A61" t="s">
        <v>196</v>
      </c>
      <c r="B61" s="1">
        <v>45741</v>
      </c>
      <c r="C61" t="s">
        <v>197</v>
      </c>
      <c r="D61" t="s">
        <v>198</v>
      </c>
      <c r="E61" t="s">
        <v>158</v>
      </c>
      <c r="F61" t="s">
        <v>25</v>
      </c>
      <c r="G61" t="s">
        <v>16</v>
      </c>
      <c r="H61">
        <v>3</v>
      </c>
      <c r="I61">
        <v>2352</v>
      </c>
      <c r="J61">
        <v>0.02</v>
      </c>
      <c r="K61">
        <v>788.39</v>
      </c>
    </row>
    <row r="62" spans="1:11" x14ac:dyDescent="0.3">
      <c r="A62" t="s">
        <v>199</v>
      </c>
      <c r="B62" s="1">
        <v>45828</v>
      </c>
      <c r="C62" t="s">
        <v>172</v>
      </c>
      <c r="D62" t="s">
        <v>173</v>
      </c>
      <c r="E62" t="s">
        <v>200</v>
      </c>
      <c r="F62" t="s">
        <v>57</v>
      </c>
      <c r="G62" t="s">
        <v>43</v>
      </c>
      <c r="H62">
        <v>1</v>
      </c>
      <c r="I62">
        <v>1764</v>
      </c>
      <c r="J62">
        <v>0.02</v>
      </c>
      <c r="K62">
        <v>510.09</v>
      </c>
    </row>
    <row r="63" spans="1:11" x14ac:dyDescent="0.3">
      <c r="A63" t="s">
        <v>201</v>
      </c>
      <c r="B63" s="1">
        <v>46017</v>
      </c>
      <c r="C63" t="s">
        <v>202</v>
      </c>
      <c r="D63" t="s">
        <v>203</v>
      </c>
      <c r="E63" t="s">
        <v>24</v>
      </c>
      <c r="F63" t="s">
        <v>25</v>
      </c>
      <c r="G63" t="s">
        <v>20</v>
      </c>
      <c r="H63">
        <v>5</v>
      </c>
      <c r="I63">
        <v>58800</v>
      </c>
      <c r="J63">
        <v>0.02</v>
      </c>
      <c r="K63">
        <v>11403.69</v>
      </c>
    </row>
    <row r="64" spans="1:11" x14ac:dyDescent="0.3">
      <c r="A64" t="s">
        <v>204</v>
      </c>
      <c r="B64" s="1">
        <v>45893</v>
      </c>
      <c r="C64" t="s">
        <v>205</v>
      </c>
      <c r="D64" t="s">
        <v>206</v>
      </c>
      <c r="E64" t="s">
        <v>80</v>
      </c>
      <c r="F64" t="s">
        <v>15</v>
      </c>
      <c r="G64" t="s">
        <v>16</v>
      </c>
      <c r="H64">
        <v>4</v>
      </c>
      <c r="I64">
        <v>13720</v>
      </c>
      <c r="J64">
        <v>0.02</v>
      </c>
      <c r="K64">
        <v>3423.4</v>
      </c>
    </row>
    <row r="65" spans="1:11" x14ac:dyDescent="0.3">
      <c r="A65" t="s">
        <v>207</v>
      </c>
      <c r="B65" s="1">
        <v>45826</v>
      </c>
      <c r="C65" t="s">
        <v>208</v>
      </c>
      <c r="D65" t="s">
        <v>209</v>
      </c>
      <c r="E65" t="s">
        <v>210</v>
      </c>
      <c r="F65" t="s">
        <v>15</v>
      </c>
      <c r="G65" t="s">
        <v>20</v>
      </c>
      <c r="H65">
        <v>4</v>
      </c>
      <c r="I65">
        <v>202400</v>
      </c>
      <c r="J65">
        <v>0.08</v>
      </c>
      <c r="K65">
        <v>31124.75</v>
      </c>
    </row>
    <row r="66" spans="1:11" x14ac:dyDescent="0.3">
      <c r="A66" t="s">
        <v>211</v>
      </c>
      <c r="B66" s="1">
        <v>45918</v>
      </c>
      <c r="C66" t="s">
        <v>212</v>
      </c>
      <c r="D66" t="s">
        <v>213</v>
      </c>
      <c r="E66" t="s">
        <v>76</v>
      </c>
      <c r="F66" t="s">
        <v>25</v>
      </c>
      <c r="G66" t="s">
        <v>26</v>
      </c>
      <c r="H66">
        <v>6</v>
      </c>
      <c r="I66">
        <v>2550</v>
      </c>
      <c r="J66">
        <v>0.15</v>
      </c>
      <c r="K66">
        <v>716.8</v>
      </c>
    </row>
    <row r="67" spans="1:11" x14ac:dyDescent="0.3">
      <c r="A67" t="s">
        <v>214</v>
      </c>
      <c r="B67" s="1">
        <v>45749</v>
      </c>
      <c r="C67" t="s">
        <v>215</v>
      </c>
      <c r="D67" t="s">
        <v>216</v>
      </c>
      <c r="E67" t="s">
        <v>210</v>
      </c>
      <c r="F67" t="s">
        <v>15</v>
      </c>
      <c r="G67" t="s">
        <v>34</v>
      </c>
      <c r="H67">
        <v>2</v>
      </c>
      <c r="I67">
        <v>104500</v>
      </c>
      <c r="J67">
        <v>0.05</v>
      </c>
      <c r="K67">
        <v>17107.099999999999</v>
      </c>
    </row>
    <row r="68" spans="1:11" x14ac:dyDescent="0.3">
      <c r="A68" t="s">
        <v>217</v>
      </c>
      <c r="B68" s="1">
        <v>45818</v>
      </c>
      <c r="C68" t="s">
        <v>218</v>
      </c>
      <c r="D68" t="s">
        <v>219</v>
      </c>
      <c r="E68" t="s">
        <v>14</v>
      </c>
      <c r="F68" t="s">
        <v>15</v>
      </c>
      <c r="G68" t="s">
        <v>26</v>
      </c>
      <c r="H68">
        <v>7</v>
      </c>
      <c r="I68">
        <v>119700</v>
      </c>
      <c r="J68">
        <v>0.05</v>
      </c>
      <c r="K68">
        <v>22719.41</v>
      </c>
    </row>
    <row r="69" spans="1:11" x14ac:dyDescent="0.3">
      <c r="A69" t="s">
        <v>220</v>
      </c>
      <c r="B69" s="1">
        <v>45680</v>
      </c>
      <c r="C69" t="s">
        <v>221</v>
      </c>
      <c r="D69" t="s">
        <v>222</v>
      </c>
      <c r="E69" t="s">
        <v>223</v>
      </c>
      <c r="F69" t="s">
        <v>57</v>
      </c>
      <c r="G69" t="s">
        <v>20</v>
      </c>
      <c r="H69">
        <v>4</v>
      </c>
      <c r="I69">
        <v>26600</v>
      </c>
      <c r="J69">
        <v>0.05</v>
      </c>
      <c r="K69">
        <v>6213.8</v>
      </c>
    </row>
    <row r="70" spans="1:11" x14ac:dyDescent="0.3">
      <c r="A70" t="s">
        <v>224</v>
      </c>
      <c r="B70" s="1">
        <v>45878</v>
      </c>
      <c r="C70" t="s">
        <v>225</v>
      </c>
      <c r="D70" t="s">
        <v>226</v>
      </c>
      <c r="E70" t="s">
        <v>47</v>
      </c>
      <c r="F70" t="s">
        <v>15</v>
      </c>
      <c r="G70" t="s">
        <v>34</v>
      </c>
      <c r="H70">
        <v>4</v>
      </c>
      <c r="I70">
        <v>24700</v>
      </c>
      <c r="J70">
        <v>0.05</v>
      </c>
      <c r="K70">
        <v>4517.22</v>
      </c>
    </row>
    <row r="71" spans="1:11" x14ac:dyDescent="0.3">
      <c r="A71" t="s">
        <v>227</v>
      </c>
      <c r="B71" s="1">
        <v>45811</v>
      </c>
      <c r="C71" t="s">
        <v>228</v>
      </c>
      <c r="D71" t="s">
        <v>229</v>
      </c>
      <c r="E71" t="s">
        <v>64</v>
      </c>
      <c r="F71" t="s">
        <v>57</v>
      </c>
      <c r="G71" t="s">
        <v>43</v>
      </c>
      <c r="H71">
        <v>2</v>
      </c>
      <c r="I71">
        <v>13600</v>
      </c>
      <c r="J71">
        <v>0.15</v>
      </c>
      <c r="K71">
        <v>2929.1</v>
      </c>
    </row>
    <row r="72" spans="1:11" x14ac:dyDescent="0.3">
      <c r="A72" t="s">
        <v>230</v>
      </c>
      <c r="B72" s="1">
        <v>45723</v>
      </c>
      <c r="C72" t="s">
        <v>231</v>
      </c>
      <c r="D72" t="s">
        <v>232</v>
      </c>
      <c r="E72" t="s">
        <v>223</v>
      </c>
      <c r="F72" t="s">
        <v>57</v>
      </c>
      <c r="G72" t="s">
        <v>43</v>
      </c>
      <c r="H72">
        <v>5</v>
      </c>
      <c r="I72">
        <v>31500</v>
      </c>
      <c r="J72">
        <v>0.1</v>
      </c>
      <c r="K72">
        <v>6605.56</v>
      </c>
    </row>
    <row r="73" spans="1:11" x14ac:dyDescent="0.3">
      <c r="A73" t="s">
        <v>233</v>
      </c>
      <c r="B73" s="1">
        <v>45938</v>
      </c>
      <c r="C73" t="s">
        <v>234</v>
      </c>
      <c r="D73" t="s">
        <v>235</v>
      </c>
      <c r="E73" t="s">
        <v>33</v>
      </c>
      <c r="F73" t="s">
        <v>15</v>
      </c>
      <c r="G73" t="s">
        <v>34</v>
      </c>
      <c r="H73">
        <v>5</v>
      </c>
      <c r="I73">
        <v>8280</v>
      </c>
      <c r="J73">
        <v>0.08</v>
      </c>
      <c r="K73">
        <v>2860.19</v>
      </c>
    </row>
    <row r="74" spans="1:11" x14ac:dyDescent="0.3">
      <c r="A74" t="s">
        <v>236</v>
      </c>
      <c r="B74" s="1">
        <v>45954</v>
      </c>
      <c r="C74" t="s">
        <v>237</v>
      </c>
      <c r="D74" t="s">
        <v>238</v>
      </c>
      <c r="E74" t="s">
        <v>51</v>
      </c>
      <c r="F74" t="s">
        <v>15</v>
      </c>
      <c r="G74" t="s">
        <v>34</v>
      </c>
      <c r="H74">
        <v>7</v>
      </c>
      <c r="I74">
        <v>5040</v>
      </c>
      <c r="J74">
        <v>0.2</v>
      </c>
      <c r="K74">
        <v>1610.84</v>
      </c>
    </row>
    <row r="75" spans="1:11" x14ac:dyDescent="0.3">
      <c r="A75" t="s">
        <v>239</v>
      </c>
      <c r="B75" s="1">
        <v>45767</v>
      </c>
      <c r="C75" t="s">
        <v>85</v>
      </c>
      <c r="D75" t="s">
        <v>86</v>
      </c>
      <c r="E75" t="s">
        <v>71</v>
      </c>
      <c r="F75" t="s">
        <v>72</v>
      </c>
      <c r="G75" t="s">
        <v>16</v>
      </c>
      <c r="H75">
        <v>8</v>
      </c>
      <c r="I75">
        <v>14960</v>
      </c>
      <c r="J75">
        <v>0.15</v>
      </c>
      <c r="K75">
        <v>4560.01</v>
      </c>
    </row>
    <row r="76" spans="1:11" x14ac:dyDescent="0.3">
      <c r="A76" t="s">
        <v>240</v>
      </c>
      <c r="B76" s="1">
        <v>45997</v>
      </c>
      <c r="C76" t="s">
        <v>241</v>
      </c>
      <c r="D76" t="s">
        <v>242</v>
      </c>
      <c r="E76" t="s">
        <v>38</v>
      </c>
      <c r="F76" t="s">
        <v>15</v>
      </c>
      <c r="G76" t="s">
        <v>34</v>
      </c>
      <c r="H76">
        <v>5</v>
      </c>
      <c r="I76">
        <v>126000</v>
      </c>
      <c r="J76">
        <v>0.1</v>
      </c>
      <c r="K76">
        <v>20166.09</v>
      </c>
    </row>
    <row r="77" spans="1:11" x14ac:dyDescent="0.3">
      <c r="A77" t="s">
        <v>243</v>
      </c>
      <c r="B77" s="1">
        <v>45759</v>
      </c>
      <c r="C77" t="s">
        <v>244</v>
      </c>
      <c r="D77" t="s">
        <v>245</v>
      </c>
      <c r="E77" t="s">
        <v>24</v>
      </c>
      <c r="F77" t="s">
        <v>25</v>
      </c>
      <c r="G77" t="s">
        <v>20</v>
      </c>
      <c r="H77">
        <v>5</v>
      </c>
      <c r="I77">
        <v>58800</v>
      </c>
      <c r="J77">
        <v>0.02</v>
      </c>
      <c r="K77">
        <v>11482.21</v>
      </c>
    </row>
    <row r="78" spans="1:11" x14ac:dyDescent="0.3">
      <c r="A78" t="s">
        <v>246</v>
      </c>
      <c r="B78" s="1">
        <v>45870</v>
      </c>
      <c r="C78" t="s">
        <v>247</v>
      </c>
      <c r="D78" t="s">
        <v>248</v>
      </c>
      <c r="E78" t="s">
        <v>80</v>
      </c>
      <c r="F78" t="s">
        <v>15</v>
      </c>
      <c r="G78" t="s">
        <v>26</v>
      </c>
      <c r="H78">
        <v>2</v>
      </c>
      <c r="I78">
        <v>6440</v>
      </c>
      <c r="J78">
        <v>0.08</v>
      </c>
      <c r="K78">
        <v>1731.21</v>
      </c>
    </row>
    <row r="79" spans="1:11" x14ac:dyDescent="0.3">
      <c r="A79" t="s">
        <v>249</v>
      </c>
      <c r="B79" s="1">
        <v>45782</v>
      </c>
      <c r="C79" t="s">
        <v>250</v>
      </c>
      <c r="D79" t="s">
        <v>251</v>
      </c>
      <c r="E79" t="s">
        <v>223</v>
      </c>
      <c r="F79" t="s">
        <v>57</v>
      </c>
      <c r="G79" t="s">
        <v>20</v>
      </c>
      <c r="H79">
        <v>8</v>
      </c>
      <c r="I79">
        <v>51520</v>
      </c>
      <c r="J79">
        <v>0.08</v>
      </c>
      <c r="K79">
        <v>10798.23</v>
      </c>
    </row>
    <row r="80" spans="1:11" x14ac:dyDescent="0.3">
      <c r="A80" t="s">
        <v>252</v>
      </c>
      <c r="B80" s="1">
        <v>45748</v>
      </c>
      <c r="C80" t="s">
        <v>253</v>
      </c>
      <c r="D80" t="s">
        <v>254</v>
      </c>
      <c r="E80" t="s">
        <v>14</v>
      </c>
      <c r="F80" t="s">
        <v>15</v>
      </c>
      <c r="G80" t="s">
        <v>26</v>
      </c>
      <c r="H80">
        <v>7</v>
      </c>
      <c r="I80">
        <v>123480</v>
      </c>
      <c r="J80">
        <v>0.02</v>
      </c>
      <c r="K80">
        <v>25079.61</v>
      </c>
    </row>
    <row r="81" spans="1:11" x14ac:dyDescent="0.3">
      <c r="A81" t="s">
        <v>255</v>
      </c>
      <c r="B81" s="1">
        <v>45720</v>
      </c>
      <c r="C81" t="s">
        <v>256</v>
      </c>
      <c r="D81" t="s">
        <v>257</v>
      </c>
      <c r="E81" t="s">
        <v>42</v>
      </c>
      <c r="F81" t="s">
        <v>15</v>
      </c>
      <c r="G81" t="s">
        <v>43</v>
      </c>
      <c r="H81">
        <v>4</v>
      </c>
      <c r="I81">
        <v>76800</v>
      </c>
      <c r="J81">
        <v>0.2</v>
      </c>
      <c r="K81">
        <v>14860.68</v>
      </c>
    </row>
    <row r="82" spans="1:11" x14ac:dyDescent="0.3">
      <c r="A82" t="s">
        <v>258</v>
      </c>
      <c r="B82" s="1">
        <v>45884</v>
      </c>
      <c r="C82" t="s">
        <v>259</v>
      </c>
      <c r="D82" t="s">
        <v>260</v>
      </c>
      <c r="E82" t="s">
        <v>87</v>
      </c>
      <c r="F82" t="s">
        <v>15</v>
      </c>
      <c r="G82" t="s">
        <v>26</v>
      </c>
      <c r="H82">
        <v>6</v>
      </c>
      <c r="I82">
        <v>5760</v>
      </c>
      <c r="J82">
        <v>0.2</v>
      </c>
      <c r="K82">
        <v>1612.85</v>
      </c>
    </row>
    <row r="83" spans="1:11" x14ac:dyDescent="0.3">
      <c r="A83" t="s">
        <v>261</v>
      </c>
      <c r="B83" s="1">
        <v>45901</v>
      </c>
      <c r="C83" t="s">
        <v>262</v>
      </c>
      <c r="D83" t="s">
        <v>263</v>
      </c>
      <c r="E83" t="s">
        <v>47</v>
      </c>
      <c r="F83" t="s">
        <v>15</v>
      </c>
      <c r="G83" t="s">
        <v>16</v>
      </c>
      <c r="H83">
        <v>8</v>
      </c>
      <c r="I83">
        <v>50960</v>
      </c>
      <c r="J83">
        <v>0.02</v>
      </c>
      <c r="K83">
        <v>10056.92</v>
      </c>
    </row>
    <row r="84" spans="1:11" x14ac:dyDescent="0.3">
      <c r="A84" t="s">
        <v>264</v>
      </c>
      <c r="B84" s="1">
        <v>45780</v>
      </c>
      <c r="C84" t="s">
        <v>265</v>
      </c>
      <c r="D84" t="s">
        <v>266</v>
      </c>
      <c r="E84" t="s">
        <v>76</v>
      </c>
      <c r="F84" t="s">
        <v>25</v>
      </c>
      <c r="G84" t="s">
        <v>20</v>
      </c>
      <c r="H84">
        <v>8</v>
      </c>
      <c r="I84">
        <v>3400</v>
      </c>
      <c r="J84">
        <v>0.15</v>
      </c>
      <c r="K84">
        <v>931.72</v>
      </c>
    </row>
    <row r="85" spans="1:11" x14ac:dyDescent="0.3">
      <c r="A85" t="s">
        <v>267</v>
      </c>
      <c r="B85" s="1">
        <v>45829</v>
      </c>
      <c r="C85" t="s">
        <v>113</v>
      </c>
      <c r="D85" t="s">
        <v>114</v>
      </c>
      <c r="E85" t="s">
        <v>115</v>
      </c>
      <c r="F85" t="s">
        <v>25</v>
      </c>
      <c r="G85" t="s">
        <v>26</v>
      </c>
      <c r="H85">
        <v>4</v>
      </c>
      <c r="I85">
        <v>1140</v>
      </c>
      <c r="J85">
        <v>0.05</v>
      </c>
      <c r="K85">
        <v>363.46</v>
      </c>
    </row>
    <row r="86" spans="1:11" x14ac:dyDescent="0.3">
      <c r="A86" t="s">
        <v>268</v>
      </c>
      <c r="B86" s="1">
        <v>45854</v>
      </c>
      <c r="C86" t="s">
        <v>45</v>
      </c>
      <c r="D86" t="s">
        <v>46</v>
      </c>
      <c r="E86" t="s">
        <v>180</v>
      </c>
      <c r="F86" t="s">
        <v>15</v>
      </c>
      <c r="G86" t="s">
        <v>16</v>
      </c>
      <c r="H86">
        <v>3</v>
      </c>
      <c r="I86">
        <v>8820</v>
      </c>
      <c r="J86">
        <v>0.02</v>
      </c>
      <c r="K86">
        <v>3018.1</v>
      </c>
    </row>
    <row r="87" spans="1:11" x14ac:dyDescent="0.3">
      <c r="A87" t="s">
        <v>269</v>
      </c>
      <c r="B87" s="1">
        <v>45935</v>
      </c>
      <c r="C87" t="s">
        <v>270</v>
      </c>
      <c r="D87" t="s">
        <v>271</v>
      </c>
      <c r="E87" t="s">
        <v>200</v>
      </c>
      <c r="F87" t="s">
        <v>57</v>
      </c>
      <c r="G87" t="s">
        <v>20</v>
      </c>
      <c r="H87">
        <v>7</v>
      </c>
      <c r="I87">
        <v>11970</v>
      </c>
      <c r="J87">
        <v>0.05</v>
      </c>
      <c r="K87">
        <v>3262.17</v>
      </c>
    </row>
    <row r="88" spans="1:11" x14ac:dyDescent="0.3">
      <c r="A88" t="s">
        <v>272</v>
      </c>
      <c r="B88" s="1">
        <v>45957</v>
      </c>
      <c r="C88" t="s">
        <v>273</v>
      </c>
      <c r="D88" t="s">
        <v>274</v>
      </c>
      <c r="E88" t="s">
        <v>200</v>
      </c>
      <c r="F88" t="s">
        <v>57</v>
      </c>
      <c r="G88" t="s">
        <v>20</v>
      </c>
      <c r="H88">
        <v>7</v>
      </c>
      <c r="I88">
        <v>10080</v>
      </c>
      <c r="J88">
        <v>0.2</v>
      </c>
      <c r="K88">
        <v>2874.79</v>
      </c>
    </row>
    <row r="89" spans="1:11" x14ac:dyDescent="0.3">
      <c r="A89" t="s">
        <v>275</v>
      </c>
      <c r="B89" s="1">
        <v>45661</v>
      </c>
      <c r="C89" t="s">
        <v>205</v>
      </c>
      <c r="D89" t="s">
        <v>206</v>
      </c>
      <c r="E89" t="s">
        <v>160</v>
      </c>
      <c r="F89" t="s">
        <v>25</v>
      </c>
      <c r="G89" t="s">
        <v>34</v>
      </c>
      <c r="H89">
        <v>7</v>
      </c>
      <c r="I89">
        <v>4508</v>
      </c>
      <c r="J89">
        <v>0.08</v>
      </c>
      <c r="K89">
        <v>1495.09</v>
      </c>
    </row>
    <row r="90" spans="1:11" x14ac:dyDescent="0.3">
      <c r="A90" t="s">
        <v>276</v>
      </c>
      <c r="B90" s="1">
        <v>45937</v>
      </c>
      <c r="C90" t="s">
        <v>277</v>
      </c>
      <c r="D90" t="s">
        <v>278</v>
      </c>
      <c r="E90" t="s">
        <v>223</v>
      </c>
      <c r="F90" t="s">
        <v>57</v>
      </c>
      <c r="G90" t="s">
        <v>16</v>
      </c>
      <c r="H90">
        <v>7</v>
      </c>
      <c r="I90">
        <v>44100</v>
      </c>
      <c r="J90">
        <v>0.1</v>
      </c>
      <c r="K90">
        <v>10337.36</v>
      </c>
    </row>
    <row r="91" spans="1:11" x14ac:dyDescent="0.3">
      <c r="A91" t="s">
        <v>279</v>
      </c>
      <c r="B91" s="1">
        <v>45906</v>
      </c>
      <c r="C91" t="s">
        <v>280</v>
      </c>
      <c r="D91" t="s">
        <v>281</v>
      </c>
      <c r="E91" t="s">
        <v>24</v>
      </c>
      <c r="F91" t="s">
        <v>25</v>
      </c>
      <c r="G91" t="s">
        <v>34</v>
      </c>
      <c r="H91">
        <v>5</v>
      </c>
      <c r="I91">
        <v>55200</v>
      </c>
      <c r="J91">
        <v>0.08</v>
      </c>
      <c r="K91">
        <v>10308.049999999999</v>
      </c>
    </row>
    <row r="92" spans="1:11" x14ac:dyDescent="0.3">
      <c r="A92" t="s">
        <v>282</v>
      </c>
      <c r="B92" s="1">
        <v>45897</v>
      </c>
      <c r="C92" t="s">
        <v>283</v>
      </c>
      <c r="D92" t="s">
        <v>284</v>
      </c>
      <c r="E92" t="s">
        <v>223</v>
      </c>
      <c r="F92" t="s">
        <v>57</v>
      </c>
      <c r="G92" t="s">
        <v>26</v>
      </c>
      <c r="H92">
        <v>3</v>
      </c>
      <c r="I92">
        <v>16800</v>
      </c>
      <c r="J92">
        <v>0.2</v>
      </c>
      <c r="K92">
        <v>3922.21</v>
      </c>
    </row>
    <row r="93" spans="1:11" x14ac:dyDescent="0.3">
      <c r="A93" t="s">
        <v>285</v>
      </c>
      <c r="B93" s="1">
        <v>45946</v>
      </c>
      <c r="C93" t="s">
        <v>286</v>
      </c>
      <c r="D93" t="s">
        <v>287</v>
      </c>
      <c r="E93" t="s">
        <v>210</v>
      </c>
      <c r="F93" t="s">
        <v>15</v>
      </c>
      <c r="G93" t="s">
        <v>20</v>
      </c>
      <c r="H93">
        <v>7</v>
      </c>
      <c r="I93">
        <v>346500</v>
      </c>
      <c r="J93">
        <v>0.1</v>
      </c>
      <c r="K93">
        <v>56768.04</v>
      </c>
    </row>
    <row r="94" spans="1:11" x14ac:dyDescent="0.3">
      <c r="A94" t="s">
        <v>288</v>
      </c>
      <c r="B94" s="1">
        <v>45894</v>
      </c>
      <c r="C94" t="s">
        <v>289</v>
      </c>
      <c r="D94" t="s">
        <v>290</v>
      </c>
      <c r="E94" t="s">
        <v>200</v>
      </c>
      <c r="F94" t="s">
        <v>57</v>
      </c>
      <c r="G94" t="s">
        <v>34</v>
      </c>
      <c r="H94">
        <v>3</v>
      </c>
      <c r="I94">
        <v>4320</v>
      </c>
      <c r="J94">
        <v>0.2</v>
      </c>
      <c r="K94">
        <v>1048.6099999999999</v>
      </c>
    </row>
    <row r="95" spans="1:11" x14ac:dyDescent="0.3">
      <c r="A95" t="s">
        <v>291</v>
      </c>
      <c r="B95" s="1">
        <v>45825</v>
      </c>
      <c r="C95" t="s">
        <v>292</v>
      </c>
      <c r="D95" t="s">
        <v>293</v>
      </c>
      <c r="E95" t="s">
        <v>64</v>
      </c>
      <c r="F95" t="s">
        <v>57</v>
      </c>
      <c r="G95" t="s">
        <v>43</v>
      </c>
      <c r="H95">
        <v>4</v>
      </c>
      <c r="I95">
        <v>29440</v>
      </c>
      <c r="J95">
        <v>0.08</v>
      </c>
      <c r="K95">
        <v>6292.8</v>
      </c>
    </row>
    <row r="96" spans="1:11" x14ac:dyDescent="0.3">
      <c r="A96" t="s">
        <v>294</v>
      </c>
      <c r="B96" s="1">
        <v>45699</v>
      </c>
      <c r="C96" t="s">
        <v>126</v>
      </c>
      <c r="D96" t="s">
        <v>127</v>
      </c>
      <c r="E96" t="s">
        <v>200</v>
      </c>
      <c r="F96" t="s">
        <v>57</v>
      </c>
      <c r="G96" t="s">
        <v>26</v>
      </c>
      <c r="H96">
        <v>5</v>
      </c>
      <c r="I96">
        <v>7200</v>
      </c>
      <c r="J96">
        <v>0.2</v>
      </c>
      <c r="K96">
        <v>1863.12</v>
      </c>
    </row>
    <row r="97" spans="1:11" x14ac:dyDescent="0.3">
      <c r="A97" t="s">
        <v>295</v>
      </c>
      <c r="B97" s="1">
        <v>45693</v>
      </c>
      <c r="C97" t="s">
        <v>296</v>
      </c>
      <c r="D97" t="s">
        <v>297</v>
      </c>
      <c r="E97" t="s">
        <v>56</v>
      </c>
      <c r="F97" t="s">
        <v>57</v>
      </c>
      <c r="G97" t="s">
        <v>20</v>
      </c>
      <c r="H97">
        <v>4</v>
      </c>
      <c r="I97">
        <v>20400</v>
      </c>
      <c r="J97">
        <v>0.15</v>
      </c>
      <c r="K97">
        <v>4801.9799999999996</v>
      </c>
    </row>
    <row r="98" spans="1:11" x14ac:dyDescent="0.3">
      <c r="A98" t="s">
        <v>298</v>
      </c>
      <c r="B98" s="1">
        <v>45668</v>
      </c>
      <c r="C98" t="s">
        <v>299</v>
      </c>
      <c r="D98" t="s">
        <v>300</v>
      </c>
      <c r="E98" t="s">
        <v>210</v>
      </c>
      <c r="F98" t="s">
        <v>15</v>
      </c>
      <c r="G98" t="s">
        <v>16</v>
      </c>
      <c r="H98">
        <v>4</v>
      </c>
      <c r="I98">
        <v>215600</v>
      </c>
      <c r="J98">
        <v>0.02</v>
      </c>
      <c r="K98">
        <v>35798.89</v>
      </c>
    </row>
    <row r="99" spans="1:11" x14ac:dyDescent="0.3">
      <c r="A99" t="s">
        <v>301</v>
      </c>
      <c r="B99" s="1">
        <v>45769</v>
      </c>
      <c r="C99" t="s">
        <v>302</v>
      </c>
      <c r="D99" t="s">
        <v>303</v>
      </c>
      <c r="E99" t="s">
        <v>80</v>
      </c>
      <c r="F99" t="s">
        <v>15</v>
      </c>
      <c r="G99" t="s">
        <v>34</v>
      </c>
      <c r="H99">
        <v>2</v>
      </c>
      <c r="I99">
        <v>6300</v>
      </c>
      <c r="J99">
        <v>0.1</v>
      </c>
      <c r="K99">
        <v>1564.93</v>
      </c>
    </row>
    <row r="100" spans="1:11" x14ac:dyDescent="0.3">
      <c r="A100" t="s">
        <v>304</v>
      </c>
      <c r="B100" s="1">
        <v>45968</v>
      </c>
      <c r="C100" t="s">
        <v>305</v>
      </c>
      <c r="D100" t="s">
        <v>306</v>
      </c>
      <c r="E100" t="s">
        <v>56</v>
      </c>
      <c r="F100" t="s">
        <v>57</v>
      </c>
      <c r="G100" t="s">
        <v>20</v>
      </c>
      <c r="H100">
        <v>3</v>
      </c>
      <c r="I100">
        <v>16200</v>
      </c>
      <c r="J100">
        <v>0.1</v>
      </c>
      <c r="K100">
        <v>3986.63</v>
      </c>
    </row>
    <row r="101" spans="1:11" x14ac:dyDescent="0.3">
      <c r="A101" t="s">
        <v>307</v>
      </c>
      <c r="B101" s="1">
        <v>45954</v>
      </c>
      <c r="C101" t="s">
        <v>308</v>
      </c>
      <c r="D101" t="s">
        <v>309</v>
      </c>
      <c r="E101" t="s">
        <v>33</v>
      </c>
      <c r="F101" t="s">
        <v>15</v>
      </c>
      <c r="G101" t="s">
        <v>34</v>
      </c>
      <c r="H101">
        <v>5</v>
      </c>
      <c r="I101">
        <v>9000</v>
      </c>
      <c r="J101">
        <v>0</v>
      </c>
      <c r="K101">
        <v>2772.33</v>
      </c>
    </row>
    <row r="102" spans="1:11" x14ac:dyDescent="0.3">
      <c r="A102" t="s">
        <v>310</v>
      </c>
      <c r="B102" s="1">
        <v>45759</v>
      </c>
      <c r="C102" t="s">
        <v>49</v>
      </c>
      <c r="D102" t="s">
        <v>50</v>
      </c>
      <c r="E102" t="s">
        <v>223</v>
      </c>
      <c r="F102" t="s">
        <v>57</v>
      </c>
      <c r="G102" t="s">
        <v>16</v>
      </c>
      <c r="H102">
        <v>7</v>
      </c>
      <c r="I102">
        <v>41650</v>
      </c>
      <c r="J102">
        <v>0.15</v>
      </c>
      <c r="K102">
        <v>8340.19</v>
      </c>
    </row>
    <row r="103" spans="1:11" x14ac:dyDescent="0.3">
      <c r="A103" t="s">
        <v>311</v>
      </c>
      <c r="B103" s="1">
        <v>45947</v>
      </c>
      <c r="C103" t="s">
        <v>36</v>
      </c>
      <c r="D103" t="s">
        <v>37</v>
      </c>
      <c r="E103" t="s">
        <v>115</v>
      </c>
      <c r="F103" t="s">
        <v>25</v>
      </c>
      <c r="G103" t="s">
        <v>34</v>
      </c>
      <c r="H103">
        <v>2</v>
      </c>
      <c r="I103">
        <v>480</v>
      </c>
      <c r="J103">
        <v>0.2</v>
      </c>
      <c r="K103">
        <v>159.04</v>
      </c>
    </row>
    <row r="104" spans="1:11" x14ac:dyDescent="0.3">
      <c r="A104" t="s">
        <v>312</v>
      </c>
      <c r="B104" s="1">
        <v>45917</v>
      </c>
      <c r="C104" t="s">
        <v>286</v>
      </c>
      <c r="D104" t="s">
        <v>287</v>
      </c>
      <c r="E104" t="s">
        <v>200</v>
      </c>
      <c r="F104" t="s">
        <v>57</v>
      </c>
      <c r="G104" t="s">
        <v>20</v>
      </c>
      <c r="H104">
        <v>6</v>
      </c>
      <c r="I104">
        <v>10800</v>
      </c>
      <c r="J104">
        <v>0</v>
      </c>
      <c r="K104">
        <v>3070.82</v>
      </c>
    </row>
    <row r="105" spans="1:11" x14ac:dyDescent="0.3">
      <c r="A105" t="s">
        <v>313</v>
      </c>
      <c r="B105" s="1">
        <v>45879</v>
      </c>
      <c r="C105" t="s">
        <v>314</v>
      </c>
      <c r="D105" t="s">
        <v>315</v>
      </c>
      <c r="E105" t="s">
        <v>200</v>
      </c>
      <c r="F105" t="s">
        <v>57</v>
      </c>
      <c r="G105" t="s">
        <v>43</v>
      </c>
      <c r="H105">
        <v>8</v>
      </c>
      <c r="I105">
        <v>14400</v>
      </c>
      <c r="J105">
        <v>0</v>
      </c>
      <c r="K105">
        <v>4294.8999999999996</v>
      </c>
    </row>
    <row r="106" spans="1:11" x14ac:dyDescent="0.3">
      <c r="A106" t="s">
        <v>316</v>
      </c>
      <c r="B106" s="1">
        <v>45925</v>
      </c>
      <c r="C106" t="s">
        <v>317</v>
      </c>
      <c r="D106" t="s">
        <v>318</v>
      </c>
      <c r="E106" t="s">
        <v>180</v>
      </c>
      <c r="F106" t="s">
        <v>15</v>
      </c>
      <c r="G106" t="s">
        <v>34</v>
      </c>
      <c r="H106">
        <v>7</v>
      </c>
      <c r="I106">
        <v>20580</v>
      </c>
      <c r="J106">
        <v>0.02</v>
      </c>
      <c r="K106">
        <v>7346.33</v>
      </c>
    </row>
    <row r="107" spans="1:11" x14ac:dyDescent="0.3">
      <c r="A107" t="s">
        <v>319</v>
      </c>
      <c r="B107" s="1">
        <v>45881</v>
      </c>
      <c r="C107" t="s">
        <v>320</v>
      </c>
      <c r="D107" t="s">
        <v>321</v>
      </c>
      <c r="E107" t="s">
        <v>47</v>
      </c>
      <c r="F107" t="s">
        <v>15</v>
      </c>
      <c r="G107" t="s">
        <v>26</v>
      </c>
      <c r="H107">
        <v>8</v>
      </c>
      <c r="I107">
        <v>47840</v>
      </c>
      <c r="J107">
        <v>0.08</v>
      </c>
      <c r="K107">
        <v>9902.02</v>
      </c>
    </row>
    <row r="108" spans="1:11" x14ac:dyDescent="0.3">
      <c r="A108" t="s">
        <v>322</v>
      </c>
      <c r="B108" s="1">
        <v>45702</v>
      </c>
      <c r="C108" t="s">
        <v>66</v>
      </c>
      <c r="D108" t="s">
        <v>67</v>
      </c>
      <c r="E108" t="s">
        <v>64</v>
      </c>
      <c r="F108" t="s">
        <v>57</v>
      </c>
      <c r="G108" t="s">
        <v>43</v>
      </c>
      <c r="H108">
        <v>4</v>
      </c>
      <c r="I108">
        <v>25600</v>
      </c>
      <c r="J108">
        <v>0.2</v>
      </c>
      <c r="K108">
        <v>5145.33</v>
      </c>
    </row>
    <row r="109" spans="1:11" x14ac:dyDescent="0.3">
      <c r="A109" t="s">
        <v>323</v>
      </c>
      <c r="B109" s="1">
        <v>45672</v>
      </c>
      <c r="C109" t="s">
        <v>247</v>
      </c>
      <c r="D109" t="s">
        <v>248</v>
      </c>
      <c r="E109" t="s">
        <v>71</v>
      </c>
      <c r="F109" t="s">
        <v>72</v>
      </c>
      <c r="G109" t="s">
        <v>34</v>
      </c>
      <c r="H109">
        <v>7</v>
      </c>
      <c r="I109">
        <v>14630</v>
      </c>
      <c r="J109">
        <v>0.05</v>
      </c>
      <c r="K109">
        <v>4589.29</v>
      </c>
    </row>
    <row r="110" spans="1:11" x14ac:dyDescent="0.3">
      <c r="A110" t="s">
        <v>324</v>
      </c>
      <c r="B110" s="1">
        <v>45790</v>
      </c>
      <c r="C110" t="s">
        <v>325</v>
      </c>
      <c r="D110" t="s">
        <v>326</v>
      </c>
      <c r="E110" t="s">
        <v>80</v>
      </c>
      <c r="F110" t="s">
        <v>15</v>
      </c>
      <c r="G110" t="s">
        <v>26</v>
      </c>
      <c r="H110">
        <v>4</v>
      </c>
      <c r="I110">
        <v>13300</v>
      </c>
      <c r="J110">
        <v>0.05</v>
      </c>
      <c r="K110">
        <v>3283.04</v>
      </c>
    </row>
    <row r="111" spans="1:11" x14ac:dyDescent="0.3">
      <c r="A111" t="s">
        <v>327</v>
      </c>
      <c r="B111" s="1">
        <v>45755</v>
      </c>
      <c r="C111" t="s">
        <v>328</v>
      </c>
      <c r="D111" t="s">
        <v>329</v>
      </c>
      <c r="E111" t="s">
        <v>76</v>
      </c>
      <c r="F111" t="s">
        <v>25</v>
      </c>
      <c r="G111" t="s">
        <v>43</v>
      </c>
      <c r="H111">
        <v>1</v>
      </c>
      <c r="I111">
        <v>450</v>
      </c>
      <c r="J111">
        <v>0.1</v>
      </c>
      <c r="K111">
        <v>121.3</v>
      </c>
    </row>
    <row r="112" spans="1:11" x14ac:dyDescent="0.3">
      <c r="A112" t="s">
        <v>330</v>
      </c>
      <c r="B112" s="1">
        <v>45901</v>
      </c>
      <c r="C112" t="s">
        <v>331</v>
      </c>
      <c r="D112" t="s">
        <v>332</v>
      </c>
      <c r="E112" t="s">
        <v>47</v>
      </c>
      <c r="F112" t="s">
        <v>15</v>
      </c>
      <c r="G112" t="s">
        <v>43</v>
      </c>
      <c r="H112">
        <v>4</v>
      </c>
      <c r="I112">
        <v>22100</v>
      </c>
      <c r="J112">
        <v>0.15</v>
      </c>
      <c r="K112">
        <v>4346.3900000000003</v>
      </c>
    </row>
    <row r="113" spans="1:11" x14ac:dyDescent="0.3">
      <c r="A113" t="s">
        <v>333</v>
      </c>
      <c r="B113" s="1">
        <v>45771</v>
      </c>
      <c r="C113" t="s">
        <v>334</v>
      </c>
      <c r="D113" t="s">
        <v>335</v>
      </c>
      <c r="E113" t="s">
        <v>210</v>
      </c>
      <c r="F113" t="s">
        <v>15</v>
      </c>
      <c r="G113" t="s">
        <v>16</v>
      </c>
      <c r="H113">
        <v>2</v>
      </c>
      <c r="I113">
        <v>104500</v>
      </c>
      <c r="J113">
        <v>0.05</v>
      </c>
      <c r="K113">
        <v>16599.68</v>
      </c>
    </row>
    <row r="114" spans="1:11" x14ac:dyDescent="0.3">
      <c r="A114" t="s">
        <v>336</v>
      </c>
      <c r="B114" s="1">
        <v>45941</v>
      </c>
      <c r="C114" t="s">
        <v>337</v>
      </c>
      <c r="D114" t="s">
        <v>338</v>
      </c>
      <c r="E114" t="s">
        <v>160</v>
      </c>
      <c r="F114" t="s">
        <v>25</v>
      </c>
      <c r="G114" t="s">
        <v>43</v>
      </c>
      <c r="H114">
        <v>6</v>
      </c>
      <c r="I114">
        <v>3864</v>
      </c>
      <c r="J114">
        <v>0.08</v>
      </c>
      <c r="K114">
        <v>1194.53</v>
      </c>
    </row>
    <row r="115" spans="1:11" x14ac:dyDescent="0.3">
      <c r="A115" t="s">
        <v>339</v>
      </c>
      <c r="B115" s="1">
        <v>46017</v>
      </c>
      <c r="C115" t="s">
        <v>340</v>
      </c>
      <c r="D115" t="s">
        <v>341</v>
      </c>
      <c r="E115" t="s">
        <v>47</v>
      </c>
      <c r="F115" t="s">
        <v>15</v>
      </c>
      <c r="G115" t="s">
        <v>34</v>
      </c>
      <c r="H115">
        <v>6</v>
      </c>
      <c r="I115">
        <v>37050</v>
      </c>
      <c r="J115">
        <v>0.05</v>
      </c>
      <c r="K115">
        <v>7254.77</v>
      </c>
    </row>
    <row r="116" spans="1:11" x14ac:dyDescent="0.3">
      <c r="A116" t="s">
        <v>342</v>
      </c>
      <c r="B116" s="1">
        <v>45756</v>
      </c>
      <c r="C116" t="s">
        <v>343</v>
      </c>
      <c r="D116" t="s">
        <v>344</v>
      </c>
      <c r="E116" t="s">
        <v>24</v>
      </c>
      <c r="F116" t="s">
        <v>25</v>
      </c>
      <c r="G116" t="s">
        <v>26</v>
      </c>
      <c r="H116">
        <v>2</v>
      </c>
      <c r="I116">
        <v>20400</v>
      </c>
      <c r="J116">
        <v>0.15</v>
      </c>
      <c r="K116">
        <v>3914.94</v>
      </c>
    </row>
    <row r="117" spans="1:11" x14ac:dyDescent="0.3">
      <c r="A117" t="s">
        <v>345</v>
      </c>
      <c r="B117" s="1">
        <v>45905</v>
      </c>
      <c r="C117" t="s">
        <v>346</v>
      </c>
      <c r="D117" t="s">
        <v>347</v>
      </c>
      <c r="E117" t="s">
        <v>33</v>
      </c>
      <c r="F117" t="s">
        <v>15</v>
      </c>
      <c r="G117" t="s">
        <v>26</v>
      </c>
      <c r="H117">
        <v>4</v>
      </c>
      <c r="I117">
        <v>7056</v>
      </c>
      <c r="J117">
        <v>0.02</v>
      </c>
      <c r="K117">
        <v>2254.1799999999998</v>
      </c>
    </row>
    <row r="118" spans="1:11" x14ac:dyDescent="0.3">
      <c r="A118" t="s">
        <v>348</v>
      </c>
      <c r="B118" s="1">
        <v>45757</v>
      </c>
      <c r="C118" t="s">
        <v>31</v>
      </c>
      <c r="D118" t="s">
        <v>32</v>
      </c>
      <c r="E118" t="s">
        <v>87</v>
      </c>
      <c r="F118" t="s">
        <v>15</v>
      </c>
      <c r="G118" t="s">
        <v>34</v>
      </c>
      <c r="H118">
        <v>5</v>
      </c>
      <c r="I118">
        <v>6000</v>
      </c>
      <c r="J118">
        <v>0</v>
      </c>
      <c r="K118">
        <v>1692.95</v>
      </c>
    </row>
    <row r="119" spans="1:11" x14ac:dyDescent="0.3">
      <c r="A119" t="s">
        <v>349</v>
      </c>
      <c r="B119" s="1">
        <v>45931</v>
      </c>
      <c r="C119" t="s">
        <v>350</v>
      </c>
      <c r="D119" t="s">
        <v>351</v>
      </c>
      <c r="E119" t="s">
        <v>115</v>
      </c>
      <c r="F119" t="s">
        <v>25</v>
      </c>
      <c r="G119" t="s">
        <v>20</v>
      </c>
      <c r="H119">
        <v>1</v>
      </c>
      <c r="I119">
        <v>255</v>
      </c>
      <c r="J119">
        <v>0.15</v>
      </c>
      <c r="K119">
        <v>75.28</v>
      </c>
    </row>
    <row r="120" spans="1:11" x14ac:dyDescent="0.3">
      <c r="A120" t="s">
        <v>352</v>
      </c>
      <c r="B120" s="1">
        <v>45722</v>
      </c>
      <c r="C120" t="s">
        <v>197</v>
      </c>
      <c r="D120" t="s">
        <v>198</v>
      </c>
      <c r="E120" t="s">
        <v>42</v>
      </c>
      <c r="F120" t="s">
        <v>15</v>
      </c>
      <c r="G120" t="s">
        <v>43</v>
      </c>
      <c r="H120">
        <v>5</v>
      </c>
      <c r="I120">
        <v>102000</v>
      </c>
      <c r="J120">
        <v>0.15</v>
      </c>
      <c r="K120">
        <v>20863.98</v>
      </c>
    </row>
    <row r="121" spans="1:11" x14ac:dyDescent="0.3">
      <c r="A121" t="s">
        <v>353</v>
      </c>
      <c r="B121" s="1">
        <v>45903</v>
      </c>
      <c r="C121" t="s">
        <v>36</v>
      </c>
      <c r="D121" t="s">
        <v>37</v>
      </c>
      <c r="E121" t="s">
        <v>210</v>
      </c>
      <c r="F121" t="s">
        <v>15</v>
      </c>
      <c r="G121" t="s">
        <v>16</v>
      </c>
      <c r="H121">
        <v>5</v>
      </c>
      <c r="I121">
        <v>253000</v>
      </c>
      <c r="J121">
        <v>0.08</v>
      </c>
      <c r="K121">
        <v>40071.379999999997</v>
      </c>
    </row>
    <row r="122" spans="1:11" x14ac:dyDescent="0.3">
      <c r="A122" t="s">
        <v>354</v>
      </c>
      <c r="B122" s="1">
        <v>45902</v>
      </c>
      <c r="C122" t="s">
        <v>212</v>
      </c>
      <c r="D122" t="s">
        <v>213</v>
      </c>
      <c r="E122" t="s">
        <v>42</v>
      </c>
      <c r="F122" t="s">
        <v>15</v>
      </c>
      <c r="G122" t="s">
        <v>20</v>
      </c>
      <c r="H122">
        <v>5</v>
      </c>
      <c r="I122">
        <v>96000</v>
      </c>
      <c r="J122">
        <v>0.2</v>
      </c>
      <c r="K122">
        <v>17206.349999999999</v>
      </c>
    </row>
    <row r="123" spans="1:11" x14ac:dyDescent="0.3">
      <c r="A123" t="s">
        <v>355</v>
      </c>
      <c r="B123" s="1">
        <v>45980</v>
      </c>
      <c r="C123" t="s">
        <v>356</v>
      </c>
      <c r="D123" t="s">
        <v>357</v>
      </c>
      <c r="E123" t="s">
        <v>80</v>
      </c>
      <c r="F123" t="s">
        <v>15</v>
      </c>
      <c r="G123" t="s">
        <v>16</v>
      </c>
      <c r="H123">
        <v>2</v>
      </c>
      <c r="I123">
        <v>6300</v>
      </c>
      <c r="J123">
        <v>0.1</v>
      </c>
      <c r="K123">
        <v>1628.7</v>
      </c>
    </row>
    <row r="124" spans="1:11" x14ac:dyDescent="0.3">
      <c r="A124" t="s">
        <v>358</v>
      </c>
      <c r="B124" s="1">
        <v>45785</v>
      </c>
      <c r="C124" t="s">
        <v>359</v>
      </c>
      <c r="D124" t="s">
        <v>360</v>
      </c>
      <c r="E124" t="s">
        <v>160</v>
      </c>
      <c r="F124" t="s">
        <v>25</v>
      </c>
      <c r="G124" t="s">
        <v>43</v>
      </c>
      <c r="H124">
        <v>5</v>
      </c>
      <c r="I124">
        <v>3500</v>
      </c>
      <c r="J124">
        <v>0</v>
      </c>
      <c r="K124">
        <v>1032.8499999999999</v>
      </c>
    </row>
    <row r="125" spans="1:11" x14ac:dyDescent="0.3">
      <c r="A125" t="s">
        <v>361</v>
      </c>
      <c r="B125" s="1">
        <v>45925</v>
      </c>
      <c r="C125" t="s">
        <v>59</v>
      </c>
      <c r="D125" t="s">
        <v>60</v>
      </c>
      <c r="E125" t="s">
        <v>158</v>
      </c>
      <c r="F125" t="s">
        <v>25</v>
      </c>
      <c r="G125" t="s">
        <v>43</v>
      </c>
      <c r="H125">
        <v>4</v>
      </c>
      <c r="I125">
        <v>2560</v>
      </c>
      <c r="J125">
        <v>0.2</v>
      </c>
      <c r="K125">
        <v>730.86</v>
      </c>
    </row>
    <row r="126" spans="1:11" x14ac:dyDescent="0.3">
      <c r="A126" t="s">
        <v>362</v>
      </c>
      <c r="B126" s="1">
        <v>45949</v>
      </c>
      <c r="C126" t="s">
        <v>363</v>
      </c>
      <c r="D126" t="s">
        <v>364</v>
      </c>
      <c r="E126" t="s">
        <v>160</v>
      </c>
      <c r="F126" t="s">
        <v>25</v>
      </c>
      <c r="G126" t="s">
        <v>26</v>
      </c>
      <c r="H126">
        <v>7</v>
      </c>
      <c r="I126">
        <v>4655</v>
      </c>
      <c r="J126">
        <v>0.05</v>
      </c>
      <c r="K126">
        <v>1473.57</v>
      </c>
    </row>
    <row r="127" spans="1:11" x14ac:dyDescent="0.3">
      <c r="A127" t="s">
        <v>365</v>
      </c>
      <c r="B127" s="1">
        <v>45766</v>
      </c>
      <c r="C127" t="s">
        <v>366</v>
      </c>
      <c r="D127" t="s">
        <v>367</v>
      </c>
      <c r="E127" t="s">
        <v>14</v>
      </c>
      <c r="F127" t="s">
        <v>15</v>
      </c>
      <c r="G127" t="s">
        <v>20</v>
      </c>
      <c r="H127">
        <v>4</v>
      </c>
      <c r="I127">
        <v>61200</v>
      </c>
      <c r="J127">
        <v>0.15</v>
      </c>
      <c r="K127">
        <v>10847.81</v>
      </c>
    </row>
    <row r="128" spans="1:11" x14ac:dyDescent="0.3">
      <c r="A128" t="s">
        <v>368</v>
      </c>
      <c r="B128" s="1">
        <v>45696</v>
      </c>
      <c r="C128" t="s">
        <v>369</v>
      </c>
      <c r="D128" t="s">
        <v>370</v>
      </c>
      <c r="E128" t="s">
        <v>24</v>
      </c>
      <c r="F128" t="s">
        <v>25</v>
      </c>
      <c r="G128" t="s">
        <v>43</v>
      </c>
      <c r="H128">
        <v>3</v>
      </c>
      <c r="I128">
        <v>32400</v>
      </c>
      <c r="J128">
        <v>0.1</v>
      </c>
      <c r="K128">
        <v>6150.34</v>
      </c>
    </row>
    <row r="129" spans="1:11" x14ac:dyDescent="0.3">
      <c r="A129" t="s">
        <v>371</v>
      </c>
      <c r="B129" s="1">
        <v>45674</v>
      </c>
      <c r="C129" t="s">
        <v>117</v>
      </c>
      <c r="D129" t="s">
        <v>118</v>
      </c>
      <c r="E129" t="s">
        <v>158</v>
      </c>
      <c r="F129" t="s">
        <v>25</v>
      </c>
      <c r="G129" t="s">
        <v>34</v>
      </c>
      <c r="H129">
        <v>8</v>
      </c>
      <c r="I129">
        <v>6080</v>
      </c>
      <c r="J129">
        <v>0.05</v>
      </c>
      <c r="K129">
        <v>1789.07</v>
      </c>
    </row>
    <row r="130" spans="1:11" x14ac:dyDescent="0.3">
      <c r="A130" t="s">
        <v>372</v>
      </c>
      <c r="B130" s="1">
        <v>45777</v>
      </c>
      <c r="C130" t="s">
        <v>328</v>
      </c>
      <c r="D130" t="s">
        <v>329</v>
      </c>
      <c r="E130" t="s">
        <v>71</v>
      </c>
      <c r="F130" t="s">
        <v>72</v>
      </c>
      <c r="G130" t="s">
        <v>26</v>
      </c>
      <c r="H130">
        <v>2</v>
      </c>
      <c r="I130">
        <v>3740</v>
      </c>
      <c r="J130">
        <v>0.15</v>
      </c>
      <c r="K130">
        <v>1232.46</v>
      </c>
    </row>
    <row r="131" spans="1:11" x14ac:dyDescent="0.3">
      <c r="A131" t="s">
        <v>373</v>
      </c>
      <c r="B131" s="1">
        <v>45936</v>
      </c>
      <c r="C131" t="s">
        <v>147</v>
      </c>
      <c r="D131" t="s">
        <v>148</v>
      </c>
      <c r="E131" t="s">
        <v>51</v>
      </c>
      <c r="F131" t="s">
        <v>15</v>
      </c>
      <c r="G131" t="s">
        <v>16</v>
      </c>
      <c r="H131">
        <v>7</v>
      </c>
      <c r="I131">
        <v>6300</v>
      </c>
      <c r="J131">
        <v>0</v>
      </c>
      <c r="K131">
        <v>2007.54</v>
      </c>
    </row>
    <row r="132" spans="1:11" x14ac:dyDescent="0.3">
      <c r="A132" t="s">
        <v>374</v>
      </c>
      <c r="B132" s="1">
        <v>45688</v>
      </c>
      <c r="C132" t="s">
        <v>375</v>
      </c>
      <c r="D132" t="s">
        <v>376</v>
      </c>
      <c r="E132" t="s">
        <v>76</v>
      </c>
      <c r="F132" t="s">
        <v>25</v>
      </c>
      <c r="G132" t="s">
        <v>34</v>
      </c>
      <c r="H132">
        <v>3</v>
      </c>
      <c r="I132">
        <v>1500</v>
      </c>
      <c r="J132">
        <v>0</v>
      </c>
      <c r="K132">
        <v>425.95</v>
      </c>
    </row>
    <row r="133" spans="1:11" x14ac:dyDescent="0.3">
      <c r="A133" t="s">
        <v>377</v>
      </c>
      <c r="B133" s="1">
        <v>45721</v>
      </c>
      <c r="C133" t="s">
        <v>378</v>
      </c>
      <c r="D133" t="s">
        <v>379</v>
      </c>
      <c r="E133" t="s">
        <v>160</v>
      </c>
      <c r="F133" t="s">
        <v>25</v>
      </c>
      <c r="G133" t="s">
        <v>34</v>
      </c>
      <c r="H133">
        <v>5</v>
      </c>
      <c r="I133">
        <v>3220</v>
      </c>
      <c r="J133">
        <v>0.08</v>
      </c>
      <c r="K133">
        <v>984.49</v>
      </c>
    </row>
    <row r="134" spans="1:11" x14ac:dyDescent="0.3">
      <c r="A134" t="s">
        <v>380</v>
      </c>
      <c r="B134" s="1">
        <v>45934</v>
      </c>
      <c r="C134" t="s">
        <v>328</v>
      </c>
      <c r="D134" t="s">
        <v>329</v>
      </c>
      <c r="E134" t="s">
        <v>223</v>
      </c>
      <c r="F134" t="s">
        <v>57</v>
      </c>
      <c r="G134" t="s">
        <v>20</v>
      </c>
      <c r="H134">
        <v>5</v>
      </c>
      <c r="I134">
        <v>31500</v>
      </c>
      <c r="J134">
        <v>0.1</v>
      </c>
      <c r="K134">
        <v>6992.06</v>
      </c>
    </row>
    <row r="135" spans="1:11" x14ac:dyDescent="0.3">
      <c r="A135" t="s">
        <v>381</v>
      </c>
      <c r="B135" s="1">
        <v>45823</v>
      </c>
      <c r="C135" t="s">
        <v>382</v>
      </c>
      <c r="D135" t="s">
        <v>383</v>
      </c>
      <c r="E135" t="s">
        <v>42</v>
      </c>
      <c r="F135" t="s">
        <v>15</v>
      </c>
      <c r="G135" t="s">
        <v>20</v>
      </c>
      <c r="H135">
        <v>7</v>
      </c>
      <c r="I135">
        <v>142800</v>
      </c>
      <c r="J135">
        <v>0.15</v>
      </c>
      <c r="K135">
        <v>29018.3</v>
      </c>
    </row>
    <row r="136" spans="1:11" x14ac:dyDescent="0.3">
      <c r="A136" t="s">
        <v>384</v>
      </c>
      <c r="B136" s="1">
        <v>46002</v>
      </c>
      <c r="C136" t="s">
        <v>244</v>
      </c>
      <c r="D136" t="s">
        <v>245</v>
      </c>
      <c r="E136" t="s">
        <v>24</v>
      </c>
      <c r="F136" t="s">
        <v>25</v>
      </c>
      <c r="G136" t="s">
        <v>26</v>
      </c>
      <c r="H136">
        <v>1</v>
      </c>
      <c r="I136">
        <v>9600</v>
      </c>
      <c r="J136">
        <v>0.2</v>
      </c>
      <c r="K136">
        <v>2003.57</v>
      </c>
    </row>
    <row r="137" spans="1:11" x14ac:dyDescent="0.3">
      <c r="A137" t="s">
        <v>385</v>
      </c>
      <c r="B137" s="1">
        <v>45991</v>
      </c>
      <c r="C137" t="s">
        <v>193</v>
      </c>
      <c r="D137" t="s">
        <v>194</v>
      </c>
      <c r="E137" t="s">
        <v>33</v>
      </c>
      <c r="F137" t="s">
        <v>15</v>
      </c>
      <c r="G137" t="s">
        <v>34</v>
      </c>
      <c r="H137">
        <v>8</v>
      </c>
      <c r="I137">
        <v>12960</v>
      </c>
      <c r="J137">
        <v>0.1</v>
      </c>
      <c r="K137">
        <v>4155.63</v>
      </c>
    </row>
    <row r="138" spans="1:11" x14ac:dyDescent="0.3">
      <c r="A138" t="s">
        <v>386</v>
      </c>
      <c r="B138" s="1">
        <v>45909</v>
      </c>
      <c r="C138" t="s">
        <v>325</v>
      </c>
      <c r="D138" t="s">
        <v>326</v>
      </c>
      <c r="E138" t="s">
        <v>160</v>
      </c>
      <c r="F138" t="s">
        <v>25</v>
      </c>
      <c r="G138" t="s">
        <v>43</v>
      </c>
      <c r="H138">
        <v>7</v>
      </c>
      <c r="I138">
        <v>4165</v>
      </c>
      <c r="J138">
        <v>0.15</v>
      </c>
      <c r="K138">
        <v>1366.83</v>
      </c>
    </row>
    <row r="139" spans="1:11" x14ac:dyDescent="0.3">
      <c r="A139" t="s">
        <v>387</v>
      </c>
      <c r="B139" s="1">
        <v>46001</v>
      </c>
      <c r="C139" t="s">
        <v>388</v>
      </c>
      <c r="D139" t="s">
        <v>389</v>
      </c>
      <c r="E139" t="s">
        <v>200</v>
      </c>
      <c r="F139" t="s">
        <v>57</v>
      </c>
      <c r="G139" t="s">
        <v>16</v>
      </c>
      <c r="H139">
        <v>6</v>
      </c>
      <c r="I139">
        <v>10260</v>
      </c>
      <c r="J139">
        <v>0.05</v>
      </c>
      <c r="K139">
        <v>2622.71</v>
      </c>
    </row>
    <row r="140" spans="1:11" x14ac:dyDescent="0.3">
      <c r="A140" t="s">
        <v>390</v>
      </c>
      <c r="B140" s="1">
        <v>45997</v>
      </c>
      <c r="C140" t="s">
        <v>215</v>
      </c>
      <c r="D140" t="s">
        <v>216</v>
      </c>
      <c r="E140" t="s">
        <v>200</v>
      </c>
      <c r="F140" t="s">
        <v>57</v>
      </c>
      <c r="G140" t="s">
        <v>26</v>
      </c>
      <c r="H140">
        <v>8</v>
      </c>
      <c r="I140">
        <v>13680</v>
      </c>
      <c r="J140">
        <v>0.05</v>
      </c>
      <c r="K140">
        <v>4034.92</v>
      </c>
    </row>
    <row r="141" spans="1:11" x14ac:dyDescent="0.3">
      <c r="A141" t="s">
        <v>391</v>
      </c>
      <c r="B141" s="1">
        <v>45787</v>
      </c>
      <c r="C141" t="s">
        <v>218</v>
      </c>
      <c r="D141" t="s">
        <v>219</v>
      </c>
      <c r="E141" t="s">
        <v>71</v>
      </c>
      <c r="F141" t="s">
        <v>72</v>
      </c>
      <c r="G141" t="s">
        <v>43</v>
      </c>
      <c r="H141">
        <v>2</v>
      </c>
      <c r="I141">
        <v>4180</v>
      </c>
      <c r="J141">
        <v>0.05</v>
      </c>
      <c r="K141">
        <v>1272.9100000000001</v>
      </c>
    </row>
    <row r="142" spans="1:11" x14ac:dyDescent="0.3">
      <c r="A142" t="s">
        <v>392</v>
      </c>
      <c r="B142" s="1">
        <v>45935</v>
      </c>
      <c r="C142" t="s">
        <v>393</v>
      </c>
      <c r="D142" t="s">
        <v>394</v>
      </c>
      <c r="E142" t="s">
        <v>87</v>
      </c>
      <c r="F142" t="s">
        <v>15</v>
      </c>
      <c r="G142" t="s">
        <v>20</v>
      </c>
      <c r="H142">
        <v>1</v>
      </c>
      <c r="I142">
        <v>1020</v>
      </c>
      <c r="J142">
        <v>0.15</v>
      </c>
      <c r="K142">
        <v>282.25</v>
      </c>
    </row>
    <row r="143" spans="1:11" x14ac:dyDescent="0.3">
      <c r="A143" t="s">
        <v>395</v>
      </c>
      <c r="B143" s="1">
        <v>45913</v>
      </c>
      <c r="C143" t="s">
        <v>396</v>
      </c>
      <c r="D143" t="s">
        <v>397</v>
      </c>
      <c r="E143" t="s">
        <v>87</v>
      </c>
      <c r="F143" t="s">
        <v>15</v>
      </c>
      <c r="G143" t="s">
        <v>20</v>
      </c>
      <c r="H143">
        <v>6</v>
      </c>
      <c r="I143">
        <v>6480</v>
      </c>
      <c r="J143">
        <v>0.1</v>
      </c>
      <c r="K143">
        <v>1879.64</v>
      </c>
    </row>
    <row r="144" spans="1:11" x14ac:dyDescent="0.3">
      <c r="A144" t="s">
        <v>398</v>
      </c>
      <c r="B144" s="1">
        <v>45882</v>
      </c>
      <c r="C144" t="s">
        <v>273</v>
      </c>
      <c r="D144" t="s">
        <v>274</v>
      </c>
      <c r="E144" t="s">
        <v>76</v>
      </c>
      <c r="F144" t="s">
        <v>25</v>
      </c>
      <c r="G144" t="s">
        <v>43</v>
      </c>
      <c r="H144">
        <v>3</v>
      </c>
      <c r="I144">
        <v>1425</v>
      </c>
      <c r="J144">
        <v>0.05</v>
      </c>
      <c r="K144">
        <v>449.3</v>
      </c>
    </row>
    <row r="145" spans="1:11" x14ac:dyDescent="0.3">
      <c r="A145" t="s">
        <v>399</v>
      </c>
      <c r="B145" s="1">
        <v>45739</v>
      </c>
      <c r="C145" t="s">
        <v>400</v>
      </c>
      <c r="D145" t="s">
        <v>401</v>
      </c>
      <c r="E145" t="s">
        <v>210</v>
      </c>
      <c r="F145" t="s">
        <v>15</v>
      </c>
      <c r="G145" t="s">
        <v>20</v>
      </c>
      <c r="H145">
        <v>4</v>
      </c>
      <c r="I145">
        <v>187000</v>
      </c>
      <c r="J145">
        <v>0.15</v>
      </c>
      <c r="K145">
        <v>28159.919999999998</v>
      </c>
    </row>
    <row r="146" spans="1:11" x14ac:dyDescent="0.3">
      <c r="A146" t="s">
        <v>402</v>
      </c>
      <c r="B146" s="1">
        <v>45716</v>
      </c>
      <c r="C146" t="s">
        <v>120</v>
      </c>
      <c r="D146" t="s">
        <v>121</v>
      </c>
      <c r="E146" t="s">
        <v>200</v>
      </c>
      <c r="F146" t="s">
        <v>57</v>
      </c>
      <c r="G146" t="s">
        <v>20</v>
      </c>
      <c r="H146">
        <v>2</v>
      </c>
      <c r="I146">
        <v>3528</v>
      </c>
      <c r="J146">
        <v>0.02</v>
      </c>
      <c r="K146">
        <v>968.83</v>
      </c>
    </row>
    <row r="147" spans="1:11" x14ac:dyDescent="0.3">
      <c r="A147" t="s">
        <v>403</v>
      </c>
      <c r="B147" s="1">
        <v>45807</v>
      </c>
      <c r="C147" t="s">
        <v>404</v>
      </c>
      <c r="D147" t="s">
        <v>405</v>
      </c>
      <c r="E147" t="s">
        <v>180</v>
      </c>
      <c r="F147" t="s">
        <v>15</v>
      </c>
      <c r="G147" t="s">
        <v>34</v>
      </c>
      <c r="H147">
        <v>8</v>
      </c>
      <c r="I147">
        <v>20400</v>
      </c>
      <c r="J147">
        <v>0.15</v>
      </c>
      <c r="K147">
        <v>6511.36</v>
      </c>
    </row>
    <row r="148" spans="1:11" x14ac:dyDescent="0.3">
      <c r="A148" t="s">
        <v>406</v>
      </c>
      <c r="B148" s="1">
        <v>45891</v>
      </c>
      <c r="C148" t="s">
        <v>407</v>
      </c>
      <c r="D148" t="s">
        <v>408</v>
      </c>
      <c r="E148" t="s">
        <v>80</v>
      </c>
      <c r="F148" t="s">
        <v>15</v>
      </c>
      <c r="G148" t="s">
        <v>43</v>
      </c>
      <c r="H148">
        <v>8</v>
      </c>
      <c r="I148">
        <v>27440</v>
      </c>
      <c r="J148">
        <v>0.02</v>
      </c>
      <c r="K148">
        <v>7079.06</v>
      </c>
    </row>
    <row r="149" spans="1:11" x14ac:dyDescent="0.3">
      <c r="A149" t="s">
        <v>409</v>
      </c>
      <c r="B149" s="1">
        <v>45693</v>
      </c>
      <c r="C149" t="s">
        <v>396</v>
      </c>
      <c r="D149" t="s">
        <v>397</v>
      </c>
      <c r="E149" t="s">
        <v>158</v>
      </c>
      <c r="F149" t="s">
        <v>25</v>
      </c>
      <c r="G149" t="s">
        <v>43</v>
      </c>
      <c r="H149">
        <v>3</v>
      </c>
      <c r="I149">
        <v>1920</v>
      </c>
      <c r="J149">
        <v>0.2</v>
      </c>
      <c r="K149">
        <v>535.65</v>
      </c>
    </row>
    <row r="150" spans="1:11" x14ac:dyDescent="0.3">
      <c r="A150" t="s">
        <v>410</v>
      </c>
      <c r="B150" s="1">
        <v>45659</v>
      </c>
      <c r="C150" t="s">
        <v>411</v>
      </c>
      <c r="D150" t="s">
        <v>412</v>
      </c>
      <c r="E150" t="s">
        <v>87</v>
      </c>
      <c r="F150" t="s">
        <v>15</v>
      </c>
      <c r="G150" t="s">
        <v>34</v>
      </c>
      <c r="H150">
        <v>5</v>
      </c>
      <c r="I150">
        <v>4800</v>
      </c>
      <c r="J150">
        <v>0.2</v>
      </c>
      <c r="K150">
        <v>1251.69</v>
      </c>
    </row>
    <row r="151" spans="1:11" x14ac:dyDescent="0.3">
      <c r="A151" t="s">
        <v>413</v>
      </c>
      <c r="B151" s="1">
        <v>45734</v>
      </c>
      <c r="C151" t="s">
        <v>414</v>
      </c>
      <c r="D151" t="s">
        <v>415</v>
      </c>
      <c r="E151" t="s">
        <v>160</v>
      </c>
      <c r="F151" t="s">
        <v>25</v>
      </c>
      <c r="G151" t="s">
        <v>43</v>
      </c>
      <c r="H151">
        <v>8</v>
      </c>
      <c r="I151">
        <v>4480</v>
      </c>
      <c r="J151">
        <v>0.2</v>
      </c>
      <c r="K151">
        <v>1304.95</v>
      </c>
    </row>
    <row r="152" spans="1:11" x14ac:dyDescent="0.3">
      <c r="A152" t="s">
        <v>416</v>
      </c>
      <c r="B152" s="1">
        <v>45822</v>
      </c>
      <c r="C152" t="s">
        <v>417</v>
      </c>
      <c r="D152" t="s">
        <v>418</v>
      </c>
      <c r="E152" t="s">
        <v>64</v>
      </c>
      <c r="F152" t="s">
        <v>57</v>
      </c>
      <c r="G152" t="s">
        <v>16</v>
      </c>
      <c r="H152">
        <v>7</v>
      </c>
      <c r="I152">
        <v>51520</v>
      </c>
      <c r="J152">
        <v>0.08</v>
      </c>
      <c r="K152">
        <v>12085.12</v>
      </c>
    </row>
    <row r="153" spans="1:11" x14ac:dyDescent="0.3">
      <c r="A153" t="s">
        <v>419</v>
      </c>
      <c r="B153" s="1">
        <v>45868</v>
      </c>
      <c r="C153" t="s">
        <v>420</v>
      </c>
      <c r="D153" t="s">
        <v>421</v>
      </c>
      <c r="E153" t="s">
        <v>223</v>
      </c>
      <c r="F153" t="s">
        <v>57</v>
      </c>
      <c r="G153" t="s">
        <v>43</v>
      </c>
      <c r="H153">
        <v>4</v>
      </c>
      <c r="I153">
        <v>22400</v>
      </c>
      <c r="J153">
        <v>0.2</v>
      </c>
      <c r="K153">
        <v>4332.6899999999996</v>
      </c>
    </row>
    <row r="154" spans="1:11" x14ac:dyDescent="0.3">
      <c r="A154" t="s">
        <v>422</v>
      </c>
      <c r="B154" s="1">
        <v>45991</v>
      </c>
      <c r="C154" t="s">
        <v>175</v>
      </c>
      <c r="D154" t="s">
        <v>176</v>
      </c>
      <c r="E154" t="s">
        <v>223</v>
      </c>
      <c r="F154" t="s">
        <v>57</v>
      </c>
      <c r="G154" t="s">
        <v>43</v>
      </c>
      <c r="H154">
        <v>7</v>
      </c>
      <c r="I154">
        <v>41650</v>
      </c>
      <c r="J154">
        <v>0.15</v>
      </c>
      <c r="K154">
        <v>9961.6299999999992</v>
      </c>
    </row>
    <row r="155" spans="1:11" x14ac:dyDescent="0.3">
      <c r="A155" t="s">
        <v>423</v>
      </c>
      <c r="B155" s="1">
        <v>45960</v>
      </c>
      <c r="C155" t="s">
        <v>424</v>
      </c>
      <c r="D155" t="s">
        <v>425</v>
      </c>
      <c r="E155" t="s">
        <v>42</v>
      </c>
      <c r="F155" t="s">
        <v>15</v>
      </c>
      <c r="G155" t="s">
        <v>20</v>
      </c>
      <c r="H155">
        <v>3</v>
      </c>
      <c r="I155">
        <v>64800</v>
      </c>
      <c r="J155">
        <v>0.1</v>
      </c>
      <c r="K155">
        <v>12721.79</v>
      </c>
    </row>
    <row r="156" spans="1:11" x14ac:dyDescent="0.3">
      <c r="A156" t="s">
        <v>426</v>
      </c>
      <c r="B156" s="1">
        <v>45891</v>
      </c>
      <c r="C156" t="s">
        <v>427</v>
      </c>
      <c r="D156" t="s">
        <v>428</v>
      </c>
      <c r="E156" t="s">
        <v>71</v>
      </c>
      <c r="F156" t="s">
        <v>72</v>
      </c>
      <c r="G156" t="s">
        <v>16</v>
      </c>
      <c r="H156">
        <v>2</v>
      </c>
      <c r="I156">
        <v>3960</v>
      </c>
      <c r="J156">
        <v>0.1</v>
      </c>
      <c r="K156">
        <v>1116.44</v>
      </c>
    </row>
    <row r="157" spans="1:11" x14ac:dyDescent="0.3">
      <c r="A157" t="s">
        <v>429</v>
      </c>
      <c r="B157" s="1">
        <v>45793</v>
      </c>
      <c r="C157" t="s">
        <v>430</v>
      </c>
      <c r="D157" t="s">
        <v>431</v>
      </c>
      <c r="E157" t="s">
        <v>180</v>
      </c>
      <c r="F157" t="s">
        <v>15</v>
      </c>
      <c r="G157" t="s">
        <v>43</v>
      </c>
      <c r="H157">
        <v>2</v>
      </c>
      <c r="I157">
        <v>5520</v>
      </c>
      <c r="J157">
        <v>0.08</v>
      </c>
      <c r="K157">
        <v>1748.34</v>
      </c>
    </row>
    <row r="158" spans="1:11" x14ac:dyDescent="0.3">
      <c r="A158" t="s">
        <v>432</v>
      </c>
      <c r="B158" s="1">
        <v>46003</v>
      </c>
      <c r="C158" t="s">
        <v>433</v>
      </c>
      <c r="D158" t="s">
        <v>434</v>
      </c>
      <c r="E158" t="s">
        <v>38</v>
      </c>
      <c r="F158" t="s">
        <v>15</v>
      </c>
      <c r="G158" t="s">
        <v>43</v>
      </c>
      <c r="H158">
        <v>6</v>
      </c>
      <c r="I158">
        <v>134400</v>
      </c>
      <c r="J158">
        <v>0.2</v>
      </c>
      <c r="K158">
        <v>21802.36</v>
      </c>
    </row>
    <row r="159" spans="1:11" x14ac:dyDescent="0.3">
      <c r="A159" t="s">
        <v>435</v>
      </c>
      <c r="B159" s="1">
        <v>45935</v>
      </c>
      <c r="C159" t="s">
        <v>436</v>
      </c>
      <c r="D159" t="s">
        <v>437</v>
      </c>
      <c r="E159" t="s">
        <v>64</v>
      </c>
      <c r="F159" t="s">
        <v>57</v>
      </c>
      <c r="G159" t="s">
        <v>20</v>
      </c>
      <c r="H159">
        <v>8</v>
      </c>
      <c r="I159">
        <v>51200</v>
      </c>
      <c r="J159">
        <v>0.2</v>
      </c>
      <c r="K159">
        <v>9730.7099999999991</v>
      </c>
    </row>
    <row r="160" spans="1:11" x14ac:dyDescent="0.3">
      <c r="A160" t="s">
        <v>438</v>
      </c>
      <c r="B160" s="1">
        <v>45704</v>
      </c>
      <c r="C160" t="s">
        <v>439</v>
      </c>
      <c r="D160" t="s">
        <v>440</v>
      </c>
      <c r="E160" t="s">
        <v>115</v>
      </c>
      <c r="F160" t="s">
        <v>25</v>
      </c>
      <c r="G160" t="s">
        <v>20</v>
      </c>
      <c r="H160">
        <v>4</v>
      </c>
      <c r="I160">
        <v>1020</v>
      </c>
      <c r="J160">
        <v>0.15</v>
      </c>
      <c r="K160">
        <v>320.77</v>
      </c>
    </row>
    <row r="161" spans="1:11" x14ac:dyDescent="0.3">
      <c r="A161" t="s">
        <v>441</v>
      </c>
      <c r="B161" s="1">
        <v>46013</v>
      </c>
      <c r="C161" t="s">
        <v>31</v>
      </c>
      <c r="D161" t="s">
        <v>32</v>
      </c>
      <c r="E161" t="s">
        <v>14</v>
      </c>
      <c r="F161" t="s">
        <v>15</v>
      </c>
      <c r="G161" t="s">
        <v>20</v>
      </c>
      <c r="H161">
        <v>8</v>
      </c>
      <c r="I161">
        <v>141120</v>
      </c>
      <c r="J161">
        <v>0.02</v>
      </c>
      <c r="K161">
        <v>26401.61</v>
      </c>
    </row>
    <row r="162" spans="1:11" x14ac:dyDescent="0.3">
      <c r="A162" t="s">
        <v>442</v>
      </c>
      <c r="B162" s="1">
        <v>45841</v>
      </c>
      <c r="C162" t="s">
        <v>443</v>
      </c>
      <c r="D162" t="s">
        <v>444</v>
      </c>
      <c r="E162" t="s">
        <v>64</v>
      </c>
      <c r="F162" t="s">
        <v>57</v>
      </c>
      <c r="G162" t="s">
        <v>16</v>
      </c>
      <c r="H162">
        <v>1</v>
      </c>
      <c r="I162">
        <v>7600</v>
      </c>
      <c r="J162">
        <v>0.05</v>
      </c>
      <c r="K162">
        <v>1651.45</v>
      </c>
    </row>
    <row r="163" spans="1:11" x14ac:dyDescent="0.3">
      <c r="A163" t="s">
        <v>445</v>
      </c>
      <c r="B163" s="1">
        <v>46007</v>
      </c>
      <c r="C163" t="s">
        <v>247</v>
      </c>
      <c r="D163" t="s">
        <v>248</v>
      </c>
      <c r="E163" t="s">
        <v>87</v>
      </c>
      <c r="F163" t="s">
        <v>15</v>
      </c>
      <c r="G163" t="s">
        <v>16</v>
      </c>
      <c r="H163">
        <v>7</v>
      </c>
      <c r="I163">
        <v>7560</v>
      </c>
      <c r="J163">
        <v>0.1</v>
      </c>
      <c r="K163">
        <v>2258.42</v>
      </c>
    </row>
    <row r="164" spans="1:11" x14ac:dyDescent="0.3">
      <c r="A164" t="s">
        <v>446</v>
      </c>
      <c r="B164" s="1">
        <v>46007</v>
      </c>
      <c r="C164" t="s">
        <v>447</v>
      </c>
      <c r="D164" t="s">
        <v>448</v>
      </c>
      <c r="E164" t="s">
        <v>38</v>
      </c>
      <c r="F164" t="s">
        <v>15</v>
      </c>
      <c r="G164" t="s">
        <v>26</v>
      </c>
      <c r="H164">
        <v>7</v>
      </c>
      <c r="I164">
        <v>176400</v>
      </c>
      <c r="J164">
        <v>0.1</v>
      </c>
      <c r="K164">
        <v>26256.28</v>
      </c>
    </row>
    <row r="165" spans="1:11" x14ac:dyDescent="0.3">
      <c r="A165" t="s">
        <v>449</v>
      </c>
      <c r="B165" s="1">
        <v>45788</v>
      </c>
      <c r="C165" t="s">
        <v>450</v>
      </c>
      <c r="D165" t="s">
        <v>451</v>
      </c>
      <c r="E165" t="s">
        <v>24</v>
      </c>
      <c r="F165" t="s">
        <v>25</v>
      </c>
      <c r="G165" t="s">
        <v>20</v>
      </c>
      <c r="H165">
        <v>8</v>
      </c>
      <c r="I165">
        <v>81600</v>
      </c>
      <c r="J165">
        <v>0.15</v>
      </c>
      <c r="K165">
        <v>16120.63</v>
      </c>
    </row>
    <row r="166" spans="1:11" x14ac:dyDescent="0.3">
      <c r="A166" t="s">
        <v>452</v>
      </c>
      <c r="B166" s="1">
        <v>45937</v>
      </c>
      <c r="C166" t="s">
        <v>453</v>
      </c>
      <c r="D166" t="s">
        <v>454</v>
      </c>
      <c r="E166" t="s">
        <v>71</v>
      </c>
      <c r="F166" t="s">
        <v>72</v>
      </c>
      <c r="G166" t="s">
        <v>43</v>
      </c>
      <c r="H166">
        <v>5</v>
      </c>
      <c r="I166">
        <v>9350</v>
      </c>
      <c r="J166">
        <v>0.15</v>
      </c>
      <c r="K166">
        <v>2652.22</v>
      </c>
    </row>
    <row r="167" spans="1:11" x14ac:dyDescent="0.3">
      <c r="A167" t="s">
        <v>455</v>
      </c>
      <c r="B167" s="1">
        <v>45875</v>
      </c>
      <c r="C167" t="s">
        <v>456</v>
      </c>
      <c r="D167" t="s">
        <v>457</v>
      </c>
      <c r="E167" t="s">
        <v>56</v>
      </c>
      <c r="F167" t="s">
        <v>57</v>
      </c>
      <c r="G167" t="s">
        <v>43</v>
      </c>
      <c r="H167">
        <v>5</v>
      </c>
      <c r="I167">
        <v>25500</v>
      </c>
      <c r="J167">
        <v>0.15</v>
      </c>
      <c r="K167">
        <v>5900.65</v>
      </c>
    </row>
    <row r="168" spans="1:11" x14ac:dyDescent="0.3">
      <c r="A168" t="s">
        <v>458</v>
      </c>
      <c r="B168" s="1">
        <v>45905</v>
      </c>
      <c r="C168" t="s">
        <v>459</v>
      </c>
      <c r="D168" t="s">
        <v>460</v>
      </c>
      <c r="E168" t="s">
        <v>115</v>
      </c>
      <c r="F168" t="s">
        <v>25</v>
      </c>
      <c r="G168" t="s">
        <v>43</v>
      </c>
      <c r="H168">
        <v>4</v>
      </c>
      <c r="I168">
        <v>1104</v>
      </c>
      <c r="J168">
        <v>0.08</v>
      </c>
      <c r="K168">
        <v>334.83</v>
      </c>
    </row>
    <row r="169" spans="1:11" x14ac:dyDescent="0.3">
      <c r="A169" t="s">
        <v>461</v>
      </c>
      <c r="B169" s="1">
        <v>45809</v>
      </c>
      <c r="C169" t="s">
        <v>420</v>
      </c>
      <c r="D169" t="s">
        <v>421</v>
      </c>
      <c r="E169" t="s">
        <v>56</v>
      </c>
      <c r="F169" t="s">
        <v>57</v>
      </c>
      <c r="G169" t="s">
        <v>43</v>
      </c>
      <c r="H169">
        <v>5</v>
      </c>
      <c r="I169">
        <v>25500</v>
      </c>
      <c r="J169">
        <v>0.15</v>
      </c>
      <c r="K169">
        <v>5152.07</v>
      </c>
    </row>
    <row r="170" spans="1:11" x14ac:dyDescent="0.3">
      <c r="A170" t="s">
        <v>462</v>
      </c>
      <c r="B170" s="1">
        <v>45912</v>
      </c>
      <c r="C170" t="s">
        <v>463</v>
      </c>
      <c r="D170" t="s">
        <v>464</v>
      </c>
      <c r="E170" t="s">
        <v>210</v>
      </c>
      <c r="F170" t="s">
        <v>15</v>
      </c>
      <c r="G170" t="s">
        <v>34</v>
      </c>
      <c r="H170">
        <v>1</v>
      </c>
      <c r="I170">
        <v>49500</v>
      </c>
      <c r="J170">
        <v>0.1</v>
      </c>
      <c r="K170">
        <v>8354.2900000000009</v>
      </c>
    </row>
    <row r="171" spans="1:11" x14ac:dyDescent="0.3">
      <c r="A171" t="s">
        <v>465</v>
      </c>
      <c r="B171" s="1">
        <v>45983</v>
      </c>
      <c r="C171" t="s">
        <v>466</v>
      </c>
      <c r="D171" t="s">
        <v>467</v>
      </c>
      <c r="E171" t="s">
        <v>24</v>
      </c>
      <c r="F171" t="s">
        <v>25</v>
      </c>
      <c r="G171" t="s">
        <v>34</v>
      </c>
      <c r="H171">
        <v>6</v>
      </c>
      <c r="I171">
        <v>70560</v>
      </c>
      <c r="J171">
        <v>0.02</v>
      </c>
      <c r="K171">
        <v>13881.32</v>
      </c>
    </row>
    <row r="172" spans="1:11" x14ac:dyDescent="0.3">
      <c r="A172" t="s">
        <v>468</v>
      </c>
      <c r="B172" s="1">
        <v>45988</v>
      </c>
      <c r="C172" t="s">
        <v>234</v>
      </c>
      <c r="D172" t="s">
        <v>235</v>
      </c>
      <c r="E172" t="s">
        <v>180</v>
      </c>
      <c r="F172" t="s">
        <v>15</v>
      </c>
      <c r="G172" t="s">
        <v>43</v>
      </c>
      <c r="H172">
        <v>2</v>
      </c>
      <c r="I172">
        <v>5100</v>
      </c>
      <c r="J172">
        <v>0.15</v>
      </c>
      <c r="K172">
        <v>1477.62</v>
      </c>
    </row>
    <row r="173" spans="1:11" x14ac:dyDescent="0.3">
      <c r="A173" t="s">
        <v>469</v>
      </c>
      <c r="B173" s="1">
        <v>45725</v>
      </c>
      <c r="C173" t="s">
        <v>470</v>
      </c>
      <c r="D173" t="s">
        <v>471</v>
      </c>
      <c r="E173" t="s">
        <v>160</v>
      </c>
      <c r="F173" t="s">
        <v>25</v>
      </c>
      <c r="G173" t="s">
        <v>34</v>
      </c>
      <c r="H173">
        <v>6</v>
      </c>
      <c r="I173">
        <v>3570</v>
      </c>
      <c r="J173">
        <v>0.15</v>
      </c>
      <c r="K173">
        <v>985.94</v>
      </c>
    </row>
    <row r="174" spans="1:11" x14ac:dyDescent="0.3">
      <c r="A174" t="s">
        <v>472</v>
      </c>
      <c r="B174" s="1">
        <v>45725</v>
      </c>
      <c r="C174" t="s">
        <v>231</v>
      </c>
      <c r="D174" t="s">
        <v>232</v>
      </c>
      <c r="E174" t="s">
        <v>200</v>
      </c>
      <c r="F174" t="s">
        <v>57</v>
      </c>
      <c r="G174" t="s">
        <v>34</v>
      </c>
      <c r="H174">
        <v>3</v>
      </c>
      <c r="I174">
        <v>5292</v>
      </c>
      <c r="J174">
        <v>0.02</v>
      </c>
      <c r="K174">
        <v>1531.26</v>
      </c>
    </row>
    <row r="175" spans="1:11" x14ac:dyDescent="0.3">
      <c r="A175" t="s">
        <v>473</v>
      </c>
      <c r="B175" s="1">
        <v>45742</v>
      </c>
      <c r="C175" t="s">
        <v>474</v>
      </c>
      <c r="D175" t="s">
        <v>475</v>
      </c>
      <c r="E175" t="s">
        <v>87</v>
      </c>
      <c r="F175" t="s">
        <v>15</v>
      </c>
      <c r="G175" t="s">
        <v>43</v>
      </c>
      <c r="H175">
        <v>5</v>
      </c>
      <c r="I175">
        <v>4800</v>
      </c>
      <c r="J175">
        <v>0.2</v>
      </c>
      <c r="K175">
        <v>1244.45</v>
      </c>
    </row>
    <row r="176" spans="1:11" x14ac:dyDescent="0.3">
      <c r="A176" t="s">
        <v>476</v>
      </c>
      <c r="B176" s="1">
        <v>45716</v>
      </c>
      <c r="C176" t="s">
        <v>212</v>
      </c>
      <c r="D176" t="s">
        <v>213</v>
      </c>
      <c r="E176" t="s">
        <v>115</v>
      </c>
      <c r="F176" t="s">
        <v>25</v>
      </c>
      <c r="G176" t="s">
        <v>20</v>
      </c>
      <c r="H176">
        <v>6</v>
      </c>
      <c r="I176">
        <v>1440</v>
      </c>
      <c r="J176">
        <v>0.2</v>
      </c>
      <c r="K176">
        <v>446.96</v>
      </c>
    </row>
    <row r="177" spans="1:11" x14ac:dyDescent="0.3">
      <c r="A177" t="s">
        <v>477</v>
      </c>
      <c r="B177" s="1">
        <v>45943</v>
      </c>
      <c r="C177" t="s">
        <v>450</v>
      </c>
      <c r="D177" t="s">
        <v>451</v>
      </c>
      <c r="E177" t="s">
        <v>24</v>
      </c>
      <c r="F177" t="s">
        <v>25</v>
      </c>
      <c r="G177" t="s">
        <v>43</v>
      </c>
      <c r="H177">
        <v>7</v>
      </c>
      <c r="I177">
        <v>67200</v>
      </c>
      <c r="J177">
        <v>0.2</v>
      </c>
      <c r="K177">
        <v>12749.17</v>
      </c>
    </row>
    <row r="178" spans="1:11" x14ac:dyDescent="0.3">
      <c r="A178" t="s">
        <v>478</v>
      </c>
      <c r="B178" s="1">
        <v>45846</v>
      </c>
      <c r="C178" t="s">
        <v>479</v>
      </c>
      <c r="D178" t="s">
        <v>480</v>
      </c>
      <c r="E178" t="s">
        <v>76</v>
      </c>
      <c r="F178" t="s">
        <v>25</v>
      </c>
      <c r="G178" t="s">
        <v>34</v>
      </c>
      <c r="H178">
        <v>2</v>
      </c>
      <c r="I178">
        <v>920</v>
      </c>
      <c r="J178">
        <v>0.08</v>
      </c>
      <c r="K178">
        <v>278.3</v>
      </c>
    </row>
    <row r="179" spans="1:11" x14ac:dyDescent="0.3">
      <c r="A179" t="s">
        <v>481</v>
      </c>
      <c r="B179" s="1">
        <v>46003</v>
      </c>
      <c r="C179" t="s">
        <v>482</v>
      </c>
      <c r="D179" t="s">
        <v>483</v>
      </c>
      <c r="E179" t="s">
        <v>223</v>
      </c>
      <c r="F179" t="s">
        <v>57</v>
      </c>
      <c r="G179" t="s">
        <v>20</v>
      </c>
      <c r="H179">
        <v>6</v>
      </c>
      <c r="I179">
        <v>42000</v>
      </c>
      <c r="J179">
        <v>0</v>
      </c>
      <c r="K179">
        <v>9191.15</v>
      </c>
    </row>
    <row r="180" spans="1:11" x14ac:dyDescent="0.3">
      <c r="A180" t="s">
        <v>484</v>
      </c>
      <c r="B180" s="1">
        <v>45771</v>
      </c>
      <c r="C180" t="s">
        <v>485</v>
      </c>
      <c r="D180" t="s">
        <v>486</v>
      </c>
      <c r="E180" t="s">
        <v>47</v>
      </c>
      <c r="F180" t="s">
        <v>15</v>
      </c>
      <c r="G180" t="s">
        <v>43</v>
      </c>
      <c r="H180">
        <v>6</v>
      </c>
      <c r="I180">
        <v>35100</v>
      </c>
      <c r="J180">
        <v>0.1</v>
      </c>
      <c r="K180">
        <v>7009.27</v>
      </c>
    </row>
    <row r="181" spans="1:11" x14ac:dyDescent="0.3">
      <c r="A181" t="s">
        <v>487</v>
      </c>
      <c r="B181" s="1">
        <v>45729</v>
      </c>
      <c r="C181" t="s">
        <v>375</v>
      </c>
      <c r="D181" t="s">
        <v>376</v>
      </c>
      <c r="E181" t="s">
        <v>115</v>
      </c>
      <c r="F181" t="s">
        <v>25</v>
      </c>
      <c r="G181" t="s">
        <v>20</v>
      </c>
      <c r="H181">
        <v>7</v>
      </c>
      <c r="I181">
        <v>2100</v>
      </c>
      <c r="J181">
        <v>0</v>
      </c>
      <c r="K181">
        <v>649.08000000000004</v>
      </c>
    </row>
    <row r="182" spans="1:11" x14ac:dyDescent="0.3">
      <c r="A182" t="s">
        <v>488</v>
      </c>
      <c r="B182" s="1">
        <v>45778</v>
      </c>
      <c r="C182" t="s">
        <v>489</v>
      </c>
      <c r="D182" t="s">
        <v>490</v>
      </c>
      <c r="E182" t="s">
        <v>80</v>
      </c>
      <c r="F182" t="s">
        <v>15</v>
      </c>
      <c r="G182" t="s">
        <v>16</v>
      </c>
      <c r="H182">
        <v>2</v>
      </c>
      <c r="I182">
        <v>7000</v>
      </c>
      <c r="J182">
        <v>0</v>
      </c>
      <c r="K182">
        <v>1911.53</v>
      </c>
    </row>
    <row r="183" spans="1:11" x14ac:dyDescent="0.3">
      <c r="A183" t="s">
        <v>491</v>
      </c>
      <c r="B183" s="1">
        <v>46014</v>
      </c>
      <c r="C183" t="s">
        <v>492</v>
      </c>
      <c r="D183" t="s">
        <v>493</v>
      </c>
      <c r="E183" t="s">
        <v>71</v>
      </c>
      <c r="F183" t="s">
        <v>72</v>
      </c>
      <c r="G183" t="s">
        <v>43</v>
      </c>
      <c r="H183">
        <v>6</v>
      </c>
      <c r="I183">
        <v>11220</v>
      </c>
      <c r="J183">
        <v>0.15</v>
      </c>
      <c r="K183">
        <v>3712.19</v>
      </c>
    </row>
    <row r="184" spans="1:11" x14ac:dyDescent="0.3">
      <c r="A184" t="s">
        <v>494</v>
      </c>
      <c r="B184" s="1">
        <v>45708</v>
      </c>
      <c r="C184" t="s">
        <v>495</v>
      </c>
      <c r="D184" t="s">
        <v>496</v>
      </c>
      <c r="E184" t="s">
        <v>180</v>
      </c>
      <c r="F184" t="s">
        <v>15</v>
      </c>
      <c r="G184" t="s">
        <v>26</v>
      </c>
      <c r="H184">
        <v>7</v>
      </c>
      <c r="I184">
        <v>17850</v>
      </c>
      <c r="J184">
        <v>0.15</v>
      </c>
      <c r="K184">
        <v>6061.24</v>
      </c>
    </row>
    <row r="185" spans="1:11" x14ac:dyDescent="0.3">
      <c r="A185" t="s">
        <v>497</v>
      </c>
      <c r="B185" s="1">
        <v>45847</v>
      </c>
      <c r="C185" t="s">
        <v>430</v>
      </c>
      <c r="D185" t="s">
        <v>431</v>
      </c>
      <c r="E185" t="s">
        <v>76</v>
      </c>
      <c r="F185" t="s">
        <v>25</v>
      </c>
      <c r="G185" t="s">
        <v>43</v>
      </c>
      <c r="H185">
        <v>1</v>
      </c>
      <c r="I185">
        <v>425</v>
      </c>
      <c r="J185">
        <v>0.15</v>
      </c>
      <c r="K185">
        <v>115.09</v>
      </c>
    </row>
    <row r="186" spans="1:11" x14ac:dyDescent="0.3">
      <c r="A186" t="s">
        <v>498</v>
      </c>
      <c r="B186" s="1">
        <v>46009</v>
      </c>
      <c r="C186" t="s">
        <v>346</v>
      </c>
      <c r="D186" t="s">
        <v>347</v>
      </c>
      <c r="E186" t="s">
        <v>24</v>
      </c>
      <c r="F186" t="s">
        <v>25</v>
      </c>
      <c r="G186" t="s">
        <v>34</v>
      </c>
      <c r="H186">
        <v>6</v>
      </c>
      <c r="I186">
        <v>72000</v>
      </c>
      <c r="J186">
        <v>0</v>
      </c>
      <c r="K186">
        <v>14681.6</v>
      </c>
    </row>
    <row r="187" spans="1:11" x14ac:dyDescent="0.3">
      <c r="A187" t="s">
        <v>499</v>
      </c>
      <c r="B187" s="1">
        <v>45720</v>
      </c>
      <c r="C187" t="s">
        <v>500</v>
      </c>
      <c r="D187" t="s">
        <v>501</v>
      </c>
      <c r="E187" t="s">
        <v>223</v>
      </c>
      <c r="F187" t="s">
        <v>57</v>
      </c>
      <c r="G187" t="s">
        <v>43</v>
      </c>
      <c r="H187">
        <v>5</v>
      </c>
      <c r="I187">
        <v>34300</v>
      </c>
      <c r="J187">
        <v>0.02</v>
      </c>
      <c r="K187">
        <v>8374.73</v>
      </c>
    </row>
    <row r="188" spans="1:11" x14ac:dyDescent="0.3">
      <c r="A188" t="s">
        <v>502</v>
      </c>
      <c r="B188" s="1">
        <v>45828</v>
      </c>
      <c r="C188" t="s">
        <v>244</v>
      </c>
      <c r="D188" t="s">
        <v>245</v>
      </c>
      <c r="E188" t="s">
        <v>51</v>
      </c>
      <c r="F188" t="s">
        <v>15</v>
      </c>
      <c r="G188" t="s">
        <v>16</v>
      </c>
      <c r="H188">
        <v>1</v>
      </c>
      <c r="I188">
        <v>900</v>
      </c>
      <c r="J188">
        <v>0</v>
      </c>
      <c r="K188">
        <v>287.69</v>
      </c>
    </row>
    <row r="189" spans="1:11" x14ac:dyDescent="0.3">
      <c r="A189" t="s">
        <v>503</v>
      </c>
      <c r="B189" s="1">
        <v>45941</v>
      </c>
      <c r="C189" t="s">
        <v>504</v>
      </c>
      <c r="D189" t="s">
        <v>505</v>
      </c>
      <c r="E189" t="s">
        <v>160</v>
      </c>
      <c r="F189" t="s">
        <v>25</v>
      </c>
      <c r="G189" t="s">
        <v>16</v>
      </c>
      <c r="H189">
        <v>4</v>
      </c>
      <c r="I189">
        <v>2800</v>
      </c>
      <c r="J189">
        <v>0</v>
      </c>
      <c r="K189">
        <v>838.77</v>
      </c>
    </row>
    <row r="190" spans="1:11" x14ac:dyDescent="0.3">
      <c r="A190" t="s">
        <v>506</v>
      </c>
      <c r="B190" s="1">
        <v>45733</v>
      </c>
      <c r="C190" t="s">
        <v>107</v>
      </c>
      <c r="D190" t="s">
        <v>108</v>
      </c>
      <c r="E190" t="s">
        <v>24</v>
      </c>
      <c r="F190" t="s">
        <v>25</v>
      </c>
      <c r="G190" t="s">
        <v>26</v>
      </c>
      <c r="H190">
        <v>6</v>
      </c>
      <c r="I190">
        <v>57600</v>
      </c>
      <c r="J190">
        <v>0.2</v>
      </c>
      <c r="K190">
        <v>11942.75</v>
      </c>
    </row>
    <row r="191" spans="1:11" x14ac:dyDescent="0.3">
      <c r="A191" t="s">
        <v>507</v>
      </c>
      <c r="B191" s="1">
        <v>45934</v>
      </c>
      <c r="C191" t="s">
        <v>508</v>
      </c>
      <c r="D191" t="s">
        <v>509</v>
      </c>
      <c r="E191" t="s">
        <v>76</v>
      </c>
      <c r="F191" t="s">
        <v>25</v>
      </c>
      <c r="G191" t="s">
        <v>16</v>
      </c>
      <c r="H191">
        <v>3</v>
      </c>
      <c r="I191">
        <v>1470</v>
      </c>
      <c r="J191">
        <v>0.02</v>
      </c>
      <c r="K191">
        <v>420.8</v>
      </c>
    </row>
    <row r="192" spans="1:11" x14ac:dyDescent="0.3">
      <c r="A192" t="s">
        <v>510</v>
      </c>
      <c r="B192" s="1">
        <v>45841</v>
      </c>
      <c r="C192" t="s">
        <v>511</v>
      </c>
      <c r="D192" t="s">
        <v>512</v>
      </c>
      <c r="E192" t="s">
        <v>210</v>
      </c>
      <c r="F192" t="s">
        <v>15</v>
      </c>
      <c r="G192" t="s">
        <v>16</v>
      </c>
      <c r="H192">
        <v>3</v>
      </c>
      <c r="I192">
        <v>165000</v>
      </c>
      <c r="J192">
        <v>0</v>
      </c>
      <c r="K192">
        <v>28252.73</v>
      </c>
    </row>
    <row r="193" spans="1:11" x14ac:dyDescent="0.3">
      <c r="A193" t="s">
        <v>513</v>
      </c>
      <c r="B193" s="1">
        <v>45793</v>
      </c>
      <c r="C193" t="s">
        <v>495</v>
      </c>
      <c r="D193" t="s">
        <v>496</v>
      </c>
      <c r="E193" t="s">
        <v>64</v>
      </c>
      <c r="F193" t="s">
        <v>57</v>
      </c>
      <c r="G193" t="s">
        <v>43</v>
      </c>
      <c r="H193">
        <v>1</v>
      </c>
      <c r="I193">
        <v>7840</v>
      </c>
      <c r="J193">
        <v>0.02</v>
      </c>
      <c r="K193">
        <v>1626.09</v>
      </c>
    </row>
    <row r="194" spans="1:11" x14ac:dyDescent="0.3">
      <c r="A194" t="s">
        <v>514</v>
      </c>
      <c r="B194" s="1">
        <v>45887</v>
      </c>
      <c r="C194" t="s">
        <v>515</v>
      </c>
      <c r="D194" t="s">
        <v>516</v>
      </c>
      <c r="E194" t="s">
        <v>14</v>
      </c>
      <c r="F194" t="s">
        <v>15</v>
      </c>
      <c r="G194" t="s">
        <v>26</v>
      </c>
      <c r="H194">
        <v>2</v>
      </c>
      <c r="I194">
        <v>33120</v>
      </c>
      <c r="J194">
        <v>0.08</v>
      </c>
      <c r="K194">
        <v>6611.38</v>
      </c>
    </row>
    <row r="195" spans="1:11" x14ac:dyDescent="0.3">
      <c r="A195" t="s">
        <v>517</v>
      </c>
      <c r="B195" s="1">
        <v>45771</v>
      </c>
      <c r="C195" t="s">
        <v>518</v>
      </c>
      <c r="D195" t="s">
        <v>519</v>
      </c>
      <c r="E195" t="s">
        <v>14</v>
      </c>
      <c r="F195" t="s">
        <v>15</v>
      </c>
      <c r="G195" t="s">
        <v>20</v>
      </c>
      <c r="H195">
        <v>8</v>
      </c>
      <c r="I195">
        <v>129600</v>
      </c>
      <c r="J195">
        <v>0.1</v>
      </c>
      <c r="K195">
        <v>26495.46</v>
      </c>
    </row>
    <row r="196" spans="1:11" x14ac:dyDescent="0.3">
      <c r="A196" t="s">
        <v>520</v>
      </c>
      <c r="B196" s="1">
        <v>45987</v>
      </c>
      <c r="C196" t="s">
        <v>521</v>
      </c>
      <c r="D196" t="s">
        <v>522</v>
      </c>
      <c r="E196" t="s">
        <v>87</v>
      </c>
      <c r="F196" t="s">
        <v>15</v>
      </c>
      <c r="G196" t="s">
        <v>20</v>
      </c>
      <c r="H196">
        <v>5</v>
      </c>
      <c r="I196">
        <v>5520</v>
      </c>
      <c r="J196">
        <v>0.08</v>
      </c>
      <c r="K196">
        <v>1704.93</v>
      </c>
    </row>
    <row r="197" spans="1:11" x14ac:dyDescent="0.3">
      <c r="A197" t="s">
        <v>523</v>
      </c>
      <c r="B197" s="1">
        <v>45713</v>
      </c>
      <c r="C197" t="s">
        <v>153</v>
      </c>
      <c r="D197" t="s">
        <v>154</v>
      </c>
      <c r="E197" t="s">
        <v>223</v>
      </c>
      <c r="F197" t="s">
        <v>57</v>
      </c>
      <c r="G197" t="s">
        <v>43</v>
      </c>
      <c r="H197">
        <v>7</v>
      </c>
      <c r="I197">
        <v>41650</v>
      </c>
      <c r="J197">
        <v>0.15</v>
      </c>
      <c r="K197">
        <v>9082.56</v>
      </c>
    </row>
    <row r="198" spans="1:11" x14ac:dyDescent="0.3">
      <c r="A198" t="s">
        <v>524</v>
      </c>
      <c r="B198" s="1">
        <v>45733</v>
      </c>
      <c r="C198" t="s">
        <v>169</v>
      </c>
      <c r="D198" t="s">
        <v>170</v>
      </c>
      <c r="E198" t="s">
        <v>38</v>
      </c>
      <c r="F198" t="s">
        <v>15</v>
      </c>
      <c r="G198" t="s">
        <v>34</v>
      </c>
      <c r="H198">
        <v>6</v>
      </c>
      <c r="I198">
        <v>151200</v>
      </c>
      <c r="J198">
        <v>0.1</v>
      </c>
      <c r="K198">
        <v>21748.75</v>
      </c>
    </row>
    <row r="199" spans="1:11" x14ac:dyDescent="0.3">
      <c r="A199" t="s">
        <v>525</v>
      </c>
      <c r="B199" s="1">
        <v>45963</v>
      </c>
      <c r="C199" t="s">
        <v>228</v>
      </c>
      <c r="D199" t="s">
        <v>229</v>
      </c>
      <c r="E199" t="s">
        <v>160</v>
      </c>
      <c r="F199" t="s">
        <v>25</v>
      </c>
      <c r="G199" t="s">
        <v>43</v>
      </c>
      <c r="H199">
        <v>6</v>
      </c>
      <c r="I199">
        <v>3864</v>
      </c>
      <c r="J199">
        <v>0.08</v>
      </c>
      <c r="K199">
        <v>1194.45</v>
      </c>
    </row>
    <row r="200" spans="1:11" x14ac:dyDescent="0.3">
      <c r="A200" t="s">
        <v>526</v>
      </c>
      <c r="B200" s="1">
        <v>46017</v>
      </c>
      <c r="C200" t="s">
        <v>95</v>
      </c>
      <c r="D200" t="s">
        <v>96</v>
      </c>
      <c r="E200" t="s">
        <v>158</v>
      </c>
      <c r="F200" t="s">
        <v>25</v>
      </c>
      <c r="G200" t="s">
        <v>26</v>
      </c>
      <c r="H200">
        <v>7</v>
      </c>
      <c r="I200">
        <v>5600</v>
      </c>
      <c r="J200">
        <v>0</v>
      </c>
      <c r="K200">
        <v>1642.04</v>
      </c>
    </row>
    <row r="201" spans="1:11" x14ac:dyDescent="0.3">
      <c r="A201" t="s">
        <v>527</v>
      </c>
      <c r="B201" s="1">
        <v>45774</v>
      </c>
      <c r="C201" t="s">
        <v>528</v>
      </c>
      <c r="D201" t="s">
        <v>529</v>
      </c>
      <c r="E201" t="s">
        <v>51</v>
      </c>
      <c r="F201" t="s">
        <v>15</v>
      </c>
      <c r="G201" t="s">
        <v>43</v>
      </c>
      <c r="H201">
        <v>7</v>
      </c>
      <c r="I201">
        <v>5796</v>
      </c>
      <c r="J201">
        <v>0.08</v>
      </c>
      <c r="K201">
        <v>1861.04</v>
      </c>
    </row>
    <row r="202" spans="1:11" x14ac:dyDescent="0.3">
      <c r="A202" t="s">
        <v>530</v>
      </c>
      <c r="B202" s="1">
        <v>45876</v>
      </c>
      <c r="C202" t="s">
        <v>356</v>
      </c>
      <c r="D202" t="s">
        <v>357</v>
      </c>
      <c r="E202" t="s">
        <v>200</v>
      </c>
      <c r="F202" t="s">
        <v>57</v>
      </c>
      <c r="G202" t="s">
        <v>34</v>
      </c>
      <c r="H202">
        <v>2</v>
      </c>
      <c r="I202">
        <v>3420</v>
      </c>
      <c r="J202">
        <v>0.05</v>
      </c>
      <c r="K202">
        <v>907.5</v>
      </c>
    </row>
    <row r="203" spans="1:11" x14ac:dyDescent="0.3">
      <c r="A203" t="s">
        <v>531</v>
      </c>
      <c r="B203" s="1">
        <v>45704</v>
      </c>
      <c r="C203" t="s">
        <v>532</v>
      </c>
      <c r="D203" t="s">
        <v>533</v>
      </c>
      <c r="E203" t="s">
        <v>180</v>
      </c>
      <c r="F203" t="s">
        <v>15</v>
      </c>
      <c r="G203" t="s">
        <v>20</v>
      </c>
      <c r="H203">
        <v>8</v>
      </c>
      <c r="I203">
        <v>24000</v>
      </c>
      <c r="J203">
        <v>0</v>
      </c>
      <c r="K203">
        <v>8424.67</v>
      </c>
    </row>
    <row r="204" spans="1:11" x14ac:dyDescent="0.3">
      <c r="A204" t="s">
        <v>534</v>
      </c>
      <c r="B204" s="1">
        <v>45724</v>
      </c>
      <c r="C204" t="s">
        <v>535</v>
      </c>
      <c r="D204" t="s">
        <v>536</v>
      </c>
      <c r="E204" t="s">
        <v>14</v>
      </c>
      <c r="F204" t="s">
        <v>15</v>
      </c>
      <c r="G204" t="s">
        <v>26</v>
      </c>
      <c r="H204">
        <v>6</v>
      </c>
      <c r="I204">
        <v>86400</v>
      </c>
      <c r="J204">
        <v>0.2</v>
      </c>
      <c r="K204">
        <v>15939.41</v>
      </c>
    </row>
    <row r="205" spans="1:11" x14ac:dyDescent="0.3">
      <c r="A205" t="s">
        <v>537</v>
      </c>
      <c r="B205" s="1">
        <v>45720</v>
      </c>
      <c r="C205" t="s">
        <v>436</v>
      </c>
      <c r="D205" t="s">
        <v>437</v>
      </c>
      <c r="E205" t="s">
        <v>47</v>
      </c>
      <c r="F205" t="s">
        <v>15</v>
      </c>
      <c r="G205" t="s">
        <v>43</v>
      </c>
      <c r="H205">
        <v>6</v>
      </c>
      <c r="I205">
        <v>33150</v>
      </c>
      <c r="J205">
        <v>0.15</v>
      </c>
      <c r="K205">
        <v>6226.19</v>
      </c>
    </row>
    <row r="206" spans="1:11" x14ac:dyDescent="0.3">
      <c r="A206" t="s">
        <v>538</v>
      </c>
      <c r="B206" s="1">
        <v>45817</v>
      </c>
      <c r="C206" t="s">
        <v>539</v>
      </c>
      <c r="D206" t="s">
        <v>540</v>
      </c>
      <c r="E206" t="s">
        <v>42</v>
      </c>
      <c r="F206" t="s">
        <v>15</v>
      </c>
      <c r="G206" t="s">
        <v>26</v>
      </c>
      <c r="H206">
        <v>5</v>
      </c>
      <c r="I206">
        <v>108000</v>
      </c>
      <c r="J206">
        <v>0.1</v>
      </c>
      <c r="K206">
        <v>21281.58</v>
      </c>
    </row>
    <row r="207" spans="1:11" x14ac:dyDescent="0.3">
      <c r="A207" t="s">
        <v>541</v>
      </c>
      <c r="B207" s="1">
        <v>45904</v>
      </c>
      <c r="C207" t="s">
        <v>95</v>
      </c>
      <c r="D207" t="s">
        <v>96</v>
      </c>
      <c r="E207" t="s">
        <v>51</v>
      </c>
      <c r="F207" t="s">
        <v>15</v>
      </c>
      <c r="G207" t="s">
        <v>20</v>
      </c>
      <c r="H207">
        <v>3</v>
      </c>
      <c r="I207">
        <v>2295</v>
      </c>
      <c r="J207">
        <v>0.15</v>
      </c>
      <c r="K207">
        <v>691.54</v>
      </c>
    </row>
    <row r="208" spans="1:11" x14ac:dyDescent="0.3">
      <c r="A208" t="s">
        <v>542</v>
      </c>
      <c r="B208" s="1">
        <v>45800</v>
      </c>
      <c r="C208" t="s">
        <v>388</v>
      </c>
      <c r="D208" t="s">
        <v>389</v>
      </c>
      <c r="E208" t="s">
        <v>47</v>
      </c>
      <c r="F208" t="s">
        <v>15</v>
      </c>
      <c r="G208" t="s">
        <v>43</v>
      </c>
      <c r="H208">
        <v>6</v>
      </c>
      <c r="I208">
        <v>39000</v>
      </c>
      <c r="J208">
        <v>0</v>
      </c>
      <c r="K208">
        <v>7892.48</v>
      </c>
    </row>
    <row r="209" spans="1:11" x14ac:dyDescent="0.3">
      <c r="A209" t="s">
        <v>543</v>
      </c>
      <c r="B209" s="1">
        <v>45994</v>
      </c>
      <c r="C209" t="s">
        <v>459</v>
      </c>
      <c r="D209" t="s">
        <v>460</v>
      </c>
      <c r="E209" t="s">
        <v>47</v>
      </c>
      <c r="F209" t="s">
        <v>15</v>
      </c>
      <c r="G209" t="s">
        <v>34</v>
      </c>
      <c r="H209">
        <v>1</v>
      </c>
      <c r="I209">
        <v>5850</v>
      </c>
      <c r="J209">
        <v>0.1</v>
      </c>
      <c r="K209">
        <v>1206.03</v>
      </c>
    </row>
    <row r="210" spans="1:11" x14ac:dyDescent="0.3">
      <c r="A210" t="s">
        <v>544</v>
      </c>
      <c r="B210" s="1">
        <v>45816</v>
      </c>
      <c r="C210" t="s">
        <v>545</v>
      </c>
      <c r="D210" t="s">
        <v>546</v>
      </c>
      <c r="E210" t="s">
        <v>33</v>
      </c>
      <c r="F210" t="s">
        <v>15</v>
      </c>
      <c r="G210" t="s">
        <v>34</v>
      </c>
      <c r="H210">
        <v>5</v>
      </c>
      <c r="I210">
        <v>7650</v>
      </c>
      <c r="J210">
        <v>0.15</v>
      </c>
      <c r="K210">
        <v>2639.84</v>
      </c>
    </row>
    <row r="211" spans="1:11" x14ac:dyDescent="0.3">
      <c r="A211" t="s">
        <v>547</v>
      </c>
      <c r="B211" s="1">
        <v>45994</v>
      </c>
      <c r="C211" t="s">
        <v>548</v>
      </c>
      <c r="D211" t="s">
        <v>549</v>
      </c>
      <c r="E211" t="s">
        <v>33</v>
      </c>
      <c r="F211" t="s">
        <v>15</v>
      </c>
      <c r="G211" t="s">
        <v>16</v>
      </c>
      <c r="H211">
        <v>3</v>
      </c>
      <c r="I211">
        <v>4860</v>
      </c>
      <c r="J211">
        <v>0.1</v>
      </c>
      <c r="K211">
        <v>1546.43</v>
      </c>
    </row>
    <row r="212" spans="1:11" x14ac:dyDescent="0.3">
      <c r="A212" t="s">
        <v>550</v>
      </c>
      <c r="B212" s="1">
        <v>45929</v>
      </c>
      <c r="C212" t="s">
        <v>551</v>
      </c>
      <c r="D212" t="s">
        <v>552</v>
      </c>
      <c r="E212" t="s">
        <v>210</v>
      </c>
      <c r="F212" t="s">
        <v>15</v>
      </c>
      <c r="G212" t="s">
        <v>43</v>
      </c>
      <c r="H212">
        <v>2</v>
      </c>
      <c r="I212">
        <v>93500</v>
      </c>
      <c r="J212">
        <v>0.15</v>
      </c>
      <c r="K212">
        <v>13804.58</v>
      </c>
    </row>
    <row r="213" spans="1:11" x14ac:dyDescent="0.3">
      <c r="A213" t="s">
        <v>553</v>
      </c>
      <c r="B213" s="1">
        <v>45817</v>
      </c>
      <c r="C213" t="s">
        <v>554</v>
      </c>
      <c r="D213" t="s">
        <v>555</v>
      </c>
      <c r="E213" t="s">
        <v>64</v>
      </c>
      <c r="F213" t="s">
        <v>57</v>
      </c>
      <c r="G213" t="s">
        <v>26</v>
      </c>
      <c r="H213">
        <v>3</v>
      </c>
      <c r="I213">
        <v>22800</v>
      </c>
      <c r="J213">
        <v>0.05</v>
      </c>
      <c r="K213">
        <v>5253.96</v>
      </c>
    </row>
    <row r="214" spans="1:11" x14ac:dyDescent="0.3">
      <c r="A214" t="s">
        <v>556</v>
      </c>
      <c r="B214" s="1">
        <v>45738</v>
      </c>
      <c r="C214" t="s">
        <v>378</v>
      </c>
      <c r="D214" t="s">
        <v>379</v>
      </c>
      <c r="E214" t="s">
        <v>38</v>
      </c>
      <c r="F214" t="s">
        <v>15</v>
      </c>
      <c r="G214" t="s">
        <v>20</v>
      </c>
      <c r="H214">
        <v>1</v>
      </c>
      <c r="I214">
        <v>27440</v>
      </c>
      <c r="J214">
        <v>0.02</v>
      </c>
      <c r="K214">
        <v>4570.6899999999996</v>
      </c>
    </row>
    <row r="215" spans="1:11" x14ac:dyDescent="0.3">
      <c r="A215" t="s">
        <v>557</v>
      </c>
      <c r="B215" s="1">
        <v>45996</v>
      </c>
      <c r="C215" t="s">
        <v>133</v>
      </c>
      <c r="D215" t="s">
        <v>134</v>
      </c>
      <c r="E215" t="s">
        <v>38</v>
      </c>
      <c r="F215" t="s">
        <v>15</v>
      </c>
      <c r="G215" t="s">
        <v>26</v>
      </c>
      <c r="H215">
        <v>5</v>
      </c>
      <c r="I215">
        <v>128800</v>
      </c>
      <c r="J215">
        <v>0.08</v>
      </c>
      <c r="K215">
        <v>19976.45</v>
      </c>
    </row>
    <row r="216" spans="1:11" x14ac:dyDescent="0.3">
      <c r="A216" t="s">
        <v>558</v>
      </c>
      <c r="B216" s="1">
        <v>45920</v>
      </c>
      <c r="C216" t="s">
        <v>559</v>
      </c>
      <c r="D216" t="s">
        <v>560</v>
      </c>
      <c r="E216" t="s">
        <v>200</v>
      </c>
      <c r="F216" t="s">
        <v>57</v>
      </c>
      <c r="G216" t="s">
        <v>43</v>
      </c>
      <c r="H216">
        <v>5</v>
      </c>
      <c r="I216">
        <v>8820</v>
      </c>
      <c r="J216">
        <v>0.02</v>
      </c>
      <c r="K216">
        <v>2283.0300000000002</v>
      </c>
    </row>
    <row r="217" spans="1:11" x14ac:dyDescent="0.3">
      <c r="A217" t="s">
        <v>561</v>
      </c>
      <c r="B217" s="1">
        <v>45999</v>
      </c>
      <c r="C217" t="s">
        <v>511</v>
      </c>
      <c r="D217" t="s">
        <v>512</v>
      </c>
      <c r="E217" t="s">
        <v>115</v>
      </c>
      <c r="F217" t="s">
        <v>25</v>
      </c>
      <c r="G217" t="s">
        <v>16</v>
      </c>
      <c r="H217">
        <v>8</v>
      </c>
      <c r="I217">
        <v>2160</v>
      </c>
      <c r="J217">
        <v>0.1</v>
      </c>
      <c r="K217">
        <v>675.48</v>
      </c>
    </row>
    <row r="218" spans="1:11" x14ac:dyDescent="0.3">
      <c r="A218" t="s">
        <v>562</v>
      </c>
      <c r="B218" s="1">
        <v>45762</v>
      </c>
      <c r="C218" t="s">
        <v>69</v>
      </c>
      <c r="D218" t="s">
        <v>70</v>
      </c>
      <c r="E218" t="s">
        <v>158</v>
      </c>
      <c r="F218" t="s">
        <v>25</v>
      </c>
      <c r="G218" t="s">
        <v>16</v>
      </c>
      <c r="H218">
        <v>1</v>
      </c>
      <c r="I218">
        <v>800</v>
      </c>
      <c r="J218">
        <v>0</v>
      </c>
      <c r="K218">
        <v>242.06</v>
      </c>
    </row>
    <row r="219" spans="1:11" x14ac:dyDescent="0.3">
      <c r="A219" t="s">
        <v>563</v>
      </c>
      <c r="B219" s="1">
        <v>45825</v>
      </c>
      <c r="C219" t="s">
        <v>305</v>
      </c>
      <c r="D219" t="s">
        <v>306</v>
      </c>
      <c r="E219" t="s">
        <v>180</v>
      </c>
      <c r="F219" t="s">
        <v>15</v>
      </c>
      <c r="G219" t="s">
        <v>43</v>
      </c>
      <c r="H219">
        <v>5</v>
      </c>
      <c r="I219">
        <v>14250</v>
      </c>
      <c r="J219">
        <v>0.05</v>
      </c>
      <c r="K219">
        <v>4383.49</v>
      </c>
    </row>
    <row r="220" spans="1:11" x14ac:dyDescent="0.3">
      <c r="A220" t="s">
        <v>564</v>
      </c>
      <c r="B220" s="1">
        <v>45852</v>
      </c>
      <c r="C220" t="s">
        <v>565</v>
      </c>
      <c r="D220" t="s">
        <v>566</v>
      </c>
      <c r="E220" t="s">
        <v>200</v>
      </c>
      <c r="F220" t="s">
        <v>57</v>
      </c>
      <c r="G220" t="s">
        <v>16</v>
      </c>
      <c r="H220">
        <v>3</v>
      </c>
      <c r="I220">
        <v>5292</v>
      </c>
      <c r="J220">
        <v>0.02</v>
      </c>
      <c r="K220">
        <v>1470.32</v>
      </c>
    </row>
    <row r="221" spans="1:11" x14ac:dyDescent="0.3">
      <c r="A221" t="s">
        <v>567</v>
      </c>
      <c r="B221" s="1">
        <v>45861</v>
      </c>
      <c r="C221" t="s">
        <v>568</v>
      </c>
      <c r="D221" t="s">
        <v>569</v>
      </c>
      <c r="E221" t="s">
        <v>47</v>
      </c>
      <c r="F221" t="s">
        <v>15</v>
      </c>
      <c r="G221" t="s">
        <v>20</v>
      </c>
      <c r="H221">
        <v>6</v>
      </c>
      <c r="I221">
        <v>39000</v>
      </c>
      <c r="J221">
        <v>0</v>
      </c>
      <c r="K221">
        <v>8251.48</v>
      </c>
    </row>
    <row r="222" spans="1:11" x14ac:dyDescent="0.3">
      <c r="A222" t="s">
        <v>570</v>
      </c>
      <c r="B222" s="1">
        <v>45818</v>
      </c>
      <c r="C222" t="s">
        <v>92</v>
      </c>
      <c r="D222" t="s">
        <v>93</v>
      </c>
      <c r="E222" t="s">
        <v>210</v>
      </c>
      <c r="F222" t="s">
        <v>15</v>
      </c>
      <c r="G222" t="s">
        <v>26</v>
      </c>
      <c r="H222">
        <v>8</v>
      </c>
      <c r="I222">
        <v>440000</v>
      </c>
      <c r="J222">
        <v>0</v>
      </c>
      <c r="K222">
        <v>72872.75</v>
      </c>
    </row>
    <row r="223" spans="1:11" x14ac:dyDescent="0.3">
      <c r="A223" t="s">
        <v>571</v>
      </c>
      <c r="B223" s="1">
        <v>45865</v>
      </c>
      <c r="C223" t="s">
        <v>572</v>
      </c>
      <c r="D223" t="s">
        <v>573</v>
      </c>
      <c r="E223" t="s">
        <v>200</v>
      </c>
      <c r="F223" t="s">
        <v>57</v>
      </c>
      <c r="G223" t="s">
        <v>34</v>
      </c>
      <c r="H223">
        <v>5</v>
      </c>
      <c r="I223">
        <v>9000</v>
      </c>
      <c r="J223">
        <v>0</v>
      </c>
      <c r="K223">
        <v>2308.34</v>
      </c>
    </row>
    <row r="224" spans="1:11" x14ac:dyDescent="0.3">
      <c r="A224" t="s">
        <v>574</v>
      </c>
      <c r="B224" s="1">
        <v>46011</v>
      </c>
      <c r="C224" t="s">
        <v>575</v>
      </c>
      <c r="D224" t="s">
        <v>576</v>
      </c>
      <c r="E224" t="s">
        <v>158</v>
      </c>
      <c r="F224" t="s">
        <v>25</v>
      </c>
      <c r="G224" t="s">
        <v>20</v>
      </c>
      <c r="H224">
        <v>8</v>
      </c>
      <c r="I224">
        <v>5120</v>
      </c>
      <c r="J224">
        <v>0.2</v>
      </c>
      <c r="K224">
        <v>1634.33</v>
      </c>
    </row>
    <row r="225" spans="1:11" x14ac:dyDescent="0.3">
      <c r="A225" t="s">
        <v>577</v>
      </c>
      <c r="B225" s="1">
        <v>45959</v>
      </c>
      <c r="C225" t="s">
        <v>92</v>
      </c>
      <c r="D225" t="s">
        <v>93</v>
      </c>
      <c r="E225" t="s">
        <v>14</v>
      </c>
      <c r="F225" t="s">
        <v>15</v>
      </c>
      <c r="G225" t="s">
        <v>20</v>
      </c>
      <c r="H225">
        <v>4</v>
      </c>
      <c r="I225">
        <v>66240</v>
      </c>
      <c r="J225">
        <v>0.08</v>
      </c>
      <c r="K225">
        <v>12377.01</v>
      </c>
    </row>
    <row r="226" spans="1:11" x14ac:dyDescent="0.3">
      <c r="A226" t="s">
        <v>578</v>
      </c>
      <c r="B226" s="1">
        <v>45828</v>
      </c>
      <c r="C226" t="s">
        <v>69</v>
      </c>
      <c r="D226" t="s">
        <v>70</v>
      </c>
      <c r="E226" t="s">
        <v>115</v>
      </c>
      <c r="F226" t="s">
        <v>25</v>
      </c>
      <c r="G226" t="s">
        <v>20</v>
      </c>
      <c r="H226">
        <v>6</v>
      </c>
      <c r="I226">
        <v>1764</v>
      </c>
      <c r="J226">
        <v>0.02</v>
      </c>
      <c r="K226">
        <v>611.79999999999995</v>
      </c>
    </row>
    <row r="227" spans="1:11" x14ac:dyDescent="0.3">
      <c r="A227" t="s">
        <v>579</v>
      </c>
      <c r="B227" s="1">
        <v>45836</v>
      </c>
      <c r="C227" t="s">
        <v>78</v>
      </c>
      <c r="D227" t="s">
        <v>79</v>
      </c>
      <c r="E227" t="s">
        <v>14</v>
      </c>
      <c r="F227" t="s">
        <v>15</v>
      </c>
      <c r="G227" t="s">
        <v>16</v>
      </c>
      <c r="H227">
        <v>4</v>
      </c>
      <c r="I227">
        <v>57600</v>
      </c>
      <c r="J227">
        <v>0.2</v>
      </c>
      <c r="K227">
        <v>10166.459999999999</v>
      </c>
    </row>
    <row r="228" spans="1:11" x14ac:dyDescent="0.3">
      <c r="A228" t="s">
        <v>580</v>
      </c>
      <c r="B228" s="1">
        <v>45759</v>
      </c>
      <c r="C228" t="s">
        <v>439</v>
      </c>
      <c r="D228" t="s">
        <v>440</v>
      </c>
      <c r="E228" t="s">
        <v>14</v>
      </c>
      <c r="F228" t="s">
        <v>15</v>
      </c>
      <c r="G228" t="s">
        <v>16</v>
      </c>
      <c r="H228">
        <v>3</v>
      </c>
      <c r="I228">
        <v>51300</v>
      </c>
      <c r="J228">
        <v>0.05</v>
      </c>
      <c r="K228">
        <v>9295.23</v>
      </c>
    </row>
    <row r="229" spans="1:11" x14ac:dyDescent="0.3">
      <c r="A229" t="s">
        <v>581</v>
      </c>
      <c r="B229" s="1">
        <v>45979</v>
      </c>
      <c r="C229" t="s">
        <v>31</v>
      </c>
      <c r="D229" t="s">
        <v>32</v>
      </c>
      <c r="E229" t="s">
        <v>38</v>
      </c>
      <c r="F229" t="s">
        <v>15</v>
      </c>
      <c r="G229" t="s">
        <v>26</v>
      </c>
      <c r="H229">
        <v>3</v>
      </c>
      <c r="I229">
        <v>67200</v>
      </c>
      <c r="J229">
        <v>0.2</v>
      </c>
      <c r="K229">
        <v>10112.290000000001</v>
      </c>
    </row>
    <row r="230" spans="1:11" x14ac:dyDescent="0.3">
      <c r="A230" t="s">
        <v>582</v>
      </c>
      <c r="B230" s="1">
        <v>45947</v>
      </c>
      <c r="C230" t="s">
        <v>31</v>
      </c>
      <c r="D230" t="s">
        <v>32</v>
      </c>
      <c r="E230" t="s">
        <v>160</v>
      </c>
      <c r="F230" t="s">
        <v>25</v>
      </c>
      <c r="G230" t="s">
        <v>26</v>
      </c>
      <c r="H230">
        <v>8</v>
      </c>
      <c r="I230">
        <v>4760</v>
      </c>
      <c r="J230">
        <v>0.15</v>
      </c>
      <c r="K230">
        <v>1470.27</v>
      </c>
    </row>
    <row r="231" spans="1:11" x14ac:dyDescent="0.3">
      <c r="A231" t="s">
        <v>583</v>
      </c>
      <c r="B231" s="1">
        <v>45692</v>
      </c>
      <c r="C231" t="s">
        <v>101</v>
      </c>
      <c r="D231" t="s">
        <v>102</v>
      </c>
      <c r="E231" t="s">
        <v>64</v>
      </c>
      <c r="F231" t="s">
        <v>57</v>
      </c>
      <c r="G231" t="s">
        <v>34</v>
      </c>
      <c r="H231">
        <v>3</v>
      </c>
      <c r="I231">
        <v>22080</v>
      </c>
      <c r="J231">
        <v>0.08</v>
      </c>
      <c r="K231">
        <v>4833.1499999999996</v>
      </c>
    </row>
    <row r="232" spans="1:11" x14ac:dyDescent="0.3">
      <c r="A232" t="s">
        <v>584</v>
      </c>
      <c r="B232" s="1">
        <v>45917</v>
      </c>
      <c r="C232" t="s">
        <v>585</v>
      </c>
      <c r="D232" t="s">
        <v>586</v>
      </c>
      <c r="E232" t="s">
        <v>76</v>
      </c>
      <c r="F232" t="s">
        <v>25</v>
      </c>
      <c r="G232" t="s">
        <v>43</v>
      </c>
      <c r="H232">
        <v>1</v>
      </c>
      <c r="I232">
        <v>475</v>
      </c>
      <c r="J232">
        <v>0.05</v>
      </c>
      <c r="K232">
        <v>130.41</v>
      </c>
    </row>
    <row r="233" spans="1:11" x14ac:dyDescent="0.3">
      <c r="A233" t="s">
        <v>587</v>
      </c>
      <c r="B233" s="1">
        <v>45804</v>
      </c>
      <c r="C233" t="s">
        <v>117</v>
      </c>
      <c r="D233" t="s">
        <v>118</v>
      </c>
      <c r="E233" t="s">
        <v>42</v>
      </c>
      <c r="F233" t="s">
        <v>15</v>
      </c>
      <c r="G233" t="s">
        <v>20</v>
      </c>
      <c r="H233">
        <v>1</v>
      </c>
      <c r="I233">
        <v>22800</v>
      </c>
      <c r="J233">
        <v>0.05</v>
      </c>
      <c r="K233">
        <v>4348.88</v>
      </c>
    </row>
    <row r="234" spans="1:11" x14ac:dyDescent="0.3">
      <c r="A234" t="s">
        <v>588</v>
      </c>
      <c r="B234" s="1">
        <v>45955</v>
      </c>
      <c r="C234" t="s">
        <v>320</v>
      </c>
      <c r="D234" t="s">
        <v>321</v>
      </c>
      <c r="E234" t="s">
        <v>158</v>
      </c>
      <c r="F234" t="s">
        <v>25</v>
      </c>
      <c r="G234" t="s">
        <v>20</v>
      </c>
      <c r="H234">
        <v>7</v>
      </c>
      <c r="I234">
        <v>5152</v>
      </c>
      <c r="J234">
        <v>0.08</v>
      </c>
      <c r="K234">
        <v>1590.21</v>
      </c>
    </row>
    <row r="235" spans="1:11" x14ac:dyDescent="0.3">
      <c r="A235" t="s">
        <v>589</v>
      </c>
      <c r="B235" s="1">
        <v>45967</v>
      </c>
      <c r="C235" t="s">
        <v>117</v>
      </c>
      <c r="D235" t="s">
        <v>118</v>
      </c>
      <c r="E235" t="s">
        <v>160</v>
      </c>
      <c r="F235" t="s">
        <v>25</v>
      </c>
      <c r="G235" t="s">
        <v>16</v>
      </c>
      <c r="H235">
        <v>4</v>
      </c>
      <c r="I235">
        <v>2660</v>
      </c>
      <c r="J235">
        <v>0.05</v>
      </c>
      <c r="K235">
        <v>821.57</v>
      </c>
    </row>
    <row r="236" spans="1:11" x14ac:dyDescent="0.3">
      <c r="A236" t="s">
        <v>590</v>
      </c>
      <c r="B236" s="1">
        <v>45833</v>
      </c>
      <c r="C236" t="s">
        <v>366</v>
      </c>
      <c r="D236" t="s">
        <v>367</v>
      </c>
      <c r="E236" t="s">
        <v>42</v>
      </c>
      <c r="F236" t="s">
        <v>15</v>
      </c>
      <c r="G236" t="s">
        <v>20</v>
      </c>
      <c r="H236">
        <v>8</v>
      </c>
      <c r="I236">
        <v>192000</v>
      </c>
      <c r="J236">
        <v>0</v>
      </c>
      <c r="K236">
        <v>43087.27</v>
      </c>
    </row>
    <row r="237" spans="1:11" x14ac:dyDescent="0.3">
      <c r="A237" t="s">
        <v>591</v>
      </c>
      <c r="B237" s="1">
        <v>46020</v>
      </c>
      <c r="C237" t="s">
        <v>95</v>
      </c>
      <c r="D237" t="s">
        <v>96</v>
      </c>
      <c r="E237" t="s">
        <v>33</v>
      </c>
      <c r="F237" t="s">
        <v>15</v>
      </c>
      <c r="G237" t="s">
        <v>43</v>
      </c>
      <c r="H237">
        <v>1</v>
      </c>
      <c r="I237">
        <v>1764</v>
      </c>
      <c r="J237">
        <v>0.02</v>
      </c>
      <c r="K237">
        <v>579.02</v>
      </c>
    </row>
    <row r="238" spans="1:11" x14ac:dyDescent="0.3">
      <c r="A238" t="s">
        <v>592</v>
      </c>
      <c r="B238" s="1">
        <v>45848</v>
      </c>
      <c r="C238" t="s">
        <v>515</v>
      </c>
      <c r="D238" t="s">
        <v>516</v>
      </c>
      <c r="E238" t="s">
        <v>87</v>
      </c>
      <c r="F238" t="s">
        <v>15</v>
      </c>
      <c r="G238" t="s">
        <v>43</v>
      </c>
      <c r="H238">
        <v>3</v>
      </c>
      <c r="I238">
        <v>3420</v>
      </c>
      <c r="J238">
        <v>0.05</v>
      </c>
      <c r="K238">
        <v>1054.5899999999999</v>
      </c>
    </row>
    <row r="239" spans="1:11" x14ac:dyDescent="0.3">
      <c r="A239" t="s">
        <v>593</v>
      </c>
      <c r="B239" s="1">
        <v>45981</v>
      </c>
      <c r="C239" t="s">
        <v>430</v>
      </c>
      <c r="D239" t="s">
        <v>431</v>
      </c>
      <c r="E239" t="s">
        <v>64</v>
      </c>
      <c r="F239" t="s">
        <v>57</v>
      </c>
      <c r="G239" t="s">
        <v>20</v>
      </c>
      <c r="H239">
        <v>1</v>
      </c>
      <c r="I239">
        <v>6400</v>
      </c>
      <c r="J239">
        <v>0.2</v>
      </c>
      <c r="K239">
        <v>1392.42</v>
      </c>
    </row>
    <row r="240" spans="1:11" x14ac:dyDescent="0.3">
      <c r="A240" t="s">
        <v>594</v>
      </c>
      <c r="B240" s="1">
        <v>45787</v>
      </c>
      <c r="C240" t="s">
        <v>215</v>
      </c>
      <c r="D240" t="s">
        <v>216</v>
      </c>
      <c r="E240" t="s">
        <v>14</v>
      </c>
      <c r="F240" t="s">
        <v>15</v>
      </c>
      <c r="G240" t="s">
        <v>26</v>
      </c>
      <c r="H240">
        <v>7</v>
      </c>
      <c r="I240">
        <v>119700</v>
      </c>
      <c r="J240">
        <v>0.05</v>
      </c>
      <c r="K240">
        <v>23845.79</v>
      </c>
    </row>
    <row r="241" spans="1:11" x14ac:dyDescent="0.3">
      <c r="A241" t="s">
        <v>595</v>
      </c>
      <c r="B241" s="1">
        <v>45956</v>
      </c>
      <c r="C241" t="s">
        <v>427</v>
      </c>
      <c r="D241" t="s">
        <v>428</v>
      </c>
      <c r="E241" t="s">
        <v>180</v>
      </c>
      <c r="F241" t="s">
        <v>15</v>
      </c>
      <c r="G241" t="s">
        <v>34</v>
      </c>
      <c r="H241">
        <v>6</v>
      </c>
      <c r="I241">
        <v>18000</v>
      </c>
      <c r="J241">
        <v>0</v>
      </c>
      <c r="K241">
        <v>6157.07</v>
      </c>
    </row>
    <row r="242" spans="1:11" x14ac:dyDescent="0.3">
      <c r="A242" t="s">
        <v>596</v>
      </c>
      <c r="B242" s="1">
        <v>46020</v>
      </c>
      <c r="C242" t="s">
        <v>597</v>
      </c>
      <c r="D242" t="s">
        <v>598</v>
      </c>
      <c r="E242" t="s">
        <v>223</v>
      </c>
      <c r="F242" t="s">
        <v>57</v>
      </c>
      <c r="G242" t="s">
        <v>34</v>
      </c>
      <c r="H242">
        <v>3</v>
      </c>
      <c r="I242">
        <v>18900</v>
      </c>
      <c r="J242">
        <v>0.1</v>
      </c>
      <c r="K242">
        <v>4536.3900000000003</v>
      </c>
    </row>
    <row r="243" spans="1:11" x14ac:dyDescent="0.3">
      <c r="A243" t="s">
        <v>599</v>
      </c>
      <c r="B243" s="1">
        <v>45723</v>
      </c>
      <c r="C243" t="s">
        <v>600</v>
      </c>
      <c r="D243" t="s">
        <v>601</v>
      </c>
      <c r="E243" t="s">
        <v>223</v>
      </c>
      <c r="F243" t="s">
        <v>57</v>
      </c>
      <c r="G243" t="s">
        <v>26</v>
      </c>
      <c r="H243">
        <v>6</v>
      </c>
      <c r="I243">
        <v>33600</v>
      </c>
      <c r="J243">
        <v>0.2</v>
      </c>
      <c r="K243">
        <v>7461.3</v>
      </c>
    </row>
    <row r="244" spans="1:11" x14ac:dyDescent="0.3">
      <c r="A244" t="s">
        <v>602</v>
      </c>
      <c r="B244" s="1">
        <v>45843</v>
      </c>
      <c r="C244" t="s">
        <v>244</v>
      </c>
      <c r="D244" t="s">
        <v>245</v>
      </c>
      <c r="E244" t="s">
        <v>200</v>
      </c>
      <c r="F244" t="s">
        <v>57</v>
      </c>
      <c r="G244" t="s">
        <v>16</v>
      </c>
      <c r="H244">
        <v>6</v>
      </c>
      <c r="I244">
        <v>10800</v>
      </c>
      <c r="J244">
        <v>0</v>
      </c>
      <c r="K244">
        <v>2908.26</v>
      </c>
    </row>
    <row r="245" spans="1:11" x14ac:dyDescent="0.3">
      <c r="A245" t="s">
        <v>603</v>
      </c>
      <c r="B245" s="1">
        <v>45728</v>
      </c>
      <c r="C245" t="s">
        <v>411</v>
      </c>
      <c r="D245" t="s">
        <v>412</v>
      </c>
      <c r="E245" t="s">
        <v>80</v>
      </c>
      <c r="F245" t="s">
        <v>15</v>
      </c>
      <c r="G245" t="s">
        <v>34</v>
      </c>
      <c r="H245">
        <v>4</v>
      </c>
      <c r="I245">
        <v>13720</v>
      </c>
      <c r="J245">
        <v>0.02</v>
      </c>
      <c r="K245">
        <v>3311.25</v>
      </c>
    </row>
    <row r="246" spans="1:11" x14ac:dyDescent="0.3">
      <c r="A246" t="s">
        <v>604</v>
      </c>
      <c r="B246" s="1">
        <v>45830</v>
      </c>
      <c r="C246" t="s">
        <v>459</v>
      </c>
      <c r="D246" t="s">
        <v>460</v>
      </c>
      <c r="E246" t="s">
        <v>14</v>
      </c>
      <c r="F246" t="s">
        <v>15</v>
      </c>
      <c r="G246" t="s">
        <v>26</v>
      </c>
      <c r="H246">
        <v>1</v>
      </c>
      <c r="I246">
        <v>15300</v>
      </c>
      <c r="J246">
        <v>0.15</v>
      </c>
      <c r="K246">
        <v>3054.53</v>
      </c>
    </row>
    <row r="247" spans="1:11" x14ac:dyDescent="0.3">
      <c r="A247" t="s">
        <v>605</v>
      </c>
      <c r="B247" s="1">
        <v>45741</v>
      </c>
      <c r="C247" t="s">
        <v>606</v>
      </c>
      <c r="D247" t="s">
        <v>607</v>
      </c>
      <c r="E247" t="s">
        <v>158</v>
      </c>
      <c r="F247" t="s">
        <v>25</v>
      </c>
      <c r="G247" t="s">
        <v>26</v>
      </c>
      <c r="H247">
        <v>7</v>
      </c>
      <c r="I247">
        <v>5488</v>
      </c>
      <c r="J247">
        <v>0.02</v>
      </c>
      <c r="K247">
        <v>1616.89</v>
      </c>
    </row>
    <row r="248" spans="1:11" x14ac:dyDescent="0.3">
      <c r="A248" t="s">
        <v>608</v>
      </c>
      <c r="B248" s="1">
        <v>45868</v>
      </c>
      <c r="C248" t="s">
        <v>609</v>
      </c>
      <c r="D248" t="s">
        <v>610</v>
      </c>
      <c r="E248" t="s">
        <v>33</v>
      </c>
      <c r="F248" t="s">
        <v>15</v>
      </c>
      <c r="G248" t="s">
        <v>16</v>
      </c>
      <c r="H248">
        <v>8</v>
      </c>
      <c r="I248">
        <v>14400</v>
      </c>
      <c r="J248">
        <v>0</v>
      </c>
      <c r="K248">
        <v>4695.78</v>
      </c>
    </row>
    <row r="249" spans="1:11" x14ac:dyDescent="0.3">
      <c r="A249" t="s">
        <v>611</v>
      </c>
      <c r="B249" s="1">
        <v>45887</v>
      </c>
      <c r="C249" t="s">
        <v>612</v>
      </c>
      <c r="D249" t="s">
        <v>613</v>
      </c>
      <c r="E249" t="s">
        <v>71</v>
      </c>
      <c r="F249" t="s">
        <v>72</v>
      </c>
      <c r="G249" t="s">
        <v>16</v>
      </c>
      <c r="H249">
        <v>5</v>
      </c>
      <c r="I249">
        <v>8800</v>
      </c>
      <c r="J249">
        <v>0.2</v>
      </c>
      <c r="K249">
        <v>2476.04</v>
      </c>
    </row>
    <row r="250" spans="1:11" x14ac:dyDescent="0.3">
      <c r="A250" t="s">
        <v>614</v>
      </c>
      <c r="B250" s="1">
        <v>46005</v>
      </c>
      <c r="C250" t="s">
        <v>597</v>
      </c>
      <c r="D250" t="s">
        <v>598</v>
      </c>
      <c r="E250" t="s">
        <v>80</v>
      </c>
      <c r="F250" t="s">
        <v>15</v>
      </c>
      <c r="G250" t="s">
        <v>43</v>
      </c>
      <c r="H250">
        <v>4</v>
      </c>
      <c r="I250">
        <v>13300</v>
      </c>
      <c r="J250">
        <v>0.05</v>
      </c>
      <c r="K250">
        <v>3632.55</v>
      </c>
    </row>
    <row r="251" spans="1:11" x14ac:dyDescent="0.3">
      <c r="A251" t="s">
        <v>615</v>
      </c>
      <c r="B251" s="1">
        <v>45928</v>
      </c>
      <c r="C251" t="s">
        <v>256</v>
      </c>
      <c r="D251" t="s">
        <v>257</v>
      </c>
      <c r="E251" t="s">
        <v>115</v>
      </c>
      <c r="F251" t="s">
        <v>25</v>
      </c>
      <c r="G251" t="s">
        <v>16</v>
      </c>
      <c r="H251">
        <v>7</v>
      </c>
      <c r="I251">
        <v>1890</v>
      </c>
      <c r="J251">
        <v>0.1</v>
      </c>
      <c r="K251">
        <v>603.39</v>
      </c>
    </row>
    <row r="252" spans="1:11" x14ac:dyDescent="0.3">
      <c r="A252" t="s">
        <v>616</v>
      </c>
      <c r="B252" s="1">
        <v>45786</v>
      </c>
      <c r="C252" t="s">
        <v>617</v>
      </c>
      <c r="D252" t="s">
        <v>618</v>
      </c>
      <c r="E252" t="s">
        <v>51</v>
      </c>
      <c r="F252" t="s">
        <v>15</v>
      </c>
      <c r="G252" t="s">
        <v>43</v>
      </c>
      <c r="H252">
        <v>3</v>
      </c>
      <c r="I252">
        <v>2160</v>
      </c>
      <c r="J252">
        <v>0.2</v>
      </c>
      <c r="K252">
        <v>610.51</v>
      </c>
    </row>
    <row r="253" spans="1:11" x14ac:dyDescent="0.3">
      <c r="A253" t="s">
        <v>619</v>
      </c>
      <c r="B253" s="1">
        <v>45922</v>
      </c>
      <c r="C253" t="s">
        <v>427</v>
      </c>
      <c r="D253" t="s">
        <v>428</v>
      </c>
      <c r="E253" t="s">
        <v>56</v>
      </c>
      <c r="F253" t="s">
        <v>57</v>
      </c>
      <c r="G253" t="s">
        <v>34</v>
      </c>
      <c r="H253">
        <v>2</v>
      </c>
      <c r="I253">
        <v>10200</v>
      </c>
      <c r="J253">
        <v>0.15</v>
      </c>
      <c r="K253">
        <v>2432.3200000000002</v>
      </c>
    </row>
    <row r="254" spans="1:11" x14ac:dyDescent="0.3">
      <c r="A254" t="s">
        <v>620</v>
      </c>
      <c r="B254" s="1">
        <v>45920</v>
      </c>
      <c r="C254" t="s">
        <v>621</v>
      </c>
      <c r="D254" t="s">
        <v>622</v>
      </c>
      <c r="E254" t="s">
        <v>33</v>
      </c>
      <c r="F254" t="s">
        <v>15</v>
      </c>
      <c r="G254" t="s">
        <v>43</v>
      </c>
      <c r="H254">
        <v>5</v>
      </c>
      <c r="I254">
        <v>8280</v>
      </c>
      <c r="J254">
        <v>0.08</v>
      </c>
      <c r="K254">
        <v>2530.73</v>
      </c>
    </row>
    <row r="255" spans="1:11" x14ac:dyDescent="0.3">
      <c r="A255" t="s">
        <v>623</v>
      </c>
      <c r="B255" s="1">
        <v>45671</v>
      </c>
      <c r="C255" t="s">
        <v>244</v>
      </c>
      <c r="D255" t="s">
        <v>245</v>
      </c>
      <c r="E255" t="s">
        <v>24</v>
      </c>
      <c r="F255" t="s">
        <v>25</v>
      </c>
      <c r="G255" t="s">
        <v>43</v>
      </c>
      <c r="H255">
        <v>8</v>
      </c>
      <c r="I255">
        <v>91200</v>
      </c>
      <c r="J255">
        <v>0.05</v>
      </c>
      <c r="K255">
        <v>18477.669999999998</v>
      </c>
    </row>
    <row r="256" spans="1:11" x14ac:dyDescent="0.3">
      <c r="A256" t="s">
        <v>624</v>
      </c>
      <c r="B256" s="1">
        <v>45699</v>
      </c>
      <c r="C256" t="s">
        <v>568</v>
      </c>
      <c r="D256" t="s">
        <v>569</v>
      </c>
      <c r="E256" t="s">
        <v>56</v>
      </c>
      <c r="F256" t="s">
        <v>57</v>
      </c>
      <c r="G256" t="s">
        <v>20</v>
      </c>
      <c r="H256">
        <v>4</v>
      </c>
      <c r="I256">
        <v>22080</v>
      </c>
      <c r="J256">
        <v>0.08</v>
      </c>
      <c r="K256">
        <v>4927.92</v>
      </c>
    </row>
    <row r="257" spans="1:11" x14ac:dyDescent="0.3">
      <c r="A257" t="s">
        <v>625</v>
      </c>
      <c r="B257" s="1">
        <v>45732</v>
      </c>
      <c r="C257" t="s">
        <v>626</v>
      </c>
      <c r="D257" t="s">
        <v>627</v>
      </c>
      <c r="E257" t="s">
        <v>14</v>
      </c>
      <c r="F257" t="s">
        <v>15</v>
      </c>
      <c r="G257" t="s">
        <v>34</v>
      </c>
      <c r="H257">
        <v>6</v>
      </c>
      <c r="I257">
        <v>86400</v>
      </c>
      <c r="J257">
        <v>0.2</v>
      </c>
      <c r="K257">
        <v>14532.33</v>
      </c>
    </row>
    <row r="258" spans="1:11" x14ac:dyDescent="0.3">
      <c r="A258" t="s">
        <v>628</v>
      </c>
      <c r="B258" s="1">
        <v>46019</v>
      </c>
      <c r="C258" t="s">
        <v>629</v>
      </c>
      <c r="D258" t="s">
        <v>630</v>
      </c>
      <c r="E258" t="s">
        <v>80</v>
      </c>
      <c r="F258" t="s">
        <v>15</v>
      </c>
      <c r="G258" t="s">
        <v>26</v>
      </c>
      <c r="H258">
        <v>3</v>
      </c>
      <c r="I258">
        <v>8400</v>
      </c>
      <c r="J258">
        <v>0.2</v>
      </c>
      <c r="K258">
        <v>2011.66</v>
      </c>
    </row>
    <row r="259" spans="1:11" x14ac:dyDescent="0.3">
      <c r="A259" t="s">
        <v>631</v>
      </c>
      <c r="B259" s="1">
        <v>45768</v>
      </c>
      <c r="C259" t="s">
        <v>548</v>
      </c>
      <c r="D259" t="s">
        <v>549</v>
      </c>
      <c r="E259" t="s">
        <v>38</v>
      </c>
      <c r="F259" t="s">
        <v>15</v>
      </c>
      <c r="G259" t="s">
        <v>26</v>
      </c>
      <c r="H259">
        <v>1</v>
      </c>
      <c r="I259">
        <v>26600</v>
      </c>
      <c r="J259">
        <v>0.05</v>
      </c>
      <c r="K259">
        <v>4459.92</v>
      </c>
    </row>
    <row r="260" spans="1:11" x14ac:dyDescent="0.3">
      <c r="A260" t="s">
        <v>632</v>
      </c>
      <c r="B260" s="1">
        <v>45805</v>
      </c>
      <c r="C260" t="s">
        <v>178</v>
      </c>
      <c r="D260" t="s">
        <v>179</v>
      </c>
      <c r="E260" t="s">
        <v>158</v>
      </c>
      <c r="F260" t="s">
        <v>25</v>
      </c>
      <c r="G260" t="s">
        <v>20</v>
      </c>
      <c r="H260">
        <v>7</v>
      </c>
      <c r="I260">
        <v>5600</v>
      </c>
      <c r="J260">
        <v>0</v>
      </c>
      <c r="K260">
        <v>1676.54</v>
      </c>
    </row>
    <row r="261" spans="1:11" x14ac:dyDescent="0.3">
      <c r="A261" t="s">
        <v>633</v>
      </c>
      <c r="B261" s="1">
        <v>45976</v>
      </c>
      <c r="C261" t="s">
        <v>634</v>
      </c>
      <c r="D261" t="s">
        <v>635</v>
      </c>
      <c r="E261" t="s">
        <v>24</v>
      </c>
      <c r="F261" t="s">
        <v>25</v>
      </c>
      <c r="G261" t="s">
        <v>20</v>
      </c>
      <c r="H261">
        <v>7</v>
      </c>
      <c r="I261">
        <v>71400</v>
      </c>
      <c r="J261">
        <v>0.15</v>
      </c>
      <c r="K261">
        <v>14098.67</v>
      </c>
    </row>
    <row r="262" spans="1:11" x14ac:dyDescent="0.3">
      <c r="A262" t="s">
        <v>636</v>
      </c>
      <c r="B262" s="1">
        <v>45921</v>
      </c>
      <c r="C262" t="s">
        <v>414</v>
      </c>
      <c r="D262" t="s">
        <v>415</v>
      </c>
      <c r="E262" t="s">
        <v>80</v>
      </c>
      <c r="F262" t="s">
        <v>15</v>
      </c>
      <c r="G262" t="s">
        <v>16</v>
      </c>
      <c r="H262">
        <v>1</v>
      </c>
      <c r="I262">
        <v>2975</v>
      </c>
      <c r="J262">
        <v>0.15</v>
      </c>
      <c r="K262">
        <v>742.06</v>
      </c>
    </row>
    <row r="263" spans="1:11" x14ac:dyDescent="0.3">
      <c r="A263" t="s">
        <v>637</v>
      </c>
      <c r="B263" s="1">
        <v>45838</v>
      </c>
      <c r="C263" t="s">
        <v>638</v>
      </c>
      <c r="D263" t="s">
        <v>639</v>
      </c>
      <c r="E263" t="s">
        <v>200</v>
      </c>
      <c r="F263" t="s">
        <v>57</v>
      </c>
      <c r="G263" t="s">
        <v>43</v>
      </c>
      <c r="H263">
        <v>1</v>
      </c>
      <c r="I263">
        <v>1620</v>
      </c>
      <c r="J263">
        <v>0.1</v>
      </c>
      <c r="K263">
        <v>416.75</v>
      </c>
    </row>
    <row r="264" spans="1:11" x14ac:dyDescent="0.3">
      <c r="A264" t="s">
        <v>640</v>
      </c>
      <c r="B264" s="1">
        <v>45927</v>
      </c>
      <c r="C264" t="s">
        <v>641</v>
      </c>
      <c r="D264" t="s">
        <v>642</v>
      </c>
      <c r="E264" t="s">
        <v>38</v>
      </c>
      <c r="F264" t="s">
        <v>15</v>
      </c>
      <c r="G264" t="s">
        <v>26</v>
      </c>
      <c r="H264">
        <v>6</v>
      </c>
      <c r="I264">
        <v>168000</v>
      </c>
      <c r="J264">
        <v>0</v>
      </c>
      <c r="K264">
        <v>27190.43</v>
      </c>
    </row>
    <row r="265" spans="1:11" x14ac:dyDescent="0.3">
      <c r="A265" t="s">
        <v>643</v>
      </c>
      <c r="B265" s="1">
        <v>45898</v>
      </c>
      <c r="C265" t="s">
        <v>120</v>
      </c>
      <c r="D265" t="s">
        <v>121</v>
      </c>
      <c r="E265" t="s">
        <v>210</v>
      </c>
      <c r="F265" t="s">
        <v>15</v>
      </c>
      <c r="G265" t="s">
        <v>43</v>
      </c>
      <c r="H265">
        <v>7</v>
      </c>
      <c r="I265">
        <v>308000</v>
      </c>
      <c r="J265">
        <v>0.2</v>
      </c>
      <c r="K265">
        <v>42648.83</v>
      </c>
    </row>
    <row r="266" spans="1:11" x14ac:dyDescent="0.3">
      <c r="A266" t="s">
        <v>644</v>
      </c>
      <c r="B266" s="1">
        <v>45692</v>
      </c>
      <c r="C266" t="s">
        <v>532</v>
      </c>
      <c r="D266" t="s">
        <v>533</v>
      </c>
      <c r="E266" t="s">
        <v>76</v>
      </c>
      <c r="F266" t="s">
        <v>25</v>
      </c>
      <c r="G266" t="s">
        <v>20</v>
      </c>
      <c r="H266">
        <v>1</v>
      </c>
      <c r="I266">
        <v>475</v>
      </c>
      <c r="J266">
        <v>0.05</v>
      </c>
      <c r="K266">
        <v>136.9</v>
      </c>
    </row>
    <row r="267" spans="1:11" x14ac:dyDescent="0.3">
      <c r="A267" t="s">
        <v>645</v>
      </c>
      <c r="B267" s="1">
        <v>45680</v>
      </c>
      <c r="C267" t="s">
        <v>646</v>
      </c>
      <c r="D267" t="s">
        <v>647</v>
      </c>
      <c r="E267" t="s">
        <v>160</v>
      </c>
      <c r="F267" t="s">
        <v>25</v>
      </c>
      <c r="G267" t="s">
        <v>34</v>
      </c>
      <c r="H267">
        <v>6</v>
      </c>
      <c r="I267">
        <v>4116</v>
      </c>
      <c r="J267">
        <v>0.02</v>
      </c>
      <c r="K267">
        <v>1255.81</v>
      </c>
    </row>
    <row r="268" spans="1:11" x14ac:dyDescent="0.3">
      <c r="A268" t="s">
        <v>648</v>
      </c>
      <c r="B268" s="1">
        <v>45903</v>
      </c>
      <c r="C268" t="s">
        <v>107</v>
      </c>
      <c r="D268" t="s">
        <v>108</v>
      </c>
      <c r="E268" t="s">
        <v>33</v>
      </c>
      <c r="F268" t="s">
        <v>15</v>
      </c>
      <c r="G268" t="s">
        <v>16</v>
      </c>
      <c r="H268">
        <v>8</v>
      </c>
      <c r="I268">
        <v>12240</v>
      </c>
      <c r="J268">
        <v>0.15</v>
      </c>
      <c r="K268">
        <v>4001.17</v>
      </c>
    </row>
    <row r="269" spans="1:11" x14ac:dyDescent="0.3">
      <c r="A269" t="s">
        <v>649</v>
      </c>
      <c r="B269" s="1">
        <v>45761</v>
      </c>
      <c r="C269" t="s">
        <v>270</v>
      </c>
      <c r="D269" t="s">
        <v>271</v>
      </c>
      <c r="E269" t="s">
        <v>71</v>
      </c>
      <c r="F269" t="s">
        <v>72</v>
      </c>
      <c r="G269" t="s">
        <v>16</v>
      </c>
      <c r="H269">
        <v>1</v>
      </c>
      <c r="I269">
        <v>2090</v>
      </c>
      <c r="J269">
        <v>0.05</v>
      </c>
      <c r="K269">
        <v>605.16</v>
      </c>
    </row>
    <row r="270" spans="1:11" x14ac:dyDescent="0.3">
      <c r="A270" t="s">
        <v>650</v>
      </c>
      <c r="B270" s="1">
        <v>45921</v>
      </c>
      <c r="C270" t="s">
        <v>651</v>
      </c>
      <c r="D270" t="s">
        <v>652</v>
      </c>
      <c r="E270" t="s">
        <v>42</v>
      </c>
      <c r="F270" t="s">
        <v>15</v>
      </c>
      <c r="G270" t="s">
        <v>26</v>
      </c>
      <c r="H270">
        <v>6</v>
      </c>
      <c r="I270">
        <v>136800</v>
      </c>
      <c r="J270">
        <v>0.05</v>
      </c>
      <c r="K270">
        <v>27636.48</v>
      </c>
    </row>
    <row r="271" spans="1:11" x14ac:dyDescent="0.3">
      <c r="A271" t="s">
        <v>653</v>
      </c>
      <c r="B271" s="1">
        <v>45989</v>
      </c>
      <c r="C271" t="s">
        <v>654</v>
      </c>
      <c r="D271" t="s">
        <v>655</v>
      </c>
      <c r="E271" t="s">
        <v>76</v>
      </c>
      <c r="F271" t="s">
        <v>25</v>
      </c>
      <c r="G271" t="s">
        <v>34</v>
      </c>
      <c r="H271">
        <v>1</v>
      </c>
      <c r="I271">
        <v>400</v>
      </c>
      <c r="J271">
        <v>0.2</v>
      </c>
      <c r="K271">
        <v>105.09</v>
      </c>
    </row>
    <row r="272" spans="1:11" x14ac:dyDescent="0.3">
      <c r="A272" t="s">
        <v>656</v>
      </c>
      <c r="B272" s="1">
        <v>45721</v>
      </c>
      <c r="C272" t="s">
        <v>657</v>
      </c>
      <c r="D272" t="s">
        <v>658</v>
      </c>
      <c r="E272" t="s">
        <v>42</v>
      </c>
      <c r="F272" t="s">
        <v>15</v>
      </c>
      <c r="G272" t="s">
        <v>43</v>
      </c>
      <c r="H272">
        <v>6</v>
      </c>
      <c r="I272">
        <v>136800</v>
      </c>
      <c r="J272">
        <v>0.05</v>
      </c>
      <c r="K272">
        <v>29561.84</v>
      </c>
    </row>
    <row r="273" spans="1:11" x14ac:dyDescent="0.3">
      <c r="A273" t="s">
        <v>659</v>
      </c>
      <c r="B273" s="1">
        <v>45831</v>
      </c>
      <c r="C273" t="s">
        <v>660</v>
      </c>
      <c r="D273" t="s">
        <v>661</v>
      </c>
      <c r="E273" t="s">
        <v>223</v>
      </c>
      <c r="F273" t="s">
        <v>57</v>
      </c>
      <c r="G273" t="s">
        <v>43</v>
      </c>
      <c r="H273">
        <v>8</v>
      </c>
      <c r="I273">
        <v>51520</v>
      </c>
      <c r="J273">
        <v>0.08</v>
      </c>
      <c r="K273">
        <v>12490.19</v>
      </c>
    </row>
    <row r="274" spans="1:11" x14ac:dyDescent="0.3">
      <c r="A274" t="s">
        <v>662</v>
      </c>
      <c r="B274" s="1">
        <v>45923</v>
      </c>
      <c r="C274" t="s">
        <v>663</v>
      </c>
      <c r="D274" t="s">
        <v>664</v>
      </c>
      <c r="E274" t="s">
        <v>80</v>
      </c>
      <c r="F274" t="s">
        <v>15</v>
      </c>
      <c r="G274" t="s">
        <v>20</v>
      </c>
      <c r="H274">
        <v>6</v>
      </c>
      <c r="I274">
        <v>16800</v>
      </c>
      <c r="J274">
        <v>0.2</v>
      </c>
      <c r="K274">
        <v>3848.45</v>
      </c>
    </row>
    <row r="275" spans="1:11" x14ac:dyDescent="0.3">
      <c r="A275" t="s">
        <v>665</v>
      </c>
      <c r="B275" s="1">
        <v>45966</v>
      </c>
      <c r="C275" t="s">
        <v>521</v>
      </c>
      <c r="D275" t="s">
        <v>522</v>
      </c>
      <c r="E275" t="s">
        <v>200</v>
      </c>
      <c r="F275" t="s">
        <v>57</v>
      </c>
      <c r="G275" t="s">
        <v>16</v>
      </c>
      <c r="H275">
        <v>2</v>
      </c>
      <c r="I275">
        <v>3312</v>
      </c>
      <c r="J275">
        <v>0.08</v>
      </c>
      <c r="K275">
        <v>979.22</v>
      </c>
    </row>
    <row r="276" spans="1:11" x14ac:dyDescent="0.3">
      <c r="A276" t="s">
        <v>666</v>
      </c>
      <c r="B276" s="1">
        <v>45698</v>
      </c>
      <c r="C276" t="s">
        <v>190</v>
      </c>
      <c r="D276" t="s">
        <v>191</v>
      </c>
      <c r="E276" t="s">
        <v>115</v>
      </c>
      <c r="F276" t="s">
        <v>25</v>
      </c>
      <c r="G276" t="s">
        <v>34</v>
      </c>
      <c r="H276">
        <v>6</v>
      </c>
      <c r="I276">
        <v>1800</v>
      </c>
      <c r="J276">
        <v>0</v>
      </c>
      <c r="K276">
        <v>583.48</v>
      </c>
    </row>
    <row r="277" spans="1:11" x14ac:dyDescent="0.3">
      <c r="A277" t="s">
        <v>667</v>
      </c>
      <c r="B277" s="1">
        <v>46011</v>
      </c>
      <c r="C277" t="s">
        <v>337</v>
      </c>
      <c r="D277" t="s">
        <v>338</v>
      </c>
      <c r="E277" t="s">
        <v>71</v>
      </c>
      <c r="F277" t="s">
        <v>72</v>
      </c>
      <c r="G277" t="s">
        <v>43</v>
      </c>
      <c r="H277">
        <v>7</v>
      </c>
      <c r="I277">
        <v>15092</v>
      </c>
      <c r="J277">
        <v>0.02</v>
      </c>
      <c r="K277">
        <v>4733.5200000000004</v>
      </c>
    </row>
    <row r="278" spans="1:11" x14ac:dyDescent="0.3">
      <c r="A278" t="s">
        <v>668</v>
      </c>
      <c r="B278" s="1">
        <v>45985</v>
      </c>
      <c r="C278" t="s">
        <v>193</v>
      </c>
      <c r="D278" t="s">
        <v>194</v>
      </c>
      <c r="E278" t="s">
        <v>56</v>
      </c>
      <c r="F278" t="s">
        <v>57</v>
      </c>
      <c r="G278" t="s">
        <v>20</v>
      </c>
      <c r="H278">
        <v>7</v>
      </c>
      <c r="I278">
        <v>39900</v>
      </c>
      <c r="J278">
        <v>0.05</v>
      </c>
      <c r="K278">
        <v>9940.18</v>
      </c>
    </row>
    <row r="279" spans="1:11" x14ac:dyDescent="0.3">
      <c r="A279" t="s">
        <v>669</v>
      </c>
      <c r="B279" s="1">
        <v>46005</v>
      </c>
      <c r="C279" t="s">
        <v>670</v>
      </c>
      <c r="D279" t="s">
        <v>671</v>
      </c>
      <c r="E279" t="s">
        <v>223</v>
      </c>
      <c r="F279" t="s">
        <v>57</v>
      </c>
      <c r="G279" t="s">
        <v>20</v>
      </c>
      <c r="H279">
        <v>6</v>
      </c>
      <c r="I279">
        <v>37800</v>
      </c>
      <c r="J279">
        <v>0.1</v>
      </c>
      <c r="K279">
        <v>7877.74</v>
      </c>
    </row>
    <row r="280" spans="1:11" x14ac:dyDescent="0.3">
      <c r="A280" t="s">
        <v>672</v>
      </c>
      <c r="B280" s="1">
        <v>45722</v>
      </c>
      <c r="C280" t="s">
        <v>450</v>
      </c>
      <c r="D280" t="s">
        <v>451</v>
      </c>
      <c r="E280" t="s">
        <v>158</v>
      </c>
      <c r="F280" t="s">
        <v>25</v>
      </c>
      <c r="G280" t="s">
        <v>34</v>
      </c>
      <c r="H280">
        <v>8</v>
      </c>
      <c r="I280">
        <v>6400</v>
      </c>
      <c r="J280">
        <v>0</v>
      </c>
      <c r="K280">
        <v>1861.51</v>
      </c>
    </row>
    <row r="281" spans="1:11" x14ac:dyDescent="0.3">
      <c r="A281" t="s">
        <v>673</v>
      </c>
      <c r="B281" s="1">
        <v>45736</v>
      </c>
      <c r="C281" t="s">
        <v>674</v>
      </c>
      <c r="D281" t="s">
        <v>675</v>
      </c>
      <c r="E281" t="s">
        <v>223</v>
      </c>
      <c r="F281" t="s">
        <v>57</v>
      </c>
      <c r="G281" t="s">
        <v>34</v>
      </c>
      <c r="H281">
        <v>1</v>
      </c>
      <c r="I281">
        <v>6300</v>
      </c>
      <c r="J281">
        <v>0.1</v>
      </c>
      <c r="K281">
        <v>1445.84</v>
      </c>
    </row>
    <row r="282" spans="1:11" x14ac:dyDescent="0.3">
      <c r="A282" t="s">
        <v>676</v>
      </c>
      <c r="B282" s="1">
        <v>45728</v>
      </c>
      <c r="C282" t="s">
        <v>532</v>
      </c>
      <c r="D282" t="s">
        <v>533</v>
      </c>
      <c r="E282" t="s">
        <v>71</v>
      </c>
      <c r="F282" t="s">
        <v>72</v>
      </c>
      <c r="G282" t="s">
        <v>43</v>
      </c>
      <c r="H282">
        <v>2</v>
      </c>
      <c r="I282">
        <v>3960</v>
      </c>
      <c r="J282">
        <v>0.1</v>
      </c>
      <c r="K282">
        <v>1231.5999999999999</v>
      </c>
    </row>
    <row r="283" spans="1:11" x14ac:dyDescent="0.3">
      <c r="A283" t="s">
        <v>677</v>
      </c>
      <c r="B283" s="1">
        <v>45671</v>
      </c>
      <c r="C283" t="s">
        <v>166</v>
      </c>
      <c r="D283" t="s">
        <v>167</v>
      </c>
      <c r="E283" t="s">
        <v>76</v>
      </c>
      <c r="F283" t="s">
        <v>25</v>
      </c>
      <c r="G283" t="s">
        <v>43</v>
      </c>
      <c r="H283">
        <v>4</v>
      </c>
      <c r="I283">
        <v>2000</v>
      </c>
      <c r="J283">
        <v>0</v>
      </c>
      <c r="K283">
        <v>622.62</v>
      </c>
    </row>
    <row r="284" spans="1:11" x14ac:dyDescent="0.3">
      <c r="A284" t="s">
        <v>678</v>
      </c>
      <c r="B284" s="1">
        <v>45791</v>
      </c>
      <c r="C284" t="s">
        <v>679</v>
      </c>
      <c r="D284" t="s">
        <v>680</v>
      </c>
      <c r="E284" t="s">
        <v>223</v>
      </c>
      <c r="F284" t="s">
        <v>57</v>
      </c>
      <c r="G284" t="s">
        <v>16</v>
      </c>
      <c r="H284">
        <v>2</v>
      </c>
      <c r="I284">
        <v>13300</v>
      </c>
      <c r="J284">
        <v>0.05</v>
      </c>
      <c r="K284">
        <v>3104.47</v>
      </c>
    </row>
    <row r="285" spans="1:11" x14ac:dyDescent="0.3">
      <c r="A285" t="s">
        <v>681</v>
      </c>
      <c r="B285" s="1">
        <v>45720</v>
      </c>
      <c r="C285" t="s">
        <v>682</v>
      </c>
      <c r="D285" t="s">
        <v>683</v>
      </c>
      <c r="E285" t="s">
        <v>115</v>
      </c>
      <c r="F285" t="s">
        <v>25</v>
      </c>
      <c r="G285" t="s">
        <v>20</v>
      </c>
      <c r="H285">
        <v>8</v>
      </c>
      <c r="I285">
        <v>2352</v>
      </c>
      <c r="J285">
        <v>0.02</v>
      </c>
      <c r="K285">
        <v>733.37</v>
      </c>
    </row>
    <row r="286" spans="1:11" x14ac:dyDescent="0.3">
      <c r="A286" t="s">
        <v>684</v>
      </c>
      <c r="B286" s="1">
        <v>46007</v>
      </c>
      <c r="C286" t="s">
        <v>117</v>
      </c>
      <c r="D286" t="s">
        <v>118</v>
      </c>
      <c r="E286" t="s">
        <v>33</v>
      </c>
      <c r="F286" t="s">
        <v>15</v>
      </c>
      <c r="G286" t="s">
        <v>34</v>
      </c>
      <c r="H286">
        <v>8</v>
      </c>
      <c r="I286">
        <v>14400</v>
      </c>
      <c r="J286">
        <v>0</v>
      </c>
      <c r="K286">
        <v>5159.09</v>
      </c>
    </row>
    <row r="287" spans="1:11" x14ac:dyDescent="0.3">
      <c r="A287" t="s">
        <v>685</v>
      </c>
      <c r="B287" s="1">
        <v>45935</v>
      </c>
      <c r="C287" t="s">
        <v>259</v>
      </c>
      <c r="D287" t="s">
        <v>260</v>
      </c>
      <c r="E287" t="s">
        <v>56</v>
      </c>
      <c r="F287" t="s">
        <v>57</v>
      </c>
      <c r="G287" t="s">
        <v>34</v>
      </c>
      <c r="H287">
        <v>2</v>
      </c>
      <c r="I287">
        <v>10800</v>
      </c>
      <c r="J287">
        <v>0.1</v>
      </c>
      <c r="K287">
        <v>2356.08</v>
      </c>
    </row>
    <row r="288" spans="1:11" x14ac:dyDescent="0.3">
      <c r="A288" t="s">
        <v>686</v>
      </c>
      <c r="B288" s="1">
        <v>45843</v>
      </c>
      <c r="C288" t="s">
        <v>314</v>
      </c>
      <c r="D288" t="s">
        <v>315</v>
      </c>
      <c r="E288" t="s">
        <v>33</v>
      </c>
      <c r="F288" t="s">
        <v>15</v>
      </c>
      <c r="G288" t="s">
        <v>20</v>
      </c>
      <c r="H288">
        <v>3</v>
      </c>
      <c r="I288">
        <v>4320</v>
      </c>
      <c r="J288">
        <v>0.2</v>
      </c>
      <c r="K288">
        <v>1352.52</v>
      </c>
    </row>
    <row r="289" spans="1:11" x14ac:dyDescent="0.3">
      <c r="A289" t="s">
        <v>687</v>
      </c>
      <c r="B289" s="1">
        <v>45910</v>
      </c>
      <c r="C289" t="s">
        <v>688</v>
      </c>
      <c r="D289" t="s">
        <v>689</v>
      </c>
      <c r="E289" t="s">
        <v>180</v>
      </c>
      <c r="F289" t="s">
        <v>15</v>
      </c>
      <c r="G289" t="s">
        <v>26</v>
      </c>
      <c r="H289">
        <v>4</v>
      </c>
      <c r="I289">
        <v>9600</v>
      </c>
      <c r="J289">
        <v>0.2</v>
      </c>
      <c r="K289">
        <v>2696.82</v>
      </c>
    </row>
    <row r="290" spans="1:11" x14ac:dyDescent="0.3">
      <c r="A290" t="s">
        <v>690</v>
      </c>
      <c r="B290" s="1">
        <v>45940</v>
      </c>
      <c r="C290" t="s">
        <v>420</v>
      </c>
      <c r="D290" t="s">
        <v>421</v>
      </c>
      <c r="E290" t="s">
        <v>56</v>
      </c>
      <c r="F290" t="s">
        <v>57</v>
      </c>
      <c r="G290" t="s">
        <v>20</v>
      </c>
      <c r="H290">
        <v>8</v>
      </c>
      <c r="I290">
        <v>38400</v>
      </c>
      <c r="J290">
        <v>0.2</v>
      </c>
      <c r="K290">
        <v>7736.55</v>
      </c>
    </row>
    <row r="291" spans="1:11" x14ac:dyDescent="0.3">
      <c r="A291" t="s">
        <v>691</v>
      </c>
      <c r="B291" s="1">
        <v>45903</v>
      </c>
      <c r="C291" t="s">
        <v>270</v>
      </c>
      <c r="D291" t="s">
        <v>271</v>
      </c>
      <c r="E291" t="s">
        <v>115</v>
      </c>
      <c r="F291" t="s">
        <v>25</v>
      </c>
      <c r="G291" t="s">
        <v>43</v>
      </c>
      <c r="H291">
        <v>7</v>
      </c>
      <c r="I291">
        <v>1785</v>
      </c>
      <c r="J291">
        <v>0.15</v>
      </c>
      <c r="K291">
        <v>571.63</v>
      </c>
    </row>
    <row r="292" spans="1:11" x14ac:dyDescent="0.3">
      <c r="A292" t="s">
        <v>692</v>
      </c>
      <c r="B292" s="1">
        <v>45820</v>
      </c>
      <c r="C292" t="s">
        <v>693</v>
      </c>
      <c r="D292" t="s">
        <v>694</v>
      </c>
      <c r="E292" t="s">
        <v>160</v>
      </c>
      <c r="F292" t="s">
        <v>25</v>
      </c>
      <c r="G292" t="s">
        <v>43</v>
      </c>
      <c r="H292">
        <v>2</v>
      </c>
      <c r="I292">
        <v>1372</v>
      </c>
      <c r="J292">
        <v>0.02</v>
      </c>
      <c r="K292">
        <v>439.02</v>
      </c>
    </row>
    <row r="293" spans="1:11" x14ac:dyDescent="0.3">
      <c r="A293" t="s">
        <v>695</v>
      </c>
      <c r="B293" s="1">
        <v>45940</v>
      </c>
      <c r="C293" t="s">
        <v>85</v>
      </c>
      <c r="D293" t="s">
        <v>86</v>
      </c>
      <c r="E293" t="s">
        <v>87</v>
      </c>
      <c r="F293" t="s">
        <v>15</v>
      </c>
      <c r="G293" t="s">
        <v>16</v>
      </c>
      <c r="H293">
        <v>6</v>
      </c>
      <c r="I293">
        <v>7056</v>
      </c>
      <c r="J293">
        <v>0.02</v>
      </c>
      <c r="K293">
        <v>2094.4699999999998</v>
      </c>
    </row>
    <row r="294" spans="1:11" x14ac:dyDescent="0.3">
      <c r="A294" t="s">
        <v>696</v>
      </c>
      <c r="B294" s="1">
        <v>45686</v>
      </c>
      <c r="C294" t="s">
        <v>305</v>
      </c>
      <c r="D294" t="s">
        <v>306</v>
      </c>
      <c r="E294" t="s">
        <v>180</v>
      </c>
      <c r="F294" t="s">
        <v>15</v>
      </c>
      <c r="G294" t="s">
        <v>26</v>
      </c>
      <c r="H294">
        <v>7</v>
      </c>
      <c r="I294">
        <v>18900</v>
      </c>
      <c r="J294">
        <v>0.1</v>
      </c>
      <c r="K294">
        <v>6496.16</v>
      </c>
    </row>
    <row r="295" spans="1:11" x14ac:dyDescent="0.3">
      <c r="A295" t="s">
        <v>697</v>
      </c>
      <c r="B295" s="1">
        <v>45823</v>
      </c>
      <c r="C295" t="s">
        <v>98</v>
      </c>
      <c r="D295" t="s">
        <v>99</v>
      </c>
      <c r="E295" t="s">
        <v>115</v>
      </c>
      <c r="F295" t="s">
        <v>25</v>
      </c>
      <c r="G295" t="s">
        <v>16</v>
      </c>
      <c r="H295">
        <v>3</v>
      </c>
      <c r="I295">
        <v>882</v>
      </c>
      <c r="J295">
        <v>0.02</v>
      </c>
      <c r="K295">
        <v>313.37</v>
      </c>
    </row>
    <row r="296" spans="1:11" x14ac:dyDescent="0.3">
      <c r="A296" t="s">
        <v>698</v>
      </c>
      <c r="B296" s="1">
        <v>45698</v>
      </c>
      <c r="C296" t="s">
        <v>417</v>
      </c>
      <c r="D296" t="s">
        <v>418</v>
      </c>
      <c r="E296" t="s">
        <v>87</v>
      </c>
      <c r="F296" t="s">
        <v>15</v>
      </c>
      <c r="G296" t="s">
        <v>26</v>
      </c>
      <c r="H296">
        <v>5</v>
      </c>
      <c r="I296">
        <v>4800</v>
      </c>
      <c r="J296">
        <v>0.2</v>
      </c>
      <c r="K296">
        <v>1242.67</v>
      </c>
    </row>
    <row r="297" spans="1:11" x14ac:dyDescent="0.3">
      <c r="A297" t="s">
        <v>699</v>
      </c>
      <c r="B297" s="1">
        <v>45931</v>
      </c>
      <c r="C297" t="s">
        <v>463</v>
      </c>
      <c r="D297" t="s">
        <v>464</v>
      </c>
      <c r="E297" t="s">
        <v>180</v>
      </c>
      <c r="F297" t="s">
        <v>15</v>
      </c>
      <c r="G297" t="s">
        <v>16</v>
      </c>
      <c r="H297">
        <v>5</v>
      </c>
      <c r="I297">
        <v>13500</v>
      </c>
      <c r="J297">
        <v>0.1</v>
      </c>
      <c r="K297">
        <v>4049.74</v>
      </c>
    </row>
    <row r="298" spans="1:11" x14ac:dyDescent="0.3">
      <c r="A298" t="s">
        <v>700</v>
      </c>
      <c r="B298" s="1">
        <v>45995</v>
      </c>
      <c r="C298" t="s">
        <v>518</v>
      </c>
      <c r="D298" t="s">
        <v>519</v>
      </c>
      <c r="E298" t="s">
        <v>160</v>
      </c>
      <c r="F298" t="s">
        <v>25</v>
      </c>
      <c r="G298" t="s">
        <v>26</v>
      </c>
      <c r="H298">
        <v>3</v>
      </c>
      <c r="I298">
        <v>2058</v>
      </c>
      <c r="J298">
        <v>0.02</v>
      </c>
      <c r="K298">
        <v>656.65</v>
      </c>
    </row>
    <row r="299" spans="1:11" x14ac:dyDescent="0.3">
      <c r="A299" t="s">
        <v>701</v>
      </c>
      <c r="B299" s="1">
        <v>45672</v>
      </c>
      <c r="C299" t="s">
        <v>702</v>
      </c>
      <c r="D299" t="s">
        <v>703</v>
      </c>
      <c r="E299" t="s">
        <v>160</v>
      </c>
      <c r="F299" t="s">
        <v>25</v>
      </c>
      <c r="G299" t="s">
        <v>26</v>
      </c>
      <c r="H299">
        <v>1</v>
      </c>
      <c r="I299">
        <v>560</v>
      </c>
      <c r="J299">
        <v>0.2</v>
      </c>
      <c r="K299">
        <v>150.26</v>
      </c>
    </row>
    <row r="300" spans="1:11" x14ac:dyDescent="0.3">
      <c r="A300" t="s">
        <v>704</v>
      </c>
      <c r="B300" s="1">
        <v>45985</v>
      </c>
      <c r="C300" t="s">
        <v>40</v>
      </c>
      <c r="D300" t="s">
        <v>41</v>
      </c>
      <c r="E300" t="s">
        <v>51</v>
      </c>
      <c r="F300" t="s">
        <v>15</v>
      </c>
      <c r="G300" t="s">
        <v>26</v>
      </c>
      <c r="H300">
        <v>7</v>
      </c>
      <c r="I300">
        <v>5670</v>
      </c>
      <c r="J300">
        <v>0.1</v>
      </c>
      <c r="K300">
        <v>1679.68</v>
      </c>
    </row>
    <row r="301" spans="1:11" x14ac:dyDescent="0.3">
      <c r="A301" t="s">
        <v>705</v>
      </c>
      <c r="B301" s="1">
        <v>46008</v>
      </c>
      <c r="C301" t="s">
        <v>638</v>
      </c>
      <c r="D301" t="s">
        <v>639</v>
      </c>
      <c r="E301" t="s">
        <v>115</v>
      </c>
      <c r="F301" t="s">
        <v>25</v>
      </c>
      <c r="G301" t="s">
        <v>43</v>
      </c>
      <c r="H301">
        <v>8</v>
      </c>
      <c r="I301">
        <v>2352</v>
      </c>
      <c r="J301">
        <v>0.02</v>
      </c>
      <c r="K301">
        <v>767.98</v>
      </c>
    </row>
    <row r="302" spans="1:11" x14ac:dyDescent="0.3">
      <c r="A302" t="s">
        <v>706</v>
      </c>
      <c r="B302" s="1">
        <v>45870</v>
      </c>
      <c r="C302" t="s">
        <v>169</v>
      </c>
      <c r="D302" t="s">
        <v>170</v>
      </c>
      <c r="E302" t="s">
        <v>42</v>
      </c>
      <c r="F302" t="s">
        <v>15</v>
      </c>
      <c r="G302" t="s">
        <v>16</v>
      </c>
      <c r="H302">
        <v>3</v>
      </c>
      <c r="I302">
        <v>66240</v>
      </c>
      <c r="J302">
        <v>0.08</v>
      </c>
      <c r="K302">
        <v>13462.2</v>
      </c>
    </row>
    <row r="303" spans="1:11" x14ac:dyDescent="0.3">
      <c r="A303" t="s">
        <v>707</v>
      </c>
      <c r="B303" s="1">
        <v>45821</v>
      </c>
      <c r="C303" t="s">
        <v>411</v>
      </c>
      <c r="D303" t="s">
        <v>412</v>
      </c>
      <c r="E303" t="s">
        <v>158</v>
      </c>
      <c r="F303" t="s">
        <v>25</v>
      </c>
      <c r="G303" t="s">
        <v>34</v>
      </c>
      <c r="H303">
        <v>3</v>
      </c>
      <c r="I303">
        <v>2280</v>
      </c>
      <c r="J303">
        <v>0.05</v>
      </c>
      <c r="K303">
        <v>731.23</v>
      </c>
    </row>
    <row r="304" spans="1:11" x14ac:dyDescent="0.3">
      <c r="A304" t="s">
        <v>708</v>
      </c>
      <c r="B304" s="1">
        <v>45847</v>
      </c>
      <c r="C304" t="s">
        <v>197</v>
      </c>
      <c r="D304" t="s">
        <v>198</v>
      </c>
      <c r="E304" t="s">
        <v>223</v>
      </c>
      <c r="F304" t="s">
        <v>57</v>
      </c>
      <c r="G304" t="s">
        <v>20</v>
      </c>
      <c r="H304">
        <v>3</v>
      </c>
      <c r="I304">
        <v>16800</v>
      </c>
      <c r="J304">
        <v>0.2</v>
      </c>
      <c r="K304">
        <v>3611.5</v>
      </c>
    </row>
    <row r="305" spans="1:11" x14ac:dyDescent="0.3">
      <c r="A305" t="s">
        <v>709</v>
      </c>
      <c r="B305" s="1">
        <v>45794</v>
      </c>
      <c r="C305" t="s">
        <v>626</v>
      </c>
      <c r="D305" t="s">
        <v>627</v>
      </c>
      <c r="E305" t="s">
        <v>24</v>
      </c>
      <c r="F305" t="s">
        <v>25</v>
      </c>
      <c r="G305" t="s">
        <v>16</v>
      </c>
      <c r="H305">
        <v>8</v>
      </c>
      <c r="I305">
        <v>96000</v>
      </c>
      <c r="J305">
        <v>0</v>
      </c>
      <c r="K305">
        <v>19838.71</v>
      </c>
    </row>
    <row r="306" spans="1:11" x14ac:dyDescent="0.3">
      <c r="A306" t="s">
        <v>710</v>
      </c>
      <c r="B306" s="1">
        <v>45973</v>
      </c>
      <c r="C306" t="s">
        <v>130</v>
      </c>
      <c r="D306" t="s">
        <v>131</v>
      </c>
      <c r="E306" t="s">
        <v>42</v>
      </c>
      <c r="F306" t="s">
        <v>15</v>
      </c>
      <c r="G306" t="s">
        <v>16</v>
      </c>
      <c r="H306">
        <v>5</v>
      </c>
      <c r="I306">
        <v>110400</v>
      </c>
      <c r="J306">
        <v>0.08</v>
      </c>
      <c r="K306">
        <v>22172.54</v>
      </c>
    </row>
    <row r="307" spans="1:11" x14ac:dyDescent="0.3">
      <c r="A307" t="s">
        <v>711</v>
      </c>
      <c r="B307" s="1">
        <v>45739</v>
      </c>
      <c r="C307" t="s">
        <v>107</v>
      </c>
      <c r="D307" t="s">
        <v>108</v>
      </c>
      <c r="E307" t="s">
        <v>64</v>
      </c>
      <c r="F307" t="s">
        <v>57</v>
      </c>
      <c r="G307" t="s">
        <v>26</v>
      </c>
      <c r="H307">
        <v>6</v>
      </c>
      <c r="I307">
        <v>47040</v>
      </c>
      <c r="J307">
        <v>0.02</v>
      </c>
      <c r="K307">
        <v>10527</v>
      </c>
    </row>
    <row r="308" spans="1:11" x14ac:dyDescent="0.3">
      <c r="A308" t="s">
        <v>712</v>
      </c>
      <c r="B308" s="1">
        <v>45669</v>
      </c>
      <c r="C308" t="s">
        <v>85</v>
      </c>
      <c r="D308" t="s">
        <v>86</v>
      </c>
      <c r="E308" t="s">
        <v>80</v>
      </c>
      <c r="F308" t="s">
        <v>15</v>
      </c>
      <c r="G308" t="s">
        <v>43</v>
      </c>
      <c r="H308">
        <v>5</v>
      </c>
      <c r="I308">
        <v>16100</v>
      </c>
      <c r="J308">
        <v>0.08</v>
      </c>
      <c r="K308">
        <v>3754.84</v>
      </c>
    </row>
    <row r="309" spans="1:11" x14ac:dyDescent="0.3">
      <c r="A309" t="s">
        <v>713</v>
      </c>
      <c r="B309" s="1">
        <v>45956</v>
      </c>
      <c r="C309" t="s">
        <v>95</v>
      </c>
      <c r="D309" t="s">
        <v>96</v>
      </c>
      <c r="E309" t="s">
        <v>71</v>
      </c>
      <c r="F309" t="s">
        <v>72</v>
      </c>
      <c r="G309" t="s">
        <v>20</v>
      </c>
      <c r="H309">
        <v>4</v>
      </c>
      <c r="I309">
        <v>8624</v>
      </c>
      <c r="J309">
        <v>0.02</v>
      </c>
      <c r="K309">
        <v>2664.1</v>
      </c>
    </row>
    <row r="310" spans="1:11" x14ac:dyDescent="0.3">
      <c r="A310" t="s">
        <v>714</v>
      </c>
      <c r="B310" s="1">
        <v>45932</v>
      </c>
      <c r="C310" t="s">
        <v>715</v>
      </c>
      <c r="D310" t="s">
        <v>716</v>
      </c>
      <c r="E310" t="s">
        <v>80</v>
      </c>
      <c r="F310" t="s">
        <v>15</v>
      </c>
      <c r="G310" t="s">
        <v>20</v>
      </c>
      <c r="H310">
        <v>8</v>
      </c>
      <c r="I310">
        <v>26600</v>
      </c>
      <c r="J310">
        <v>0.05</v>
      </c>
      <c r="K310">
        <v>6183.42</v>
      </c>
    </row>
    <row r="311" spans="1:11" x14ac:dyDescent="0.3">
      <c r="A311" t="s">
        <v>717</v>
      </c>
      <c r="B311" s="1">
        <v>45845</v>
      </c>
      <c r="C311" t="s">
        <v>535</v>
      </c>
      <c r="D311" t="s">
        <v>536</v>
      </c>
      <c r="E311" t="s">
        <v>180</v>
      </c>
      <c r="F311" t="s">
        <v>15</v>
      </c>
      <c r="G311" t="s">
        <v>34</v>
      </c>
      <c r="H311">
        <v>5</v>
      </c>
      <c r="I311">
        <v>12750</v>
      </c>
      <c r="J311">
        <v>0.15</v>
      </c>
      <c r="K311">
        <v>4273.59</v>
      </c>
    </row>
    <row r="312" spans="1:11" x14ac:dyDescent="0.3">
      <c r="A312" t="s">
        <v>718</v>
      </c>
      <c r="B312" s="1">
        <v>45945</v>
      </c>
      <c r="C312" t="s">
        <v>443</v>
      </c>
      <c r="D312" t="s">
        <v>444</v>
      </c>
      <c r="E312" t="s">
        <v>223</v>
      </c>
      <c r="F312" t="s">
        <v>57</v>
      </c>
      <c r="G312" t="s">
        <v>26</v>
      </c>
      <c r="H312">
        <v>1</v>
      </c>
      <c r="I312">
        <v>6300</v>
      </c>
      <c r="J312">
        <v>0.1</v>
      </c>
      <c r="K312">
        <v>1321.83</v>
      </c>
    </row>
    <row r="313" spans="1:11" x14ac:dyDescent="0.3">
      <c r="A313" t="s">
        <v>719</v>
      </c>
      <c r="B313" s="1">
        <v>45888</v>
      </c>
      <c r="C313" t="s">
        <v>237</v>
      </c>
      <c r="D313" t="s">
        <v>238</v>
      </c>
      <c r="E313" t="s">
        <v>38</v>
      </c>
      <c r="F313" t="s">
        <v>15</v>
      </c>
      <c r="G313" t="s">
        <v>34</v>
      </c>
      <c r="H313">
        <v>7</v>
      </c>
      <c r="I313">
        <v>176400</v>
      </c>
      <c r="J313">
        <v>0.1</v>
      </c>
      <c r="K313">
        <v>28895.1</v>
      </c>
    </row>
    <row r="314" spans="1:11" x14ac:dyDescent="0.3">
      <c r="A314" t="s">
        <v>720</v>
      </c>
      <c r="B314" s="1">
        <v>45707</v>
      </c>
      <c r="C314" t="s">
        <v>721</v>
      </c>
      <c r="D314" t="s">
        <v>722</v>
      </c>
      <c r="E314" t="s">
        <v>158</v>
      </c>
      <c r="F314" t="s">
        <v>25</v>
      </c>
      <c r="G314" t="s">
        <v>34</v>
      </c>
      <c r="H314">
        <v>2</v>
      </c>
      <c r="I314">
        <v>1568</v>
      </c>
      <c r="J314">
        <v>0.02</v>
      </c>
      <c r="K314">
        <v>479.01</v>
      </c>
    </row>
    <row r="315" spans="1:11" x14ac:dyDescent="0.3">
      <c r="A315" t="s">
        <v>723</v>
      </c>
      <c r="B315" s="1">
        <v>45966</v>
      </c>
      <c r="C315" t="s">
        <v>724</v>
      </c>
      <c r="D315" t="s">
        <v>725</v>
      </c>
      <c r="E315" t="s">
        <v>56</v>
      </c>
      <c r="F315" t="s">
        <v>57</v>
      </c>
      <c r="G315" t="s">
        <v>26</v>
      </c>
      <c r="H315">
        <v>3</v>
      </c>
      <c r="I315">
        <v>17640</v>
      </c>
      <c r="J315">
        <v>0.02</v>
      </c>
      <c r="K315">
        <v>4101.13</v>
      </c>
    </row>
    <row r="316" spans="1:11" x14ac:dyDescent="0.3">
      <c r="A316" t="s">
        <v>726</v>
      </c>
      <c r="B316" s="1">
        <v>45828</v>
      </c>
      <c r="C316" t="s">
        <v>193</v>
      </c>
      <c r="D316" t="s">
        <v>194</v>
      </c>
      <c r="E316" t="s">
        <v>42</v>
      </c>
      <c r="F316" t="s">
        <v>15</v>
      </c>
      <c r="G316" t="s">
        <v>26</v>
      </c>
      <c r="H316">
        <v>1</v>
      </c>
      <c r="I316">
        <v>23520</v>
      </c>
      <c r="J316">
        <v>0.02</v>
      </c>
      <c r="K316">
        <v>5118.17</v>
      </c>
    </row>
    <row r="317" spans="1:11" x14ac:dyDescent="0.3">
      <c r="A317" t="s">
        <v>727</v>
      </c>
      <c r="B317" s="1">
        <v>45971</v>
      </c>
      <c r="C317" t="s">
        <v>554</v>
      </c>
      <c r="D317" t="s">
        <v>555</v>
      </c>
      <c r="E317" t="s">
        <v>180</v>
      </c>
      <c r="F317" t="s">
        <v>15</v>
      </c>
      <c r="G317" t="s">
        <v>43</v>
      </c>
      <c r="H317">
        <v>3</v>
      </c>
      <c r="I317">
        <v>8550</v>
      </c>
      <c r="J317">
        <v>0.05</v>
      </c>
      <c r="K317">
        <v>2725.39</v>
      </c>
    </row>
    <row r="318" spans="1:11" x14ac:dyDescent="0.3">
      <c r="A318" t="s">
        <v>728</v>
      </c>
      <c r="B318" s="1">
        <v>45918</v>
      </c>
      <c r="C318" t="s">
        <v>320</v>
      </c>
      <c r="D318" t="s">
        <v>321</v>
      </c>
      <c r="E318" t="s">
        <v>115</v>
      </c>
      <c r="F318" t="s">
        <v>25</v>
      </c>
      <c r="G318" t="s">
        <v>26</v>
      </c>
      <c r="H318">
        <v>6</v>
      </c>
      <c r="I318">
        <v>1620</v>
      </c>
      <c r="J318">
        <v>0.1</v>
      </c>
      <c r="K318">
        <v>528.1</v>
      </c>
    </row>
    <row r="319" spans="1:11" x14ac:dyDescent="0.3">
      <c r="A319" t="s">
        <v>729</v>
      </c>
      <c r="B319" s="1">
        <v>45827</v>
      </c>
      <c r="C319" t="s">
        <v>363</v>
      </c>
      <c r="D319" t="s">
        <v>364</v>
      </c>
      <c r="E319" t="s">
        <v>80</v>
      </c>
      <c r="F319" t="s">
        <v>15</v>
      </c>
      <c r="G319" t="s">
        <v>43</v>
      </c>
      <c r="H319">
        <v>1</v>
      </c>
      <c r="I319">
        <v>3325</v>
      </c>
      <c r="J319">
        <v>0.05</v>
      </c>
      <c r="K319">
        <v>868.78</v>
      </c>
    </row>
    <row r="320" spans="1:11" x14ac:dyDescent="0.3">
      <c r="A320" t="s">
        <v>730</v>
      </c>
      <c r="B320" s="1">
        <v>45900</v>
      </c>
      <c r="C320" t="s">
        <v>482</v>
      </c>
      <c r="D320" t="s">
        <v>483</v>
      </c>
      <c r="E320" t="s">
        <v>115</v>
      </c>
      <c r="F320" t="s">
        <v>25</v>
      </c>
      <c r="G320" t="s">
        <v>26</v>
      </c>
      <c r="H320">
        <v>1</v>
      </c>
      <c r="I320">
        <v>270</v>
      </c>
      <c r="J320">
        <v>0.1</v>
      </c>
      <c r="K320">
        <v>83.75</v>
      </c>
    </row>
    <row r="321" spans="1:11" x14ac:dyDescent="0.3">
      <c r="A321" t="s">
        <v>731</v>
      </c>
      <c r="B321" s="1">
        <v>45903</v>
      </c>
      <c r="C321" t="s">
        <v>49</v>
      </c>
      <c r="D321" t="s">
        <v>50</v>
      </c>
      <c r="E321" t="s">
        <v>24</v>
      </c>
      <c r="F321" t="s">
        <v>25</v>
      </c>
      <c r="G321" t="s">
        <v>26</v>
      </c>
      <c r="H321">
        <v>1</v>
      </c>
      <c r="I321">
        <v>10800</v>
      </c>
      <c r="J321">
        <v>0.1</v>
      </c>
      <c r="K321">
        <v>2055.6999999999998</v>
      </c>
    </row>
    <row r="322" spans="1:11" x14ac:dyDescent="0.3">
      <c r="A322" t="s">
        <v>732</v>
      </c>
      <c r="B322" s="1">
        <v>46006</v>
      </c>
      <c r="C322" t="s">
        <v>466</v>
      </c>
      <c r="D322" t="s">
        <v>467</v>
      </c>
      <c r="E322" t="s">
        <v>223</v>
      </c>
      <c r="F322" t="s">
        <v>57</v>
      </c>
      <c r="G322" t="s">
        <v>26</v>
      </c>
      <c r="H322">
        <v>3</v>
      </c>
      <c r="I322">
        <v>16800</v>
      </c>
      <c r="J322">
        <v>0.2</v>
      </c>
      <c r="K322">
        <v>3402.01</v>
      </c>
    </row>
    <row r="323" spans="1:11" x14ac:dyDescent="0.3">
      <c r="A323" t="s">
        <v>733</v>
      </c>
      <c r="B323" s="1">
        <v>45883</v>
      </c>
      <c r="C323" t="s">
        <v>734</v>
      </c>
      <c r="D323" t="s">
        <v>735</v>
      </c>
      <c r="E323" t="s">
        <v>14</v>
      </c>
      <c r="F323" t="s">
        <v>15</v>
      </c>
      <c r="G323" t="s">
        <v>16</v>
      </c>
      <c r="H323">
        <v>4</v>
      </c>
      <c r="I323">
        <v>72000</v>
      </c>
      <c r="J323">
        <v>0</v>
      </c>
      <c r="K323">
        <v>13582.67</v>
      </c>
    </row>
    <row r="324" spans="1:11" x14ac:dyDescent="0.3">
      <c r="A324" t="s">
        <v>736</v>
      </c>
      <c r="B324" s="1">
        <v>45971</v>
      </c>
      <c r="C324" t="s">
        <v>737</v>
      </c>
      <c r="D324" t="s">
        <v>738</v>
      </c>
      <c r="E324" t="s">
        <v>51</v>
      </c>
      <c r="F324" t="s">
        <v>15</v>
      </c>
      <c r="G324" t="s">
        <v>20</v>
      </c>
      <c r="H324">
        <v>7</v>
      </c>
      <c r="I324">
        <v>5670</v>
      </c>
      <c r="J324">
        <v>0.1</v>
      </c>
      <c r="K324">
        <v>1978.8</v>
      </c>
    </row>
    <row r="325" spans="1:11" x14ac:dyDescent="0.3">
      <c r="A325" t="s">
        <v>739</v>
      </c>
      <c r="B325" s="1">
        <v>45824</v>
      </c>
      <c r="C325" t="s">
        <v>175</v>
      </c>
      <c r="D325" t="s">
        <v>176</v>
      </c>
      <c r="E325" t="s">
        <v>180</v>
      </c>
      <c r="F325" t="s">
        <v>15</v>
      </c>
      <c r="G325" t="s">
        <v>43</v>
      </c>
      <c r="H325">
        <v>4</v>
      </c>
      <c r="I325">
        <v>10800</v>
      </c>
      <c r="J325">
        <v>0.1</v>
      </c>
      <c r="K325">
        <v>3818.8</v>
      </c>
    </row>
    <row r="326" spans="1:11" x14ac:dyDescent="0.3">
      <c r="A326" t="s">
        <v>740</v>
      </c>
      <c r="B326" s="1">
        <v>45893</v>
      </c>
      <c r="C326" t="s">
        <v>515</v>
      </c>
      <c r="D326" t="s">
        <v>516</v>
      </c>
      <c r="E326" t="s">
        <v>223</v>
      </c>
      <c r="F326" t="s">
        <v>57</v>
      </c>
      <c r="G326" t="s">
        <v>34</v>
      </c>
      <c r="H326">
        <v>6</v>
      </c>
      <c r="I326">
        <v>41160</v>
      </c>
      <c r="J326">
        <v>0.02</v>
      </c>
      <c r="K326">
        <v>9993.02</v>
      </c>
    </row>
    <row r="327" spans="1:11" x14ac:dyDescent="0.3">
      <c r="A327" t="s">
        <v>741</v>
      </c>
      <c r="B327" s="1">
        <v>45905</v>
      </c>
      <c r="C327" t="s">
        <v>190</v>
      </c>
      <c r="D327" t="s">
        <v>191</v>
      </c>
      <c r="E327" t="s">
        <v>56</v>
      </c>
      <c r="F327" t="s">
        <v>57</v>
      </c>
      <c r="G327" t="s">
        <v>16</v>
      </c>
      <c r="H327">
        <v>5</v>
      </c>
      <c r="I327">
        <v>27000</v>
      </c>
      <c r="J327">
        <v>0.1</v>
      </c>
      <c r="K327">
        <v>5780.34</v>
      </c>
    </row>
    <row r="328" spans="1:11" x14ac:dyDescent="0.3">
      <c r="A328" t="s">
        <v>742</v>
      </c>
      <c r="B328" s="1">
        <v>45810</v>
      </c>
      <c r="C328" t="s">
        <v>126</v>
      </c>
      <c r="D328" t="s">
        <v>127</v>
      </c>
      <c r="E328" t="s">
        <v>47</v>
      </c>
      <c r="F328" t="s">
        <v>15</v>
      </c>
      <c r="G328" t="s">
        <v>16</v>
      </c>
      <c r="H328">
        <v>5</v>
      </c>
      <c r="I328">
        <v>31850</v>
      </c>
      <c r="J328">
        <v>0.02</v>
      </c>
      <c r="K328">
        <v>6619.52</v>
      </c>
    </row>
    <row r="329" spans="1:11" x14ac:dyDescent="0.3">
      <c r="A329" t="s">
        <v>743</v>
      </c>
      <c r="B329" s="1">
        <v>45836</v>
      </c>
      <c r="C329" t="s">
        <v>744</v>
      </c>
      <c r="D329" t="s">
        <v>745</v>
      </c>
      <c r="E329" t="s">
        <v>80</v>
      </c>
      <c r="F329" t="s">
        <v>15</v>
      </c>
      <c r="G329" t="s">
        <v>34</v>
      </c>
      <c r="H329">
        <v>6</v>
      </c>
      <c r="I329">
        <v>19320</v>
      </c>
      <c r="J329">
        <v>0.08</v>
      </c>
      <c r="K329">
        <v>4912.26</v>
      </c>
    </row>
    <row r="330" spans="1:11" x14ac:dyDescent="0.3">
      <c r="A330" t="s">
        <v>746</v>
      </c>
      <c r="B330" s="1">
        <v>45834</v>
      </c>
      <c r="C330" t="s">
        <v>237</v>
      </c>
      <c r="D330" t="s">
        <v>238</v>
      </c>
      <c r="E330" t="s">
        <v>14</v>
      </c>
      <c r="F330" t="s">
        <v>15</v>
      </c>
      <c r="G330" t="s">
        <v>16</v>
      </c>
      <c r="H330">
        <v>7</v>
      </c>
      <c r="I330">
        <v>115920</v>
      </c>
      <c r="J330">
        <v>0.08</v>
      </c>
      <c r="K330">
        <v>23832.07</v>
      </c>
    </row>
    <row r="331" spans="1:11" x14ac:dyDescent="0.3">
      <c r="A331" t="s">
        <v>747</v>
      </c>
      <c r="B331" s="1">
        <v>45698</v>
      </c>
      <c r="C331" t="s">
        <v>638</v>
      </c>
      <c r="D331" t="s">
        <v>639</v>
      </c>
      <c r="E331" t="s">
        <v>42</v>
      </c>
      <c r="F331" t="s">
        <v>15</v>
      </c>
      <c r="G331" t="s">
        <v>43</v>
      </c>
      <c r="H331">
        <v>5</v>
      </c>
      <c r="I331">
        <v>102000</v>
      </c>
      <c r="J331">
        <v>0.15</v>
      </c>
      <c r="K331">
        <v>19697.95</v>
      </c>
    </row>
    <row r="332" spans="1:11" x14ac:dyDescent="0.3">
      <c r="A332" t="s">
        <v>748</v>
      </c>
      <c r="B332" s="1">
        <v>45761</v>
      </c>
      <c r="C332" t="s">
        <v>749</v>
      </c>
      <c r="D332" t="s">
        <v>750</v>
      </c>
      <c r="E332" t="s">
        <v>76</v>
      </c>
      <c r="F332" t="s">
        <v>25</v>
      </c>
      <c r="G332" t="s">
        <v>34</v>
      </c>
      <c r="H332">
        <v>8</v>
      </c>
      <c r="I332">
        <v>3920</v>
      </c>
      <c r="J332">
        <v>0.02</v>
      </c>
      <c r="K332">
        <v>1232.97</v>
      </c>
    </row>
    <row r="333" spans="1:11" x14ac:dyDescent="0.3">
      <c r="A333" t="s">
        <v>751</v>
      </c>
      <c r="B333" s="1">
        <v>45713</v>
      </c>
      <c r="C333" t="s">
        <v>752</v>
      </c>
      <c r="D333" t="s">
        <v>753</v>
      </c>
      <c r="E333" t="s">
        <v>47</v>
      </c>
      <c r="F333" t="s">
        <v>15</v>
      </c>
      <c r="G333" t="s">
        <v>26</v>
      </c>
      <c r="H333">
        <v>5</v>
      </c>
      <c r="I333">
        <v>31850</v>
      </c>
      <c r="J333">
        <v>0.02</v>
      </c>
      <c r="K333">
        <v>6457.8</v>
      </c>
    </row>
    <row r="334" spans="1:11" x14ac:dyDescent="0.3">
      <c r="A334" t="s">
        <v>754</v>
      </c>
      <c r="B334" s="1">
        <v>45929</v>
      </c>
      <c r="C334" t="s">
        <v>104</v>
      </c>
      <c r="D334" t="s">
        <v>105</v>
      </c>
      <c r="E334" t="s">
        <v>24</v>
      </c>
      <c r="F334" t="s">
        <v>25</v>
      </c>
      <c r="G334" t="s">
        <v>16</v>
      </c>
      <c r="H334">
        <v>1</v>
      </c>
      <c r="I334">
        <v>10200</v>
      </c>
      <c r="J334">
        <v>0.15</v>
      </c>
      <c r="K334">
        <v>1921.52</v>
      </c>
    </row>
    <row r="335" spans="1:11" x14ac:dyDescent="0.3">
      <c r="A335" t="s">
        <v>755</v>
      </c>
      <c r="B335" s="1">
        <v>45899</v>
      </c>
      <c r="C335" t="s">
        <v>296</v>
      </c>
      <c r="D335" t="s">
        <v>297</v>
      </c>
      <c r="E335" t="s">
        <v>14</v>
      </c>
      <c r="F335" t="s">
        <v>15</v>
      </c>
      <c r="G335" t="s">
        <v>16</v>
      </c>
      <c r="H335">
        <v>7</v>
      </c>
      <c r="I335">
        <v>119700</v>
      </c>
      <c r="J335">
        <v>0.05</v>
      </c>
      <c r="K335">
        <v>21402.89</v>
      </c>
    </row>
    <row r="336" spans="1:11" x14ac:dyDescent="0.3">
      <c r="A336" t="s">
        <v>756</v>
      </c>
      <c r="B336" s="1">
        <v>45992</v>
      </c>
      <c r="C336" t="s">
        <v>548</v>
      </c>
      <c r="D336" t="s">
        <v>549</v>
      </c>
      <c r="E336" t="s">
        <v>47</v>
      </c>
      <c r="F336" t="s">
        <v>15</v>
      </c>
      <c r="G336" t="s">
        <v>43</v>
      </c>
      <c r="H336">
        <v>3</v>
      </c>
      <c r="I336">
        <v>17940</v>
      </c>
      <c r="J336">
        <v>0.08</v>
      </c>
      <c r="K336">
        <v>3781.46</v>
      </c>
    </row>
    <row r="337" spans="1:11" x14ac:dyDescent="0.3">
      <c r="A337" t="s">
        <v>757</v>
      </c>
      <c r="B337" s="1">
        <v>45804</v>
      </c>
      <c r="C337" t="s">
        <v>153</v>
      </c>
      <c r="D337" t="s">
        <v>154</v>
      </c>
      <c r="E337" t="s">
        <v>51</v>
      </c>
      <c r="F337" t="s">
        <v>15</v>
      </c>
      <c r="G337" t="s">
        <v>20</v>
      </c>
      <c r="H337">
        <v>5</v>
      </c>
      <c r="I337">
        <v>4275</v>
      </c>
      <c r="J337">
        <v>0.05</v>
      </c>
      <c r="K337">
        <v>1441.27</v>
      </c>
    </row>
    <row r="338" spans="1:11" x14ac:dyDescent="0.3">
      <c r="A338" t="s">
        <v>758</v>
      </c>
      <c r="B338" s="1">
        <v>45677</v>
      </c>
      <c r="C338" t="s">
        <v>433</v>
      </c>
      <c r="D338" t="s">
        <v>434</v>
      </c>
      <c r="E338" t="s">
        <v>160</v>
      </c>
      <c r="F338" t="s">
        <v>25</v>
      </c>
      <c r="G338" t="s">
        <v>16</v>
      </c>
      <c r="H338">
        <v>4</v>
      </c>
      <c r="I338">
        <v>2520</v>
      </c>
      <c r="J338">
        <v>0.1</v>
      </c>
      <c r="K338">
        <v>828.18</v>
      </c>
    </row>
    <row r="339" spans="1:11" x14ac:dyDescent="0.3">
      <c r="A339" t="s">
        <v>759</v>
      </c>
      <c r="B339" s="1">
        <v>45861</v>
      </c>
      <c r="C339" t="s">
        <v>407</v>
      </c>
      <c r="D339" t="s">
        <v>408</v>
      </c>
      <c r="E339" t="s">
        <v>33</v>
      </c>
      <c r="F339" t="s">
        <v>15</v>
      </c>
      <c r="G339" t="s">
        <v>16</v>
      </c>
      <c r="H339">
        <v>1</v>
      </c>
      <c r="I339">
        <v>1440</v>
      </c>
      <c r="J339">
        <v>0.2</v>
      </c>
      <c r="K339">
        <v>477.64</v>
      </c>
    </row>
    <row r="340" spans="1:11" x14ac:dyDescent="0.3">
      <c r="A340" t="s">
        <v>760</v>
      </c>
      <c r="B340" s="1">
        <v>45810</v>
      </c>
      <c r="C340" t="s">
        <v>761</v>
      </c>
      <c r="D340" t="s">
        <v>762</v>
      </c>
      <c r="E340" t="s">
        <v>115</v>
      </c>
      <c r="F340" t="s">
        <v>25</v>
      </c>
      <c r="G340" t="s">
        <v>20</v>
      </c>
      <c r="H340">
        <v>1</v>
      </c>
      <c r="I340">
        <v>300</v>
      </c>
      <c r="J340">
        <v>0</v>
      </c>
      <c r="K340">
        <v>101.09</v>
      </c>
    </row>
    <row r="341" spans="1:11" x14ac:dyDescent="0.3">
      <c r="A341" t="s">
        <v>763</v>
      </c>
      <c r="B341" s="1">
        <v>45986</v>
      </c>
      <c r="C341" t="s">
        <v>764</v>
      </c>
      <c r="D341" t="s">
        <v>765</v>
      </c>
      <c r="E341" t="s">
        <v>64</v>
      </c>
      <c r="F341" t="s">
        <v>57</v>
      </c>
      <c r="G341" t="s">
        <v>43</v>
      </c>
      <c r="H341">
        <v>5</v>
      </c>
      <c r="I341">
        <v>36800</v>
      </c>
      <c r="J341">
        <v>0.08</v>
      </c>
      <c r="K341">
        <v>8162.35</v>
      </c>
    </row>
    <row r="342" spans="1:11" x14ac:dyDescent="0.3">
      <c r="A342" t="s">
        <v>766</v>
      </c>
      <c r="B342" s="1">
        <v>45756</v>
      </c>
      <c r="C342" t="s">
        <v>660</v>
      </c>
      <c r="D342" t="s">
        <v>661</v>
      </c>
      <c r="E342" t="s">
        <v>180</v>
      </c>
      <c r="F342" t="s">
        <v>15</v>
      </c>
      <c r="G342" t="s">
        <v>34</v>
      </c>
      <c r="H342">
        <v>8</v>
      </c>
      <c r="I342">
        <v>22800</v>
      </c>
      <c r="J342">
        <v>0.05</v>
      </c>
      <c r="K342">
        <v>7895.28</v>
      </c>
    </row>
    <row r="343" spans="1:11" x14ac:dyDescent="0.3">
      <c r="A343" t="s">
        <v>767</v>
      </c>
      <c r="B343" s="1">
        <v>45753</v>
      </c>
      <c r="C343" t="s">
        <v>54</v>
      </c>
      <c r="D343" t="s">
        <v>55</v>
      </c>
      <c r="E343" t="s">
        <v>71</v>
      </c>
      <c r="F343" t="s">
        <v>72</v>
      </c>
      <c r="G343" t="s">
        <v>34</v>
      </c>
      <c r="H343">
        <v>5</v>
      </c>
      <c r="I343">
        <v>9350</v>
      </c>
      <c r="J343">
        <v>0.15</v>
      </c>
      <c r="K343">
        <v>2571.64</v>
      </c>
    </row>
    <row r="344" spans="1:11" x14ac:dyDescent="0.3">
      <c r="A344" t="s">
        <v>768</v>
      </c>
      <c r="B344" s="1">
        <v>45970</v>
      </c>
      <c r="C344" t="s">
        <v>769</v>
      </c>
      <c r="D344" t="s">
        <v>770</v>
      </c>
      <c r="E344" t="s">
        <v>115</v>
      </c>
      <c r="F344" t="s">
        <v>25</v>
      </c>
      <c r="G344" t="s">
        <v>43</v>
      </c>
      <c r="H344">
        <v>4</v>
      </c>
      <c r="I344">
        <v>1176</v>
      </c>
      <c r="J344">
        <v>0.02</v>
      </c>
      <c r="K344">
        <v>412.79</v>
      </c>
    </row>
    <row r="345" spans="1:11" x14ac:dyDescent="0.3">
      <c r="A345" t="s">
        <v>771</v>
      </c>
      <c r="B345" s="1">
        <v>45863</v>
      </c>
      <c r="C345" t="s">
        <v>721</v>
      </c>
      <c r="D345" t="s">
        <v>722</v>
      </c>
      <c r="E345" t="s">
        <v>200</v>
      </c>
      <c r="F345" t="s">
        <v>57</v>
      </c>
      <c r="G345" t="s">
        <v>16</v>
      </c>
      <c r="H345">
        <v>6</v>
      </c>
      <c r="I345">
        <v>10800</v>
      </c>
      <c r="J345">
        <v>0</v>
      </c>
      <c r="K345">
        <v>3081.24</v>
      </c>
    </row>
    <row r="346" spans="1:11" x14ac:dyDescent="0.3">
      <c r="A346" t="s">
        <v>772</v>
      </c>
      <c r="B346" s="1">
        <v>45661</v>
      </c>
      <c r="C346" t="s">
        <v>773</v>
      </c>
      <c r="D346" t="s">
        <v>774</v>
      </c>
      <c r="E346" t="s">
        <v>80</v>
      </c>
      <c r="F346" t="s">
        <v>15</v>
      </c>
      <c r="G346" t="s">
        <v>16</v>
      </c>
      <c r="H346">
        <v>6</v>
      </c>
      <c r="I346">
        <v>20580</v>
      </c>
      <c r="J346">
        <v>0.02</v>
      </c>
      <c r="K346">
        <v>5058.32</v>
      </c>
    </row>
    <row r="347" spans="1:11" x14ac:dyDescent="0.3">
      <c r="A347" t="s">
        <v>775</v>
      </c>
      <c r="B347" s="1">
        <v>45956</v>
      </c>
      <c r="C347" t="s">
        <v>334</v>
      </c>
      <c r="D347" t="s">
        <v>335</v>
      </c>
      <c r="E347" t="s">
        <v>76</v>
      </c>
      <c r="F347" t="s">
        <v>25</v>
      </c>
      <c r="G347" t="s">
        <v>20</v>
      </c>
      <c r="H347">
        <v>6</v>
      </c>
      <c r="I347">
        <v>2850</v>
      </c>
      <c r="J347">
        <v>0.05</v>
      </c>
      <c r="K347">
        <v>875.85</v>
      </c>
    </row>
    <row r="348" spans="1:11" x14ac:dyDescent="0.3">
      <c r="A348" t="s">
        <v>776</v>
      </c>
      <c r="B348" s="1">
        <v>45999</v>
      </c>
      <c r="C348" t="s">
        <v>777</v>
      </c>
      <c r="D348" t="s">
        <v>778</v>
      </c>
      <c r="E348" t="s">
        <v>56</v>
      </c>
      <c r="F348" t="s">
        <v>57</v>
      </c>
      <c r="G348" t="s">
        <v>34</v>
      </c>
      <c r="H348">
        <v>4</v>
      </c>
      <c r="I348">
        <v>24000</v>
      </c>
      <c r="J348">
        <v>0</v>
      </c>
      <c r="K348">
        <v>5257.93</v>
      </c>
    </row>
    <row r="349" spans="1:11" x14ac:dyDescent="0.3">
      <c r="A349" t="s">
        <v>779</v>
      </c>
      <c r="B349" s="1">
        <v>45718</v>
      </c>
      <c r="C349" t="s">
        <v>369</v>
      </c>
      <c r="D349" t="s">
        <v>370</v>
      </c>
      <c r="E349" t="s">
        <v>223</v>
      </c>
      <c r="F349" t="s">
        <v>57</v>
      </c>
      <c r="G349" t="s">
        <v>34</v>
      </c>
      <c r="H349">
        <v>5</v>
      </c>
      <c r="I349">
        <v>29750</v>
      </c>
      <c r="J349">
        <v>0.15</v>
      </c>
      <c r="K349">
        <v>6677.55</v>
      </c>
    </row>
    <row r="350" spans="1:11" x14ac:dyDescent="0.3">
      <c r="A350" t="s">
        <v>780</v>
      </c>
      <c r="B350" s="1">
        <v>45726</v>
      </c>
      <c r="C350" t="s">
        <v>781</v>
      </c>
      <c r="D350" t="s">
        <v>782</v>
      </c>
      <c r="E350" t="s">
        <v>158</v>
      </c>
      <c r="F350" t="s">
        <v>25</v>
      </c>
      <c r="G350" t="s">
        <v>43</v>
      </c>
      <c r="H350">
        <v>4</v>
      </c>
      <c r="I350">
        <v>3136</v>
      </c>
      <c r="J350">
        <v>0.02</v>
      </c>
      <c r="K350">
        <v>971.51</v>
      </c>
    </row>
    <row r="351" spans="1:11" x14ac:dyDescent="0.3">
      <c r="A351" t="s">
        <v>783</v>
      </c>
      <c r="B351" s="1">
        <v>46017</v>
      </c>
      <c r="C351" t="s">
        <v>565</v>
      </c>
      <c r="D351" t="s">
        <v>566</v>
      </c>
      <c r="E351" t="s">
        <v>158</v>
      </c>
      <c r="F351" t="s">
        <v>25</v>
      </c>
      <c r="G351" t="s">
        <v>43</v>
      </c>
      <c r="H351">
        <v>6</v>
      </c>
      <c r="I351">
        <v>4416</v>
      </c>
      <c r="J351">
        <v>0.08</v>
      </c>
      <c r="K351">
        <v>1361.82</v>
      </c>
    </row>
    <row r="352" spans="1:11" x14ac:dyDescent="0.3">
      <c r="A352" t="s">
        <v>784</v>
      </c>
      <c r="B352" s="1">
        <v>45784</v>
      </c>
      <c r="C352" t="s">
        <v>299</v>
      </c>
      <c r="D352" t="s">
        <v>300</v>
      </c>
      <c r="E352" t="s">
        <v>47</v>
      </c>
      <c r="F352" t="s">
        <v>15</v>
      </c>
      <c r="G352" t="s">
        <v>26</v>
      </c>
      <c r="H352">
        <v>4</v>
      </c>
      <c r="I352">
        <v>20800</v>
      </c>
      <c r="J352">
        <v>0.2</v>
      </c>
      <c r="K352">
        <v>4050.04</v>
      </c>
    </row>
    <row r="353" spans="1:11" x14ac:dyDescent="0.3">
      <c r="A353" t="s">
        <v>785</v>
      </c>
      <c r="B353" s="1">
        <v>46018</v>
      </c>
      <c r="C353" t="s">
        <v>427</v>
      </c>
      <c r="D353" t="s">
        <v>428</v>
      </c>
      <c r="E353" t="s">
        <v>38</v>
      </c>
      <c r="F353" t="s">
        <v>15</v>
      </c>
      <c r="G353" t="s">
        <v>26</v>
      </c>
      <c r="H353">
        <v>8</v>
      </c>
      <c r="I353">
        <v>201600</v>
      </c>
      <c r="J353">
        <v>0.1</v>
      </c>
      <c r="K353">
        <v>30703.88</v>
      </c>
    </row>
    <row r="354" spans="1:11" x14ac:dyDescent="0.3">
      <c r="A354" t="s">
        <v>786</v>
      </c>
      <c r="B354" s="1">
        <v>45932</v>
      </c>
      <c r="C354" t="s">
        <v>511</v>
      </c>
      <c r="D354" t="s">
        <v>512</v>
      </c>
      <c r="E354" t="s">
        <v>42</v>
      </c>
      <c r="F354" t="s">
        <v>15</v>
      </c>
      <c r="G354" t="s">
        <v>34</v>
      </c>
      <c r="H354">
        <v>4</v>
      </c>
      <c r="I354">
        <v>86400</v>
      </c>
      <c r="J354">
        <v>0.1</v>
      </c>
      <c r="K354">
        <v>16379.53</v>
      </c>
    </row>
    <row r="355" spans="1:11" x14ac:dyDescent="0.3">
      <c r="A355" t="s">
        <v>787</v>
      </c>
      <c r="B355" s="1">
        <v>46006</v>
      </c>
      <c r="C355" t="s">
        <v>788</v>
      </c>
      <c r="D355" t="s">
        <v>789</v>
      </c>
      <c r="E355" t="s">
        <v>87</v>
      </c>
      <c r="F355" t="s">
        <v>15</v>
      </c>
      <c r="G355" t="s">
        <v>26</v>
      </c>
      <c r="H355">
        <v>8</v>
      </c>
      <c r="I355">
        <v>9600</v>
      </c>
      <c r="J355">
        <v>0</v>
      </c>
      <c r="K355">
        <v>2668.02</v>
      </c>
    </row>
    <row r="356" spans="1:11" x14ac:dyDescent="0.3">
      <c r="A356" t="s">
        <v>790</v>
      </c>
      <c r="B356" s="1">
        <v>45686</v>
      </c>
      <c r="C356" t="s">
        <v>331</v>
      </c>
      <c r="D356" t="s">
        <v>332</v>
      </c>
      <c r="E356" t="s">
        <v>38</v>
      </c>
      <c r="F356" t="s">
        <v>15</v>
      </c>
      <c r="G356" t="s">
        <v>26</v>
      </c>
      <c r="H356">
        <v>8</v>
      </c>
      <c r="I356">
        <v>179200</v>
      </c>
      <c r="J356">
        <v>0.2</v>
      </c>
      <c r="K356">
        <v>26731.77</v>
      </c>
    </row>
    <row r="357" spans="1:11" x14ac:dyDescent="0.3">
      <c r="A357" t="s">
        <v>791</v>
      </c>
      <c r="B357" s="1">
        <v>45894</v>
      </c>
      <c r="C357" t="s">
        <v>407</v>
      </c>
      <c r="D357" t="s">
        <v>408</v>
      </c>
      <c r="E357" t="s">
        <v>71</v>
      </c>
      <c r="F357" t="s">
        <v>72</v>
      </c>
      <c r="G357" t="s">
        <v>34</v>
      </c>
      <c r="H357">
        <v>1</v>
      </c>
      <c r="I357">
        <v>1980</v>
      </c>
      <c r="J357">
        <v>0.1</v>
      </c>
      <c r="K357">
        <v>631.85</v>
      </c>
    </row>
    <row r="358" spans="1:11" x14ac:dyDescent="0.3">
      <c r="A358" t="s">
        <v>792</v>
      </c>
      <c r="B358" s="1">
        <v>45659</v>
      </c>
      <c r="C358" t="s">
        <v>793</v>
      </c>
      <c r="D358" t="s">
        <v>794</v>
      </c>
      <c r="E358" t="s">
        <v>210</v>
      </c>
      <c r="F358" t="s">
        <v>15</v>
      </c>
      <c r="G358" t="s">
        <v>26</v>
      </c>
      <c r="H358">
        <v>7</v>
      </c>
      <c r="I358">
        <v>365750</v>
      </c>
      <c r="J358">
        <v>0.05</v>
      </c>
      <c r="K358">
        <v>61540.21</v>
      </c>
    </row>
    <row r="359" spans="1:11" x14ac:dyDescent="0.3">
      <c r="A359" t="s">
        <v>795</v>
      </c>
      <c r="B359" s="1">
        <v>46016</v>
      </c>
      <c r="C359" t="s">
        <v>169</v>
      </c>
      <c r="D359" t="s">
        <v>170</v>
      </c>
      <c r="E359" t="s">
        <v>42</v>
      </c>
      <c r="F359" t="s">
        <v>15</v>
      </c>
      <c r="G359" t="s">
        <v>20</v>
      </c>
      <c r="H359">
        <v>7</v>
      </c>
      <c r="I359">
        <v>159600</v>
      </c>
      <c r="J359">
        <v>0.05</v>
      </c>
      <c r="K359">
        <v>30369.56</v>
      </c>
    </row>
    <row r="360" spans="1:11" x14ac:dyDescent="0.3">
      <c r="A360" t="s">
        <v>796</v>
      </c>
      <c r="B360" s="1">
        <v>45804</v>
      </c>
      <c r="C360" t="s">
        <v>761</v>
      </c>
      <c r="D360" t="s">
        <v>762</v>
      </c>
      <c r="E360" t="s">
        <v>38</v>
      </c>
      <c r="F360" t="s">
        <v>15</v>
      </c>
      <c r="G360" t="s">
        <v>16</v>
      </c>
      <c r="H360">
        <v>8</v>
      </c>
      <c r="I360">
        <v>224000</v>
      </c>
      <c r="J360">
        <v>0</v>
      </c>
      <c r="K360">
        <v>35475.07</v>
      </c>
    </row>
    <row r="361" spans="1:11" x14ac:dyDescent="0.3">
      <c r="A361" t="s">
        <v>797</v>
      </c>
      <c r="B361" s="1">
        <v>45887</v>
      </c>
      <c r="C361" t="s">
        <v>305</v>
      </c>
      <c r="D361" t="s">
        <v>306</v>
      </c>
      <c r="E361" t="s">
        <v>200</v>
      </c>
      <c r="F361" t="s">
        <v>57</v>
      </c>
      <c r="G361" t="s">
        <v>43</v>
      </c>
      <c r="H361">
        <v>6</v>
      </c>
      <c r="I361">
        <v>9936</v>
      </c>
      <c r="J361">
        <v>0.08</v>
      </c>
      <c r="K361">
        <v>2877.42</v>
      </c>
    </row>
    <row r="362" spans="1:11" x14ac:dyDescent="0.3">
      <c r="A362" t="s">
        <v>798</v>
      </c>
      <c r="B362" s="1">
        <v>45836</v>
      </c>
      <c r="C362" t="s">
        <v>799</v>
      </c>
      <c r="D362" t="s">
        <v>800</v>
      </c>
      <c r="E362" t="s">
        <v>38</v>
      </c>
      <c r="F362" t="s">
        <v>15</v>
      </c>
      <c r="G362" t="s">
        <v>26</v>
      </c>
      <c r="H362">
        <v>3</v>
      </c>
      <c r="I362">
        <v>71400</v>
      </c>
      <c r="J362">
        <v>0.15</v>
      </c>
      <c r="K362">
        <v>10145</v>
      </c>
    </row>
    <row r="363" spans="1:11" x14ac:dyDescent="0.3">
      <c r="A363" t="s">
        <v>801</v>
      </c>
      <c r="B363" s="1">
        <v>45772</v>
      </c>
      <c r="C363" t="s">
        <v>802</v>
      </c>
      <c r="D363" t="s">
        <v>803</v>
      </c>
      <c r="E363" t="s">
        <v>87</v>
      </c>
      <c r="F363" t="s">
        <v>15</v>
      </c>
      <c r="G363" t="s">
        <v>20</v>
      </c>
      <c r="H363">
        <v>3</v>
      </c>
      <c r="I363">
        <v>3060</v>
      </c>
      <c r="J363">
        <v>0.15</v>
      </c>
      <c r="K363">
        <v>909.38</v>
      </c>
    </row>
    <row r="364" spans="1:11" x14ac:dyDescent="0.3">
      <c r="A364" t="s">
        <v>804</v>
      </c>
      <c r="B364" s="1">
        <v>45852</v>
      </c>
      <c r="C364" t="s">
        <v>363</v>
      </c>
      <c r="D364" t="s">
        <v>364</v>
      </c>
      <c r="E364" t="s">
        <v>71</v>
      </c>
      <c r="F364" t="s">
        <v>72</v>
      </c>
      <c r="G364" t="s">
        <v>16</v>
      </c>
      <c r="H364">
        <v>7</v>
      </c>
      <c r="I364">
        <v>13860</v>
      </c>
      <c r="J364">
        <v>0.1</v>
      </c>
      <c r="K364">
        <v>4541.01</v>
      </c>
    </row>
    <row r="365" spans="1:11" x14ac:dyDescent="0.3">
      <c r="A365" t="s">
        <v>805</v>
      </c>
      <c r="B365" s="1">
        <v>45754</v>
      </c>
      <c r="C365" t="s">
        <v>806</v>
      </c>
      <c r="D365" t="s">
        <v>807</v>
      </c>
      <c r="E365" t="s">
        <v>56</v>
      </c>
      <c r="F365" t="s">
        <v>57</v>
      </c>
      <c r="G365" t="s">
        <v>20</v>
      </c>
      <c r="H365">
        <v>3</v>
      </c>
      <c r="I365">
        <v>17100</v>
      </c>
      <c r="J365">
        <v>0.05</v>
      </c>
      <c r="K365">
        <v>4231.4399999999996</v>
      </c>
    </row>
    <row r="366" spans="1:11" x14ac:dyDescent="0.3">
      <c r="A366" t="s">
        <v>808</v>
      </c>
      <c r="B366" s="1">
        <v>45763</v>
      </c>
      <c r="C366" t="s">
        <v>470</v>
      </c>
      <c r="D366" t="s">
        <v>471</v>
      </c>
      <c r="E366" t="s">
        <v>200</v>
      </c>
      <c r="F366" t="s">
        <v>57</v>
      </c>
      <c r="G366" t="s">
        <v>26</v>
      </c>
      <c r="H366">
        <v>1</v>
      </c>
      <c r="I366">
        <v>1764</v>
      </c>
      <c r="J366">
        <v>0.02</v>
      </c>
      <c r="K366">
        <v>452.88</v>
      </c>
    </row>
    <row r="367" spans="1:11" x14ac:dyDescent="0.3">
      <c r="A367" t="s">
        <v>809</v>
      </c>
      <c r="B367" s="1">
        <v>45680</v>
      </c>
      <c r="C367" t="s">
        <v>470</v>
      </c>
      <c r="D367" t="s">
        <v>471</v>
      </c>
      <c r="E367" t="s">
        <v>71</v>
      </c>
      <c r="F367" t="s">
        <v>72</v>
      </c>
      <c r="G367" t="s">
        <v>16</v>
      </c>
      <c r="H367">
        <v>1</v>
      </c>
      <c r="I367">
        <v>2156</v>
      </c>
      <c r="J367">
        <v>0.02</v>
      </c>
      <c r="K367">
        <v>671.55</v>
      </c>
    </row>
    <row r="368" spans="1:11" x14ac:dyDescent="0.3">
      <c r="A368" t="s">
        <v>810</v>
      </c>
      <c r="B368" s="1">
        <v>45915</v>
      </c>
      <c r="C368" t="s">
        <v>811</v>
      </c>
      <c r="D368" t="s">
        <v>812</v>
      </c>
      <c r="E368" t="s">
        <v>51</v>
      </c>
      <c r="F368" t="s">
        <v>15</v>
      </c>
      <c r="G368" t="s">
        <v>16</v>
      </c>
      <c r="H368">
        <v>1</v>
      </c>
      <c r="I368">
        <v>882</v>
      </c>
      <c r="J368">
        <v>0.02</v>
      </c>
      <c r="K368">
        <v>316.19</v>
      </c>
    </row>
    <row r="369" spans="1:11" x14ac:dyDescent="0.3">
      <c r="A369" t="s">
        <v>813</v>
      </c>
      <c r="B369" s="1">
        <v>45964</v>
      </c>
      <c r="C369" t="s">
        <v>107</v>
      </c>
      <c r="D369" t="s">
        <v>108</v>
      </c>
      <c r="E369" t="s">
        <v>160</v>
      </c>
      <c r="F369" t="s">
        <v>25</v>
      </c>
      <c r="G369" t="s">
        <v>34</v>
      </c>
      <c r="H369">
        <v>6</v>
      </c>
      <c r="I369">
        <v>3780</v>
      </c>
      <c r="J369">
        <v>0.1</v>
      </c>
      <c r="K369">
        <v>1212.56</v>
      </c>
    </row>
    <row r="370" spans="1:11" x14ac:dyDescent="0.3">
      <c r="A370" t="s">
        <v>814</v>
      </c>
      <c r="B370" s="1">
        <v>45924</v>
      </c>
      <c r="C370" t="s">
        <v>439</v>
      </c>
      <c r="D370" t="s">
        <v>440</v>
      </c>
      <c r="E370" t="s">
        <v>115</v>
      </c>
      <c r="F370" t="s">
        <v>25</v>
      </c>
      <c r="G370" t="s">
        <v>34</v>
      </c>
      <c r="H370">
        <v>3</v>
      </c>
      <c r="I370">
        <v>765</v>
      </c>
      <c r="J370">
        <v>0.15</v>
      </c>
      <c r="K370">
        <v>230.36</v>
      </c>
    </row>
    <row r="371" spans="1:11" x14ac:dyDescent="0.3">
      <c r="A371" t="s">
        <v>815</v>
      </c>
      <c r="B371" s="1">
        <v>46005</v>
      </c>
      <c r="C371" t="s">
        <v>463</v>
      </c>
      <c r="D371" t="s">
        <v>464</v>
      </c>
      <c r="E371" t="s">
        <v>42</v>
      </c>
      <c r="F371" t="s">
        <v>15</v>
      </c>
      <c r="G371" t="s">
        <v>43</v>
      </c>
      <c r="H371">
        <v>3</v>
      </c>
      <c r="I371">
        <v>61200</v>
      </c>
      <c r="J371">
        <v>0.15</v>
      </c>
      <c r="K371">
        <v>12012.78</v>
      </c>
    </row>
    <row r="372" spans="1:11" x14ac:dyDescent="0.3">
      <c r="A372" t="s">
        <v>816</v>
      </c>
      <c r="B372" s="1">
        <v>45926</v>
      </c>
      <c r="C372" t="s">
        <v>634</v>
      </c>
      <c r="D372" t="s">
        <v>635</v>
      </c>
      <c r="E372" t="s">
        <v>56</v>
      </c>
      <c r="F372" t="s">
        <v>57</v>
      </c>
      <c r="G372" t="s">
        <v>43</v>
      </c>
      <c r="H372">
        <v>7</v>
      </c>
      <c r="I372">
        <v>33600</v>
      </c>
      <c r="J372">
        <v>0.2</v>
      </c>
      <c r="K372">
        <v>7065.78</v>
      </c>
    </row>
    <row r="373" spans="1:11" x14ac:dyDescent="0.3">
      <c r="A373" t="s">
        <v>817</v>
      </c>
      <c r="B373" s="1">
        <v>45752</v>
      </c>
      <c r="C373" t="s">
        <v>430</v>
      </c>
      <c r="D373" t="s">
        <v>431</v>
      </c>
      <c r="E373" t="s">
        <v>180</v>
      </c>
      <c r="F373" t="s">
        <v>15</v>
      </c>
      <c r="G373" t="s">
        <v>43</v>
      </c>
      <c r="H373">
        <v>5</v>
      </c>
      <c r="I373">
        <v>13800</v>
      </c>
      <c r="J373">
        <v>0.08</v>
      </c>
      <c r="K373">
        <v>4703.53</v>
      </c>
    </row>
    <row r="374" spans="1:11" x14ac:dyDescent="0.3">
      <c r="A374" t="s">
        <v>818</v>
      </c>
      <c r="B374" s="1">
        <v>46020</v>
      </c>
      <c r="C374" t="s">
        <v>104</v>
      </c>
      <c r="D374" t="s">
        <v>105</v>
      </c>
      <c r="E374" t="s">
        <v>24</v>
      </c>
      <c r="F374" t="s">
        <v>25</v>
      </c>
      <c r="G374" t="s">
        <v>43</v>
      </c>
      <c r="H374">
        <v>5</v>
      </c>
      <c r="I374">
        <v>48000</v>
      </c>
      <c r="J374">
        <v>0.2</v>
      </c>
      <c r="K374">
        <v>8663.7000000000007</v>
      </c>
    </row>
    <row r="375" spans="1:11" x14ac:dyDescent="0.3">
      <c r="A375" t="s">
        <v>819</v>
      </c>
      <c r="B375" s="1">
        <v>45943</v>
      </c>
      <c r="C375" t="s">
        <v>629</v>
      </c>
      <c r="D375" t="s">
        <v>630</v>
      </c>
      <c r="E375" t="s">
        <v>42</v>
      </c>
      <c r="F375" t="s">
        <v>15</v>
      </c>
      <c r="G375" t="s">
        <v>43</v>
      </c>
      <c r="H375">
        <v>7</v>
      </c>
      <c r="I375">
        <v>154560</v>
      </c>
      <c r="J375">
        <v>0.08</v>
      </c>
      <c r="K375">
        <v>31667.95</v>
      </c>
    </row>
    <row r="376" spans="1:11" x14ac:dyDescent="0.3">
      <c r="A376" t="s">
        <v>820</v>
      </c>
      <c r="B376" s="1">
        <v>45989</v>
      </c>
      <c r="C376" t="s">
        <v>247</v>
      </c>
      <c r="D376" t="s">
        <v>248</v>
      </c>
      <c r="E376" t="s">
        <v>76</v>
      </c>
      <c r="F376" t="s">
        <v>25</v>
      </c>
      <c r="G376" t="s">
        <v>43</v>
      </c>
      <c r="H376">
        <v>4</v>
      </c>
      <c r="I376">
        <v>1900</v>
      </c>
      <c r="J376">
        <v>0.05</v>
      </c>
      <c r="K376">
        <v>522.09</v>
      </c>
    </row>
    <row r="377" spans="1:11" x14ac:dyDescent="0.3">
      <c r="A377" t="s">
        <v>821</v>
      </c>
      <c r="B377" s="1">
        <v>45755</v>
      </c>
      <c r="C377" t="s">
        <v>459</v>
      </c>
      <c r="D377" t="s">
        <v>460</v>
      </c>
      <c r="E377" t="s">
        <v>56</v>
      </c>
      <c r="F377" t="s">
        <v>57</v>
      </c>
      <c r="G377" t="s">
        <v>43</v>
      </c>
      <c r="H377">
        <v>2</v>
      </c>
      <c r="I377">
        <v>10800</v>
      </c>
      <c r="J377">
        <v>0.1</v>
      </c>
      <c r="K377">
        <v>2249.09</v>
      </c>
    </row>
    <row r="378" spans="1:11" x14ac:dyDescent="0.3">
      <c r="A378" t="s">
        <v>822</v>
      </c>
      <c r="B378" s="1">
        <v>45695</v>
      </c>
      <c r="C378" t="s">
        <v>133</v>
      </c>
      <c r="D378" t="s">
        <v>134</v>
      </c>
      <c r="E378" t="s">
        <v>158</v>
      </c>
      <c r="F378" t="s">
        <v>25</v>
      </c>
      <c r="G378" t="s">
        <v>26</v>
      </c>
      <c r="H378">
        <v>1</v>
      </c>
      <c r="I378">
        <v>640</v>
      </c>
      <c r="J378">
        <v>0.2</v>
      </c>
      <c r="K378">
        <v>175.03</v>
      </c>
    </row>
    <row r="379" spans="1:11" x14ac:dyDescent="0.3">
      <c r="A379" t="s">
        <v>823</v>
      </c>
      <c r="B379" s="1">
        <v>45764</v>
      </c>
      <c r="C379" t="s">
        <v>793</v>
      </c>
      <c r="D379" t="s">
        <v>794</v>
      </c>
      <c r="E379" t="s">
        <v>47</v>
      </c>
      <c r="F379" t="s">
        <v>15</v>
      </c>
      <c r="G379" t="s">
        <v>34</v>
      </c>
      <c r="H379">
        <v>4</v>
      </c>
      <c r="I379">
        <v>23920</v>
      </c>
      <c r="J379">
        <v>0.08</v>
      </c>
      <c r="K379">
        <v>4987.3999999999996</v>
      </c>
    </row>
    <row r="380" spans="1:11" x14ac:dyDescent="0.3">
      <c r="A380" t="s">
        <v>824</v>
      </c>
      <c r="B380" s="1">
        <v>45718</v>
      </c>
      <c r="C380" t="s">
        <v>489</v>
      </c>
      <c r="D380" t="s">
        <v>490</v>
      </c>
      <c r="E380" t="s">
        <v>210</v>
      </c>
      <c r="F380" t="s">
        <v>15</v>
      </c>
      <c r="G380" t="s">
        <v>43</v>
      </c>
      <c r="H380">
        <v>4</v>
      </c>
      <c r="I380">
        <v>215600</v>
      </c>
      <c r="J380">
        <v>0.02</v>
      </c>
      <c r="K380">
        <v>36522.019999999997</v>
      </c>
    </row>
    <row r="381" spans="1:11" x14ac:dyDescent="0.3">
      <c r="A381" t="s">
        <v>825</v>
      </c>
      <c r="B381" s="1">
        <v>45780</v>
      </c>
      <c r="C381" t="s">
        <v>629</v>
      </c>
      <c r="D381" t="s">
        <v>630</v>
      </c>
      <c r="E381" t="s">
        <v>24</v>
      </c>
      <c r="F381" t="s">
        <v>25</v>
      </c>
      <c r="G381" t="s">
        <v>34</v>
      </c>
      <c r="H381">
        <v>4</v>
      </c>
      <c r="I381">
        <v>44160</v>
      </c>
      <c r="J381">
        <v>0.08</v>
      </c>
      <c r="K381">
        <v>9083.33</v>
      </c>
    </row>
    <row r="382" spans="1:11" x14ac:dyDescent="0.3">
      <c r="A382" t="s">
        <v>826</v>
      </c>
      <c r="B382" s="1">
        <v>45791</v>
      </c>
      <c r="C382" t="s">
        <v>292</v>
      </c>
      <c r="D382" t="s">
        <v>293</v>
      </c>
      <c r="E382" t="s">
        <v>71</v>
      </c>
      <c r="F382" t="s">
        <v>72</v>
      </c>
      <c r="G382" t="s">
        <v>43</v>
      </c>
      <c r="H382">
        <v>6</v>
      </c>
      <c r="I382">
        <v>12540</v>
      </c>
      <c r="J382">
        <v>0.05</v>
      </c>
      <c r="K382">
        <v>3843.18</v>
      </c>
    </row>
    <row r="383" spans="1:11" x14ac:dyDescent="0.3">
      <c r="A383" t="s">
        <v>827</v>
      </c>
      <c r="B383" s="1">
        <v>45821</v>
      </c>
      <c r="C383" t="s">
        <v>85</v>
      </c>
      <c r="D383" t="s">
        <v>86</v>
      </c>
      <c r="E383" t="s">
        <v>14</v>
      </c>
      <c r="F383" t="s">
        <v>15</v>
      </c>
      <c r="G383" t="s">
        <v>34</v>
      </c>
      <c r="H383">
        <v>8</v>
      </c>
      <c r="I383">
        <v>115200</v>
      </c>
      <c r="J383">
        <v>0.2</v>
      </c>
      <c r="K383">
        <v>22856.2</v>
      </c>
    </row>
    <row r="384" spans="1:11" x14ac:dyDescent="0.3">
      <c r="A384" t="s">
        <v>828</v>
      </c>
      <c r="B384" s="1">
        <v>45771</v>
      </c>
      <c r="C384" t="s">
        <v>166</v>
      </c>
      <c r="D384" t="s">
        <v>167</v>
      </c>
      <c r="E384" t="s">
        <v>200</v>
      </c>
      <c r="F384" t="s">
        <v>57</v>
      </c>
      <c r="G384" t="s">
        <v>20</v>
      </c>
      <c r="H384">
        <v>1</v>
      </c>
      <c r="I384">
        <v>1620</v>
      </c>
      <c r="J384">
        <v>0.1</v>
      </c>
      <c r="K384">
        <v>456.8</v>
      </c>
    </row>
    <row r="385" spans="1:11" x14ac:dyDescent="0.3">
      <c r="A385" t="s">
        <v>829</v>
      </c>
      <c r="B385" s="1">
        <v>45736</v>
      </c>
      <c r="C385" t="s">
        <v>777</v>
      </c>
      <c r="D385" t="s">
        <v>778</v>
      </c>
      <c r="E385" t="s">
        <v>47</v>
      </c>
      <c r="F385" t="s">
        <v>15</v>
      </c>
      <c r="G385" t="s">
        <v>16</v>
      </c>
      <c r="H385">
        <v>7</v>
      </c>
      <c r="I385">
        <v>43225</v>
      </c>
      <c r="J385">
        <v>0.05</v>
      </c>
      <c r="K385">
        <v>8088.91</v>
      </c>
    </row>
    <row r="386" spans="1:11" x14ac:dyDescent="0.3">
      <c r="A386" t="s">
        <v>830</v>
      </c>
      <c r="B386" s="1">
        <v>45939</v>
      </c>
      <c r="C386" t="s">
        <v>292</v>
      </c>
      <c r="D386" t="s">
        <v>293</v>
      </c>
      <c r="E386" t="s">
        <v>160</v>
      </c>
      <c r="F386" t="s">
        <v>25</v>
      </c>
      <c r="G386" t="s">
        <v>34</v>
      </c>
      <c r="H386">
        <v>4</v>
      </c>
      <c r="I386">
        <v>2576</v>
      </c>
      <c r="J386">
        <v>0.08</v>
      </c>
      <c r="K386">
        <v>813.77</v>
      </c>
    </row>
    <row r="387" spans="1:11" x14ac:dyDescent="0.3">
      <c r="A387" t="s">
        <v>831</v>
      </c>
      <c r="B387" s="1">
        <v>45744</v>
      </c>
      <c r="C387" t="s">
        <v>832</v>
      </c>
      <c r="D387" t="s">
        <v>833</v>
      </c>
      <c r="E387" t="s">
        <v>80</v>
      </c>
      <c r="F387" t="s">
        <v>15</v>
      </c>
      <c r="G387" t="s">
        <v>34</v>
      </c>
      <c r="H387">
        <v>8</v>
      </c>
      <c r="I387">
        <v>25760</v>
      </c>
      <c r="J387">
        <v>0.08</v>
      </c>
      <c r="K387">
        <v>6748.15</v>
      </c>
    </row>
    <row r="388" spans="1:11" x14ac:dyDescent="0.3">
      <c r="A388" t="s">
        <v>834</v>
      </c>
      <c r="B388" s="1">
        <v>45935</v>
      </c>
      <c r="C388" t="s">
        <v>575</v>
      </c>
      <c r="D388" t="s">
        <v>576</v>
      </c>
      <c r="E388" t="s">
        <v>180</v>
      </c>
      <c r="F388" t="s">
        <v>15</v>
      </c>
      <c r="G388" t="s">
        <v>20</v>
      </c>
      <c r="H388">
        <v>8</v>
      </c>
      <c r="I388">
        <v>23520</v>
      </c>
      <c r="J388">
        <v>0.02</v>
      </c>
      <c r="K388">
        <v>8427.61</v>
      </c>
    </row>
    <row r="389" spans="1:11" x14ac:dyDescent="0.3">
      <c r="A389" t="s">
        <v>835</v>
      </c>
      <c r="B389" s="1">
        <v>46000</v>
      </c>
      <c r="C389" t="s">
        <v>515</v>
      </c>
      <c r="D389" t="s">
        <v>516</v>
      </c>
      <c r="E389" t="s">
        <v>42</v>
      </c>
      <c r="F389" t="s">
        <v>15</v>
      </c>
      <c r="G389" t="s">
        <v>20</v>
      </c>
      <c r="H389">
        <v>2</v>
      </c>
      <c r="I389">
        <v>38400</v>
      </c>
      <c r="J389">
        <v>0.2</v>
      </c>
      <c r="K389">
        <v>6777.62</v>
      </c>
    </row>
    <row r="390" spans="1:11" x14ac:dyDescent="0.3">
      <c r="A390" t="s">
        <v>836</v>
      </c>
      <c r="B390" s="1">
        <v>46020</v>
      </c>
      <c r="C390" t="s">
        <v>737</v>
      </c>
      <c r="D390" t="s">
        <v>738</v>
      </c>
      <c r="E390" t="s">
        <v>180</v>
      </c>
      <c r="F390" t="s">
        <v>15</v>
      </c>
      <c r="G390" t="s">
        <v>16</v>
      </c>
      <c r="H390">
        <v>4</v>
      </c>
      <c r="I390">
        <v>12000</v>
      </c>
      <c r="J390">
        <v>0</v>
      </c>
      <c r="K390">
        <v>3776.66</v>
      </c>
    </row>
    <row r="391" spans="1:11" x14ac:dyDescent="0.3">
      <c r="A391" t="s">
        <v>837</v>
      </c>
      <c r="B391" s="1">
        <v>45974</v>
      </c>
      <c r="C391" t="s">
        <v>95</v>
      </c>
      <c r="D391" t="s">
        <v>96</v>
      </c>
      <c r="E391" t="s">
        <v>71</v>
      </c>
      <c r="F391" t="s">
        <v>72</v>
      </c>
      <c r="G391" t="s">
        <v>26</v>
      </c>
      <c r="H391">
        <v>6</v>
      </c>
      <c r="I391">
        <v>13200</v>
      </c>
      <c r="J391">
        <v>0</v>
      </c>
      <c r="K391">
        <v>4292.55</v>
      </c>
    </row>
    <row r="392" spans="1:11" x14ac:dyDescent="0.3">
      <c r="A392" t="s">
        <v>838</v>
      </c>
      <c r="B392" s="1">
        <v>45661</v>
      </c>
      <c r="C392" t="s">
        <v>839</v>
      </c>
      <c r="D392" t="s">
        <v>840</v>
      </c>
      <c r="E392" t="s">
        <v>80</v>
      </c>
      <c r="F392" t="s">
        <v>15</v>
      </c>
      <c r="G392" t="s">
        <v>43</v>
      </c>
      <c r="H392">
        <v>8</v>
      </c>
      <c r="I392">
        <v>28000</v>
      </c>
      <c r="J392">
        <v>0</v>
      </c>
      <c r="K392">
        <v>7237.11</v>
      </c>
    </row>
    <row r="393" spans="1:11" x14ac:dyDescent="0.3">
      <c r="A393" t="s">
        <v>841</v>
      </c>
      <c r="B393" s="1">
        <v>45804</v>
      </c>
      <c r="C393" t="s">
        <v>479</v>
      </c>
      <c r="D393" t="s">
        <v>480</v>
      </c>
      <c r="E393" t="s">
        <v>210</v>
      </c>
      <c r="F393" t="s">
        <v>15</v>
      </c>
      <c r="G393" t="s">
        <v>43</v>
      </c>
      <c r="H393">
        <v>5</v>
      </c>
      <c r="I393">
        <v>247500</v>
      </c>
      <c r="J393">
        <v>0.1</v>
      </c>
      <c r="K393">
        <v>35898.43</v>
      </c>
    </row>
    <row r="394" spans="1:11" x14ac:dyDescent="0.3">
      <c r="A394" t="s">
        <v>842</v>
      </c>
      <c r="B394" s="1">
        <v>45926</v>
      </c>
      <c r="C394" t="s">
        <v>843</v>
      </c>
      <c r="D394" t="s">
        <v>844</v>
      </c>
      <c r="E394" t="s">
        <v>33</v>
      </c>
      <c r="F394" t="s">
        <v>15</v>
      </c>
      <c r="G394" t="s">
        <v>16</v>
      </c>
      <c r="H394">
        <v>2</v>
      </c>
      <c r="I394">
        <v>3600</v>
      </c>
      <c r="J394">
        <v>0</v>
      </c>
      <c r="K394">
        <v>1132.5899999999999</v>
      </c>
    </row>
    <row r="395" spans="1:11" x14ac:dyDescent="0.3">
      <c r="A395" t="s">
        <v>845</v>
      </c>
      <c r="B395" s="1">
        <v>45839</v>
      </c>
      <c r="C395" t="s">
        <v>485</v>
      </c>
      <c r="D395" t="s">
        <v>486</v>
      </c>
      <c r="E395" t="s">
        <v>87</v>
      </c>
      <c r="F395" t="s">
        <v>15</v>
      </c>
      <c r="G395" t="s">
        <v>43</v>
      </c>
      <c r="H395">
        <v>5</v>
      </c>
      <c r="I395">
        <v>4800</v>
      </c>
      <c r="J395">
        <v>0.2</v>
      </c>
      <c r="K395">
        <v>1247.3499999999999</v>
      </c>
    </row>
    <row r="396" spans="1:11" x14ac:dyDescent="0.3">
      <c r="A396" t="s">
        <v>846</v>
      </c>
      <c r="B396" s="1">
        <v>45947</v>
      </c>
      <c r="C396" t="s">
        <v>45</v>
      </c>
      <c r="D396" t="s">
        <v>46</v>
      </c>
      <c r="E396" t="s">
        <v>56</v>
      </c>
      <c r="F396" t="s">
        <v>57</v>
      </c>
      <c r="G396" t="s">
        <v>16</v>
      </c>
      <c r="H396">
        <v>7</v>
      </c>
      <c r="I396">
        <v>38640</v>
      </c>
      <c r="J396">
        <v>0.08</v>
      </c>
      <c r="K396">
        <v>8417.35</v>
      </c>
    </row>
    <row r="397" spans="1:11" x14ac:dyDescent="0.3">
      <c r="A397" t="s">
        <v>847</v>
      </c>
      <c r="B397" s="1">
        <v>45865</v>
      </c>
      <c r="C397" t="s">
        <v>363</v>
      </c>
      <c r="D397" t="s">
        <v>364</v>
      </c>
      <c r="E397" t="s">
        <v>38</v>
      </c>
      <c r="F397" t="s">
        <v>15</v>
      </c>
      <c r="G397" t="s">
        <v>26</v>
      </c>
      <c r="H397">
        <v>1</v>
      </c>
      <c r="I397">
        <v>28000</v>
      </c>
      <c r="J397">
        <v>0</v>
      </c>
      <c r="K397">
        <v>4413.07</v>
      </c>
    </row>
    <row r="398" spans="1:11" x14ac:dyDescent="0.3">
      <c r="A398" t="s">
        <v>848</v>
      </c>
      <c r="B398" s="1">
        <v>45745</v>
      </c>
      <c r="C398" t="s">
        <v>654</v>
      </c>
      <c r="D398" t="s">
        <v>655</v>
      </c>
      <c r="E398" t="s">
        <v>42</v>
      </c>
      <c r="F398" t="s">
        <v>15</v>
      </c>
      <c r="G398" t="s">
        <v>43</v>
      </c>
      <c r="H398">
        <v>1</v>
      </c>
      <c r="I398">
        <v>20400</v>
      </c>
      <c r="J398">
        <v>0.15</v>
      </c>
      <c r="K398">
        <v>3728.65</v>
      </c>
    </row>
    <row r="399" spans="1:11" x14ac:dyDescent="0.3">
      <c r="A399" t="s">
        <v>849</v>
      </c>
      <c r="B399" s="1">
        <v>45679</v>
      </c>
      <c r="C399" t="s">
        <v>404</v>
      </c>
      <c r="D399" t="s">
        <v>405</v>
      </c>
      <c r="E399" t="s">
        <v>64</v>
      </c>
      <c r="F399" t="s">
        <v>57</v>
      </c>
      <c r="G399" t="s">
        <v>26</v>
      </c>
      <c r="H399">
        <v>2</v>
      </c>
      <c r="I399">
        <v>14400</v>
      </c>
      <c r="J399">
        <v>0.1</v>
      </c>
      <c r="K399">
        <v>2994.35</v>
      </c>
    </row>
    <row r="400" spans="1:11" x14ac:dyDescent="0.3">
      <c r="A400" t="s">
        <v>850</v>
      </c>
      <c r="B400" s="1">
        <v>46008</v>
      </c>
      <c r="C400" t="s">
        <v>654</v>
      </c>
      <c r="D400" t="s">
        <v>655</v>
      </c>
      <c r="E400" t="s">
        <v>76</v>
      </c>
      <c r="F400" t="s">
        <v>25</v>
      </c>
      <c r="G400" t="s">
        <v>26</v>
      </c>
      <c r="H400">
        <v>1</v>
      </c>
      <c r="I400">
        <v>500</v>
      </c>
      <c r="J400">
        <v>0</v>
      </c>
      <c r="K400">
        <v>160.21</v>
      </c>
    </row>
    <row r="401" spans="1:11" x14ac:dyDescent="0.3">
      <c r="A401" t="s">
        <v>851</v>
      </c>
      <c r="B401" s="1">
        <v>45819</v>
      </c>
      <c r="C401" t="s">
        <v>162</v>
      </c>
      <c r="D401" t="s">
        <v>163</v>
      </c>
      <c r="E401" t="s">
        <v>42</v>
      </c>
      <c r="F401" t="s">
        <v>15</v>
      </c>
      <c r="G401" t="s">
        <v>16</v>
      </c>
      <c r="H401">
        <v>3</v>
      </c>
      <c r="I401">
        <v>57600</v>
      </c>
      <c r="J401">
        <v>0.2</v>
      </c>
      <c r="K401">
        <v>10087.58</v>
      </c>
    </row>
    <row r="402" spans="1:11" x14ac:dyDescent="0.3">
      <c r="A402" t="s">
        <v>852</v>
      </c>
      <c r="B402" s="1">
        <v>45811</v>
      </c>
      <c r="C402" t="s">
        <v>495</v>
      </c>
      <c r="D402" t="s">
        <v>496</v>
      </c>
      <c r="E402" t="s">
        <v>180</v>
      </c>
      <c r="F402" t="s">
        <v>15</v>
      </c>
      <c r="G402" t="s">
        <v>16</v>
      </c>
      <c r="H402">
        <v>7</v>
      </c>
      <c r="I402">
        <v>21000</v>
      </c>
      <c r="J402">
        <v>0</v>
      </c>
      <c r="K402">
        <v>6621.94</v>
      </c>
    </row>
    <row r="403" spans="1:11" x14ac:dyDescent="0.3">
      <c r="A403" t="s">
        <v>853</v>
      </c>
      <c r="B403" s="1">
        <v>45729</v>
      </c>
      <c r="C403" t="s">
        <v>854</v>
      </c>
      <c r="D403" t="s">
        <v>855</v>
      </c>
      <c r="E403" t="s">
        <v>223</v>
      </c>
      <c r="F403" t="s">
        <v>57</v>
      </c>
      <c r="G403" t="s">
        <v>20</v>
      </c>
      <c r="H403">
        <v>6</v>
      </c>
      <c r="I403">
        <v>38640</v>
      </c>
      <c r="J403">
        <v>0.08</v>
      </c>
      <c r="K403">
        <v>9086.2099999999991</v>
      </c>
    </row>
    <row r="404" spans="1:11" x14ac:dyDescent="0.3">
      <c r="A404" t="s">
        <v>856</v>
      </c>
      <c r="B404" s="1">
        <v>45881</v>
      </c>
      <c r="C404" t="s">
        <v>568</v>
      </c>
      <c r="D404" t="s">
        <v>569</v>
      </c>
      <c r="E404" t="s">
        <v>56</v>
      </c>
      <c r="F404" t="s">
        <v>57</v>
      </c>
      <c r="G404" t="s">
        <v>20</v>
      </c>
      <c r="H404">
        <v>1</v>
      </c>
      <c r="I404">
        <v>6000</v>
      </c>
      <c r="J404">
        <v>0</v>
      </c>
      <c r="K404">
        <v>1340</v>
      </c>
    </row>
    <row r="405" spans="1:11" x14ac:dyDescent="0.3">
      <c r="A405" t="s">
        <v>857</v>
      </c>
      <c r="B405" s="1">
        <v>45825</v>
      </c>
      <c r="C405" t="s">
        <v>411</v>
      </c>
      <c r="D405" t="s">
        <v>412</v>
      </c>
      <c r="E405" t="s">
        <v>158</v>
      </c>
      <c r="F405" t="s">
        <v>25</v>
      </c>
      <c r="G405" t="s">
        <v>34</v>
      </c>
      <c r="H405">
        <v>7</v>
      </c>
      <c r="I405">
        <v>4480</v>
      </c>
      <c r="J405">
        <v>0.2</v>
      </c>
      <c r="K405">
        <v>1180.8</v>
      </c>
    </row>
    <row r="406" spans="1:11" x14ac:dyDescent="0.3">
      <c r="A406" t="s">
        <v>858</v>
      </c>
      <c r="B406" s="1">
        <v>45840</v>
      </c>
      <c r="C406" t="s">
        <v>859</v>
      </c>
      <c r="D406" t="s">
        <v>860</v>
      </c>
      <c r="E406" t="s">
        <v>71</v>
      </c>
      <c r="F406" t="s">
        <v>72</v>
      </c>
      <c r="G406" t="s">
        <v>43</v>
      </c>
      <c r="H406">
        <v>8</v>
      </c>
      <c r="I406">
        <v>17248</v>
      </c>
      <c r="J406">
        <v>0.02</v>
      </c>
      <c r="K406">
        <v>5507.52</v>
      </c>
    </row>
    <row r="407" spans="1:11" x14ac:dyDescent="0.3">
      <c r="A407" t="s">
        <v>861</v>
      </c>
      <c r="B407" s="1">
        <v>45974</v>
      </c>
      <c r="C407" t="s">
        <v>535</v>
      </c>
      <c r="D407" t="s">
        <v>536</v>
      </c>
      <c r="E407" t="s">
        <v>33</v>
      </c>
      <c r="F407" t="s">
        <v>15</v>
      </c>
      <c r="G407" t="s">
        <v>16</v>
      </c>
      <c r="H407">
        <v>7</v>
      </c>
      <c r="I407">
        <v>12600</v>
      </c>
      <c r="J407">
        <v>0</v>
      </c>
      <c r="K407">
        <v>4062.5</v>
      </c>
    </row>
    <row r="408" spans="1:11" x14ac:dyDescent="0.3">
      <c r="A408" t="s">
        <v>862</v>
      </c>
      <c r="B408" s="1">
        <v>45736</v>
      </c>
      <c r="C408" t="s">
        <v>113</v>
      </c>
      <c r="D408" t="s">
        <v>114</v>
      </c>
      <c r="E408" t="s">
        <v>38</v>
      </c>
      <c r="F408" t="s">
        <v>15</v>
      </c>
      <c r="G408" t="s">
        <v>16</v>
      </c>
      <c r="H408">
        <v>2</v>
      </c>
      <c r="I408">
        <v>53200</v>
      </c>
      <c r="J408">
        <v>0.05</v>
      </c>
      <c r="K408">
        <v>8264.7000000000007</v>
      </c>
    </row>
    <row r="409" spans="1:11" x14ac:dyDescent="0.3">
      <c r="A409" t="s">
        <v>863</v>
      </c>
      <c r="B409" s="1">
        <v>45712</v>
      </c>
      <c r="C409" t="s">
        <v>551</v>
      </c>
      <c r="D409" t="s">
        <v>552</v>
      </c>
      <c r="E409" t="s">
        <v>223</v>
      </c>
      <c r="F409" t="s">
        <v>57</v>
      </c>
      <c r="G409" t="s">
        <v>34</v>
      </c>
      <c r="H409">
        <v>6</v>
      </c>
      <c r="I409">
        <v>39900</v>
      </c>
      <c r="J409">
        <v>0.05</v>
      </c>
      <c r="K409">
        <v>8372.58</v>
      </c>
    </row>
    <row r="410" spans="1:11" x14ac:dyDescent="0.3">
      <c r="A410" t="s">
        <v>864</v>
      </c>
      <c r="B410" s="1">
        <v>45725</v>
      </c>
      <c r="C410" t="s">
        <v>559</v>
      </c>
      <c r="D410" t="s">
        <v>560</v>
      </c>
      <c r="E410" t="s">
        <v>56</v>
      </c>
      <c r="F410" t="s">
        <v>57</v>
      </c>
      <c r="G410" t="s">
        <v>43</v>
      </c>
      <c r="H410">
        <v>5</v>
      </c>
      <c r="I410">
        <v>30000</v>
      </c>
      <c r="J410">
        <v>0</v>
      </c>
      <c r="K410">
        <v>6537.77</v>
      </c>
    </row>
    <row r="411" spans="1:11" x14ac:dyDescent="0.3">
      <c r="A411" t="s">
        <v>865</v>
      </c>
      <c r="B411" s="1">
        <v>45671</v>
      </c>
      <c r="C411" t="s">
        <v>334</v>
      </c>
      <c r="D411" t="s">
        <v>335</v>
      </c>
      <c r="E411" t="s">
        <v>47</v>
      </c>
      <c r="F411" t="s">
        <v>15</v>
      </c>
      <c r="G411" t="s">
        <v>26</v>
      </c>
      <c r="H411">
        <v>7</v>
      </c>
      <c r="I411">
        <v>45500</v>
      </c>
      <c r="J411">
        <v>0</v>
      </c>
      <c r="K411">
        <v>8502.49</v>
      </c>
    </row>
    <row r="412" spans="1:11" x14ac:dyDescent="0.3">
      <c r="A412" t="s">
        <v>866</v>
      </c>
      <c r="B412" s="1">
        <v>45855</v>
      </c>
      <c r="C412" t="s">
        <v>244</v>
      </c>
      <c r="D412" t="s">
        <v>245</v>
      </c>
      <c r="E412" t="s">
        <v>158</v>
      </c>
      <c r="F412" t="s">
        <v>25</v>
      </c>
      <c r="G412" t="s">
        <v>43</v>
      </c>
      <c r="H412">
        <v>6</v>
      </c>
      <c r="I412">
        <v>3840</v>
      </c>
      <c r="J412">
        <v>0.2</v>
      </c>
      <c r="K412">
        <v>1007.96</v>
      </c>
    </row>
    <row r="413" spans="1:11" x14ac:dyDescent="0.3">
      <c r="A413" t="s">
        <v>867</v>
      </c>
      <c r="B413" s="1">
        <v>45924</v>
      </c>
      <c r="C413" t="s">
        <v>492</v>
      </c>
      <c r="D413" t="s">
        <v>493</v>
      </c>
      <c r="E413" t="s">
        <v>38</v>
      </c>
      <c r="F413" t="s">
        <v>15</v>
      </c>
      <c r="G413" t="s">
        <v>43</v>
      </c>
      <c r="H413">
        <v>4</v>
      </c>
      <c r="I413">
        <v>100800</v>
      </c>
      <c r="J413">
        <v>0.1</v>
      </c>
      <c r="K413">
        <v>14798.4</v>
      </c>
    </row>
    <row r="414" spans="1:11" x14ac:dyDescent="0.3">
      <c r="A414" t="s">
        <v>868</v>
      </c>
      <c r="B414" s="1">
        <v>45795</v>
      </c>
      <c r="C414" t="s">
        <v>575</v>
      </c>
      <c r="D414" t="s">
        <v>576</v>
      </c>
      <c r="E414" t="s">
        <v>180</v>
      </c>
      <c r="F414" t="s">
        <v>15</v>
      </c>
      <c r="G414" t="s">
        <v>20</v>
      </c>
      <c r="H414">
        <v>5</v>
      </c>
      <c r="I414">
        <v>14250</v>
      </c>
      <c r="J414">
        <v>0.05</v>
      </c>
      <c r="K414">
        <v>4682</v>
      </c>
    </row>
    <row r="415" spans="1:11" x14ac:dyDescent="0.3">
      <c r="A415" t="s">
        <v>869</v>
      </c>
      <c r="B415" s="1">
        <v>45811</v>
      </c>
      <c r="C415" t="s">
        <v>110</v>
      </c>
      <c r="D415" t="s">
        <v>111</v>
      </c>
      <c r="E415" t="s">
        <v>200</v>
      </c>
      <c r="F415" t="s">
        <v>57</v>
      </c>
      <c r="G415" t="s">
        <v>20</v>
      </c>
      <c r="H415">
        <v>5</v>
      </c>
      <c r="I415">
        <v>8280</v>
      </c>
      <c r="J415">
        <v>0.08</v>
      </c>
      <c r="K415">
        <v>2243.69</v>
      </c>
    </row>
    <row r="416" spans="1:11" x14ac:dyDescent="0.3">
      <c r="A416" t="s">
        <v>870</v>
      </c>
      <c r="B416" s="1">
        <v>45978</v>
      </c>
      <c r="C416" t="s">
        <v>674</v>
      </c>
      <c r="D416" t="s">
        <v>675</v>
      </c>
      <c r="E416" t="s">
        <v>76</v>
      </c>
      <c r="F416" t="s">
        <v>25</v>
      </c>
      <c r="G416" t="s">
        <v>26</v>
      </c>
      <c r="H416">
        <v>4</v>
      </c>
      <c r="I416">
        <v>1700</v>
      </c>
      <c r="J416">
        <v>0.15</v>
      </c>
      <c r="K416">
        <v>487.1</v>
      </c>
    </row>
    <row r="417" spans="1:11" x14ac:dyDescent="0.3">
      <c r="A417" t="s">
        <v>871</v>
      </c>
      <c r="B417" s="1">
        <v>45813</v>
      </c>
      <c r="C417" t="s">
        <v>872</v>
      </c>
      <c r="D417" t="s">
        <v>873</v>
      </c>
      <c r="E417" t="s">
        <v>71</v>
      </c>
      <c r="F417" t="s">
        <v>72</v>
      </c>
      <c r="G417" t="s">
        <v>43</v>
      </c>
      <c r="H417">
        <v>2</v>
      </c>
      <c r="I417">
        <v>4312</v>
      </c>
      <c r="J417">
        <v>0.02</v>
      </c>
      <c r="K417">
        <v>1254.52</v>
      </c>
    </row>
    <row r="418" spans="1:11" x14ac:dyDescent="0.3">
      <c r="A418" t="s">
        <v>874</v>
      </c>
      <c r="B418" s="1">
        <v>45826</v>
      </c>
      <c r="C418" t="s">
        <v>875</v>
      </c>
      <c r="D418" t="s">
        <v>876</v>
      </c>
      <c r="E418" t="s">
        <v>158</v>
      </c>
      <c r="F418" t="s">
        <v>25</v>
      </c>
      <c r="G418" t="s">
        <v>43</v>
      </c>
      <c r="H418">
        <v>7</v>
      </c>
      <c r="I418">
        <v>4480</v>
      </c>
      <c r="J418">
        <v>0.2</v>
      </c>
      <c r="K418">
        <v>1295.76</v>
      </c>
    </row>
    <row r="419" spans="1:11" x14ac:dyDescent="0.3">
      <c r="A419" t="s">
        <v>877</v>
      </c>
      <c r="B419" s="1">
        <v>45822</v>
      </c>
      <c r="C419" t="s">
        <v>107</v>
      </c>
      <c r="D419" t="s">
        <v>108</v>
      </c>
      <c r="E419" t="s">
        <v>158</v>
      </c>
      <c r="F419" t="s">
        <v>25</v>
      </c>
      <c r="G419" t="s">
        <v>16</v>
      </c>
      <c r="H419">
        <v>3</v>
      </c>
      <c r="I419">
        <v>2280</v>
      </c>
      <c r="J419">
        <v>0.05</v>
      </c>
      <c r="K419">
        <v>715.51</v>
      </c>
    </row>
    <row r="420" spans="1:11" x14ac:dyDescent="0.3">
      <c r="A420" t="s">
        <v>878</v>
      </c>
      <c r="B420" s="1">
        <v>45821</v>
      </c>
      <c r="C420" t="s">
        <v>153</v>
      </c>
      <c r="D420" t="s">
        <v>154</v>
      </c>
      <c r="E420" t="s">
        <v>64</v>
      </c>
      <c r="F420" t="s">
        <v>57</v>
      </c>
      <c r="G420" t="s">
        <v>43</v>
      </c>
      <c r="H420">
        <v>3</v>
      </c>
      <c r="I420">
        <v>22080</v>
      </c>
      <c r="J420">
        <v>0.08</v>
      </c>
      <c r="K420">
        <v>4679.8100000000004</v>
      </c>
    </row>
    <row r="421" spans="1:11" x14ac:dyDescent="0.3">
      <c r="A421" t="s">
        <v>879</v>
      </c>
      <c r="B421" s="1">
        <v>45850</v>
      </c>
      <c r="C421" t="s">
        <v>212</v>
      </c>
      <c r="D421" t="s">
        <v>213</v>
      </c>
      <c r="E421" t="s">
        <v>160</v>
      </c>
      <c r="F421" t="s">
        <v>25</v>
      </c>
      <c r="G421" t="s">
        <v>43</v>
      </c>
      <c r="H421">
        <v>4</v>
      </c>
      <c r="I421">
        <v>2660</v>
      </c>
      <c r="J421">
        <v>0.05</v>
      </c>
      <c r="K421">
        <v>794.07</v>
      </c>
    </row>
    <row r="422" spans="1:11" x14ac:dyDescent="0.3">
      <c r="A422" t="s">
        <v>880</v>
      </c>
      <c r="B422" s="1">
        <v>45937</v>
      </c>
      <c r="C422" t="s">
        <v>881</v>
      </c>
      <c r="D422" t="s">
        <v>882</v>
      </c>
      <c r="E422" t="s">
        <v>14</v>
      </c>
      <c r="F422" t="s">
        <v>15</v>
      </c>
      <c r="G422" t="s">
        <v>26</v>
      </c>
      <c r="H422">
        <v>4</v>
      </c>
      <c r="I422">
        <v>64800</v>
      </c>
      <c r="J422">
        <v>0.1</v>
      </c>
      <c r="K422">
        <v>11533.04</v>
      </c>
    </row>
    <row r="423" spans="1:11" x14ac:dyDescent="0.3">
      <c r="A423" t="s">
        <v>883</v>
      </c>
      <c r="B423" s="1">
        <v>45807</v>
      </c>
      <c r="C423" t="s">
        <v>884</v>
      </c>
      <c r="D423" t="s">
        <v>885</v>
      </c>
      <c r="E423" t="s">
        <v>71</v>
      </c>
      <c r="F423" t="s">
        <v>72</v>
      </c>
      <c r="G423" t="s">
        <v>20</v>
      </c>
      <c r="H423">
        <v>4</v>
      </c>
      <c r="I423">
        <v>8096</v>
      </c>
      <c r="J423">
        <v>0.08</v>
      </c>
      <c r="K423">
        <v>2668.41</v>
      </c>
    </row>
    <row r="424" spans="1:11" x14ac:dyDescent="0.3">
      <c r="A424" t="s">
        <v>886</v>
      </c>
      <c r="B424" s="1">
        <v>45982</v>
      </c>
      <c r="C424" t="s">
        <v>617</v>
      </c>
      <c r="D424" t="s">
        <v>618</v>
      </c>
      <c r="E424" t="s">
        <v>200</v>
      </c>
      <c r="F424" t="s">
        <v>57</v>
      </c>
      <c r="G424" t="s">
        <v>34</v>
      </c>
      <c r="H424">
        <v>8</v>
      </c>
      <c r="I424">
        <v>14112</v>
      </c>
      <c r="J424">
        <v>0.02</v>
      </c>
      <c r="K424">
        <v>3773.81</v>
      </c>
    </row>
    <row r="425" spans="1:11" x14ac:dyDescent="0.3">
      <c r="A425" t="s">
        <v>887</v>
      </c>
      <c r="B425" s="1">
        <v>45851</v>
      </c>
      <c r="C425" t="s">
        <v>241</v>
      </c>
      <c r="D425" t="s">
        <v>242</v>
      </c>
      <c r="E425" t="s">
        <v>180</v>
      </c>
      <c r="F425" t="s">
        <v>15</v>
      </c>
      <c r="G425" t="s">
        <v>26</v>
      </c>
      <c r="H425">
        <v>7</v>
      </c>
      <c r="I425">
        <v>16800</v>
      </c>
      <c r="J425">
        <v>0.2</v>
      </c>
      <c r="K425">
        <v>4772.84</v>
      </c>
    </row>
    <row r="426" spans="1:11" x14ac:dyDescent="0.3">
      <c r="A426" t="s">
        <v>888</v>
      </c>
      <c r="B426" s="1">
        <v>45917</v>
      </c>
      <c r="C426" t="s">
        <v>153</v>
      </c>
      <c r="D426" t="s">
        <v>154</v>
      </c>
      <c r="E426" t="s">
        <v>160</v>
      </c>
      <c r="F426" t="s">
        <v>25</v>
      </c>
      <c r="G426" t="s">
        <v>43</v>
      </c>
      <c r="H426">
        <v>7</v>
      </c>
      <c r="I426">
        <v>4410</v>
      </c>
      <c r="J426">
        <v>0.1</v>
      </c>
      <c r="K426">
        <v>1451.85</v>
      </c>
    </row>
    <row r="427" spans="1:11" x14ac:dyDescent="0.3">
      <c r="A427" t="s">
        <v>889</v>
      </c>
      <c r="B427" s="1">
        <v>45932</v>
      </c>
      <c r="C427" t="s">
        <v>190</v>
      </c>
      <c r="D427" t="s">
        <v>191</v>
      </c>
      <c r="E427" t="s">
        <v>42</v>
      </c>
      <c r="F427" t="s">
        <v>15</v>
      </c>
      <c r="G427" t="s">
        <v>20</v>
      </c>
      <c r="H427">
        <v>6</v>
      </c>
      <c r="I427">
        <v>122400</v>
      </c>
      <c r="J427">
        <v>0.15</v>
      </c>
      <c r="K427">
        <v>24825.34</v>
      </c>
    </row>
    <row r="428" spans="1:11" x14ac:dyDescent="0.3">
      <c r="A428" t="s">
        <v>890</v>
      </c>
      <c r="B428" s="1">
        <v>45989</v>
      </c>
      <c r="C428" t="s">
        <v>891</v>
      </c>
      <c r="D428" t="s">
        <v>892</v>
      </c>
      <c r="E428" t="s">
        <v>24</v>
      </c>
      <c r="F428" t="s">
        <v>25</v>
      </c>
      <c r="G428" t="s">
        <v>26</v>
      </c>
      <c r="H428">
        <v>6</v>
      </c>
      <c r="I428">
        <v>70560</v>
      </c>
      <c r="J428">
        <v>0.02</v>
      </c>
      <c r="K428">
        <v>14895.43</v>
      </c>
    </row>
    <row r="429" spans="1:11" x14ac:dyDescent="0.3">
      <c r="A429" t="s">
        <v>893</v>
      </c>
      <c r="B429" s="1">
        <v>45878</v>
      </c>
      <c r="C429" t="s">
        <v>404</v>
      </c>
      <c r="D429" t="s">
        <v>405</v>
      </c>
      <c r="E429" t="s">
        <v>223</v>
      </c>
      <c r="F429" t="s">
        <v>57</v>
      </c>
      <c r="G429" t="s">
        <v>20</v>
      </c>
      <c r="H429">
        <v>6</v>
      </c>
      <c r="I429">
        <v>33600</v>
      </c>
      <c r="J429">
        <v>0.2</v>
      </c>
      <c r="K429">
        <v>6594.73</v>
      </c>
    </row>
    <row r="430" spans="1:11" x14ac:dyDescent="0.3">
      <c r="A430" t="s">
        <v>894</v>
      </c>
      <c r="B430" s="1">
        <v>45849</v>
      </c>
      <c r="C430" t="s">
        <v>777</v>
      </c>
      <c r="D430" t="s">
        <v>778</v>
      </c>
      <c r="E430" t="s">
        <v>24</v>
      </c>
      <c r="F430" t="s">
        <v>25</v>
      </c>
      <c r="G430" t="s">
        <v>26</v>
      </c>
      <c r="H430">
        <v>4</v>
      </c>
      <c r="I430">
        <v>44160</v>
      </c>
      <c r="J430">
        <v>0.08</v>
      </c>
      <c r="K430">
        <v>8825.81</v>
      </c>
    </row>
    <row r="431" spans="1:11" x14ac:dyDescent="0.3">
      <c r="A431" t="s">
        <v>895</v>
      </c>
      <c r="B431" s="1">
        <v>45670</v>
      </c>
      <c r="C431" t="s">
        <v>744</v>
      </c>
      <c r="D431" t="s">
        <v>745</v>
      </c>
      <c r="E431" t="s">
        <v>87</v>
      </c>
      <c r="F431" t="s">
        <v>15</v>
      </c>
      <c r="G431" t="s">
        <v>34</v>
      </c>
      <c r="H431">
        <v>3</v>
      </c>
      <c r="I431">
        <v>3420</v>
      </c>
      <c r="J431">
        <v>0.05</v>
      </c>
      <c r="K431">
        <v>981.48</v>
      </c>
    </row>
    <row r="432" spans="1:11" x14ac:dyDescent="0.3">
      <c r="A432" t="s">
        <v>896</v>
      </c>
      <c r="B432" s="1">
        <v>45730</v>
      </c>
      <c r="C432" t="s">
        <v>407</v>
      </c>
      <c r="D432" t="s">
        <v>408</v>
      </c>
      <c r="E432" t="s">
        <v>38</v>
      </c>
      <c r="F432" t="s">
        <v>15</v>
      </c>
      <c r="G432" t="s">
        <v>34</v>
      </c>
      <c r="H432">
        <v>2</v>
      </c>
      <c r="I432">
        <v>44800</v>
      </c>
      <c r="J432">
        <v>0.2</v>
      </c>
      <c r="K432">
        <v>6531.59</v>
      </c>
    </row>
    <row r="433" spans="1:11" x14ac:dyDescent="0.3">
      <c r="A433" t="s">
        <v>897</v>
      </c>
      <c r="B433" s="1">
        <v>45901</v>
      </c>
      <c r="C433" t="s">
        <v>554</v>
      </c>
      <c r="D433" t="s">
        <v>555</v>
      </c>
      <c r="E433" t="s">
        <v>51</v>
      </c>
      <c r="F433" t="s">
        <v>15</v>
      </c>
      <c r="G433" t="s">
        <v>43</v>
      </c>
      <c r="H433">
        <v>8</v>
      </c>
      <c r="I433">
        <v>6840</v>
      </c>
      <c r="J433">
        <v>0.05</v>
      </c>
      <c r="K433">
        <v>2095.4899999999998</v>
      </c>
    </row>
    <row r="434" spans="1:11" x14ac:dyDescent="0.3">
      <c r="A434" t="s">
        <v>898</v>
      </c>
      <c r="B434" s="1">
        <v>46021</v>
      </c>
      <c r="C434" t="s">
        <v>626</v>
      </c>
      <c r="D434" t="s">
        <v>627</v>
      </c>
      <c r="E434" t="s">
        <v>38</v>
      </c>
      <c r="F434" t="s">
        <v>15</v>
      </c>
      <c r="G434" t="s">
        <v>34</v>
      </c>
      <c r="H434">
        <v>5</v>
      </c>
      <c r="I434">
        <v>140000</v>
      </c>
      <c r="J434">
        <v>0</v>
      </c>
      <c r="K434">
        <v>21114.31</v>
      </c>
    </row>
    <row r="435" spans="1:11" x14ac:dyDescent="0.3">
      <c r="A435" t="s">
        <v>899</v>
      </c>
      <c r="B435" s="1">
        <v>45782</v>
      </c>
      <c r="C435" t="s">
        <v>404</v>
      </c>
      <c r="D435" t="s">
        <v>405</v>
      </c>
      <c r="E435" t="s">
        <v>14</v>
      </c>
      <c r="F435" t="s">
        <v>15</v>
      </c>
      <c r="G435" t="s">
        <v>26</v>
      </c>
      <c r="H435">
        <v>3</v>
      </c>
      <c r="I435">
        <v>45900</v>
      </c>
      <c r="J435">
        <v>0.15</v>
      </c>
      <c r="K435">
        <v>8558.1200000000008</v>
      </c>
    </row>
    <row r="436" spans="1:11" x14ac:dyDescent="0.3">
      <c r="A436" t="s">
        <v>900</v>
      </c>
      <c r="B436" s="1">
        <v>45776</v>
      </c>
      <c r="C436" t="s">
        <v>369</v>
      </c>
      <c r="D436" t="s">
        <v>370</v>
      </c>
      <c r="E436" t="s">
        <v>64</v>
      </c>
      <c r="F436" t="s">
        <v>57</v>
      </c>
      <c r="G436" t="s">
        <v>16</v>
      </c>
      <c r="H436">
        <v>7</v>
      </c>
      <c r="I436">
        <v>51520</v>
      </c>
      <c r="J436">
        <v>0.08</v>
      </c>
      <c r="K436">
        <v>11940.28</v>
      </c>
    </row>
    <row r="437" spans="1:11" x14ac:dyDescent="0.3">
      <c r="A437" t="s">
        <v>901</v>
      </c>
      <c r="B437" s="1">
        <v>45972</v>
      </c>
      <c r="C437" t="s">
        <v>641</v>
      </c>
      <c r="D437" t="s">
        <v>642</v>
      </c>
      <c r="E437" t="s">
        <v>200</v>
      </c>
      <c r="F437" t="s">
        <v>57</v>
      </c>
      <c r="G437" t="s">
        <v>43</v>
      </c>
      <c r="H437">
        <v>7</v>
      </c>
      <c r="I437">
        <v>12600</v>
      </c>
      <c r="J437">
        <v>0</v>
      </c>
      <c r="K437">
        <v>3714.53</v>
      </c>
    </row>
    <row r="438" spans="1:11" x14ac:dyDescent="0.3">
      <c r="A438" t="s">
        <v>902</v>
      </c>
      <c r="B438" s="1">
        <v>46018</v>
      </c>
      <c r="C438" t="s">
        <v>518</v>
      </c>
      <c r="D438" t="s">
        <v>519</v>
      </c>
      <c r="E438" t="s">
        <v>200</v>
      </c>
      <c r="F438" t="s">
        <v>57</v>
      </c>
      <c r="G438" t="s">
        <v>34</v>
      </c>
      <c r="H438">
        <v>7</v>
      </c>
      <c r="I438">
        <v>12600</v>
      </c>
      <c r="J438">
        <v>0</v>
      </c>
      <c r="K438">
        <v>3340.29</v>
      </c>
    </row>
    <row r="439" spans="1:11" x14ac:dyDescent="0.3">
      <c r="A439" t="s">
        <v>903</v>
      </c>
      <c r="B439" s="1">
        <v>45932</v>
      </c>
      <c r="C439" t="s">
        <v>277</v>
      </c>
      <c r="D439" t="s">
        <v>278</v>
      </c>
      <c r="E439" t="s">
        <v>38</v>
      </c>
      <c r="F439" t="s">
        <v>15</v>
      </c>
      <c r="G439" t="s">
        <v>34</v>
      </c>
      <c r="H439">
        <v>2</v>
      </c>
      <c r="I439">
        <v>44800</v>
      </c>
      <c r="J439">
        <v>0.2</v>
      </c>
      <c r="K439">
        <v>6299.22</v>
      </c>
    </row>
    <row r="440" spans="1:11" x14ac:dyDescent="0.3">
      <c r="A440" t="s">
        <v>904</v>
      </c>
      <c r="B440" s="1">
        <v>46001</v>
      </c>
      <c r="C440" t="s">
        <v>872</v>
      </c>
      <c r="D440" t="s">
        <v>873</v>
      </c>
      <c r="E440" t="s">
        <v>71</v>
      </c>
      <c r="F440" t="s">
        <v>72</v>
      </c>
      <c r="G440" t="s">
        <v>26</v>
      </c>
      <c r="H440">
        <v>2</v>
      </c>
      <c r="I440">
        <v>4180</v>
      </c>
      <c r="J440">
        <v>0.05</v>
      </c>
      <c r="K440">
        <v>1393.73</v>
      </c>
    </row>
    <row r="441" spans="1:11" x14ac:dyDescent="0.3">
      <c r="A441" t="s">
        <v>905</v>
      </c>
      <c r="B441" s="1">
        <v>45858</v>
      </c>
      <c r="C441" t="s">
        <v>212</v>
      </c>
      <c r="D441" t="s">
        <v>213</v>
      </c>
      <c r="E441" t="s">
        <v>64</v>
      </c>
      <c r="F441" t="s">
        <v>57</v>
      </c>
      <c r="G441" t="s">
        <v>34</v>
      </c>
      <c r="H441">
        <v>7</v>
      </c>
      <c r="I441">
        <v>50400</v>
      </c>
      <c r="J441">
        <v>0.1</v>
      </c>
      <c r="K441">
        <v>11200.4</v>
      </c>
    </row>
    <row r="442" spans="1:11" x14ac:dyDescent="0.3">
      <c r="A442" t="s">
        <v>906</v>
      </c>
      <c r="B442" s="1">
        <v>46002</v>
      </c>
      <c r="C442" t="s">
        <v>907</v>
      </c>
      <c r="D442" t="s">
        <v>908</v>
      </c>
      <c r="E442" t="s">
        <v>71</v>
      </c>
      <c r="F442" t="s">
        <v>72</v>
      </c>
      <c r="G442" t="s">
        <v>34</v>
      </c>
      <c r="H442">
        <v>3</v>
      </c>
      <c r="I442">
        <v>5280</v>
      </c>
      <c r="J442">
        <v>0.2</v>
      </c>
      <c r="K442">
        <v>1644.21</v>
      </c>
    </row>
    <row r="443" spans="1:11" x14ac:dyDescent="0.3">
      <c r="A443" t="s">
        <v>909</v>
      </c>
      <c r="B443" s="1">
        <v>45726</v>
      </c>
      <c r="C443" t="s">
        <v>910</v>
      </c>
      <c r="D443" t="s">
        <v>911</v>
      </c>
      <c r="E443" t="s">
        <v>158</v>
      </c>
      <c r="F443" t="s">
        <v>25</v>
      </c>
      <c r="G443" t="s">
        <v>16</v>
      </c>
      <c r="H443">
        <v>2</v>
      </c>
      <c r="I443">
        <v>1360</v>
      </c>
      <c r="J443">
        <v>0.15</v>
      </c>
      <c r="K443">
        <v>391.3</v>
      </c>
    </row>
    <row r="444" spans="1:11" x14ac:dyDescent="0.3">
      <c r="A444" t="s">
        <v>912</v>
      </c>
      <c r="B444" s="1">
        <v>46013</v>
      </c>
      <c r="C444" t="s">
        <v>337</v>
      </c>
      <c r="D444" t="s">
        <v>338</v>
      </c>
      <c r="E444" t="s">
        <v>14</v>
      </c>
      <c r="F444" t="s">
        <v>15</v>
      </c>
      <c r="G444" t="s">
        <v>43</v>
      </c>
      <c r="H444">
        <v>3</v>
      </c>
      <c r="I444">
        <v>51300</v>
      </c>
      <c r="J444">
        <v>0.05</v>
      </c>
      <c r="K444">
        <v>9241.23</v>
      </c>
    </row>
    <row r="445" spans="1:11" x14ac:dyDescent="0.3">
      <c r="A445" t="s">
        <v>913</v>
      </c>
      <c r="B445" s="1">
        <v>45854</v>
      </c>
      <c r="C445" t="s">
        <v>28</v>
      </c>
      <c r="D445" t="s">
        <v>29</v>
      </c>
      <c r="E445" t="s">
        <v>158</v>
      </c>
      <c r="F445" t="s">
        <v>25</v>
      </c>
      <c r="G445" t="s">
        <v>43</v>
      </c>
      <c r="H445">
        <v>3</v>
      </c>
      <c r="I445">
        <v>2160</v>
      </c>
      <c r="J445">
        <v>0.1</v>
      </c>
      <c r="K445">
        <v>647.01</v>
      </c>
    </row>
    <row r="446" spans="1:11" x14ac:dyDescent="0.3">
      <c r="A446" t="s">
        <v>914</v>
      </c>
      <c r="B446" s="1">
        <v>45743</v>
      </c>
      <c r="C446" t="s">
        <v>915</v>
      </c>
      <c r="D446" t="s">
        <v>916</v>
      </c>
      <c r="E446" t="s">
        <v>47</v>
      </c>
      <c r="F446" t="s">
        <v>15</v>
      </c>
      <c r="G446" t="s">
        <v>16</v>
      </c>
      <c r="H446">
        <v>3</v>
      </c>
      <c r="I446">
        <v>17550</v>
      </c>
      <c r="J446">
        <v>0.1</v>
      </c>
      <c r="K446">
        <v>3406.04</v>
      </c>
    </row>
    <row r="447" spans="1:11" x14ac:dyDescent="0.3">
      <c r="A447" t="s">
        <v>917</v>
      </c>
      <c r="B447" s="1">
        <v>45685</v>
      </c>
      <c r="C447" t="s">
        <v>641</v>
      </c>
      <c r="D447" t="s">
        <v>642</v>
      </c>
      <c r="E447" t="s">
        <v>64</v>
      </c>
      <c r="F447" t="s">
        <v>57</v>
      </c>
      <c r="G447" t="s">
        <v>20</v>
      </c>
      <c r="H447">
        <v>8</v>
      </c>
      <c r="I447">
        <v>57600</v>
      </c>
      <c r="J447">
        <v>0.1</v>
      </c>
      <c r="K447">
        <v>13442.16</v>
      </c>
    </row>
    <row r="448" spans="1:11" x14ac:dyDescent="0.3">
      <c r="A448" t="s">
        <v>918</v>
      </c>
      <c r="B448" s="1">
        <v>45854</v>
      </c>
      <c r="C448" t="s">
        <v>280</v>
      </c>
      <c r="D448" t="s">
        <v>281</v>
      </c>
      <c r="E448" t="s">
        <v>180</v>
      </c>
      <c r="F448" t="s">
        <v>15</v>
      </c>
      <c r="G448" t="s">
        <v>26</v>
      </c>
      <c r="H448">
        <v>4</v>
      </c>
      <c r="I448">
        <v>9600</v>
      </c>
      <c r="J448">
        <v>0.2</v>
      </c>
      <c r="K448">
        <v>3296.85</v>
      </c>
    </row>
    <row r="449" spans="1:11" x14ac:dyDescent="0.3">
      <c r="A449" t="s">
        <v>919</v>
      </c>
      <c r="B449" s="1">
        <v>45909</v>
      </c>
      <c r="C449" t="s">
        <v>749</v>
      </c>
      <c r="D449" t="s">
        <v>750</v>
      </c>
      <c r="E449" t="s">
        <v>80</v>
      </c>
      <c r="F449" t="s">
        <v>15</v>
      </c>
      <c r="G449" t="s">
        <v>43</v>
      </c>
      <c r="H449">
        <v>7</v>
      </c>
      <c r="I449">
        <v>20825</v>
      </c>
      <c r="J449">
        <v>0.15</v>
      </c>
      <c r="K449">
        <v>5033.71</v>
      </c>
    </row>
    <row r="450" spans="1:11" x14ac:dyDescent="0.3">
      <c r="A450" t="s">
        <v>920</v>
      </c>
      <c r="B450" s="1">
        <v>45673</v>
      </c>
      <c r="C450" t="s">
        <v>331</v>
      </c>
      <c r="D450" t="s">
        <v>332</v>
      </c>
      <c r="E450" t="s">
        <v>33</v>
      </c>
      <c r="F450" t="s">
        <v>15</v>
      </c>
      <c r="G450" t="s">
        <v>16</v>
      </c>
      <c r="H450">
        <v>2</v>
      </c>
      <c r="I450">
        <v>3240</v>
      </c>
      <c r="J450">
        <v>0.1</v>
      </c>
      <c r="K450">
        <v>1106.81</v>
      </c>
    </row>
    <row r="451" spans="1:11" x14ac:dyDescent="0.3">
      <c r="A451" t="s">
        <v>921</v>
      </c>
      <c r="B451" s="1">
        <v>45933</v>
      </c>
      <c r="C451" t="s">
        <v>638</v>
      </c>
      <c r="D451" t="s">
        <v>639</v>
      </c>
      <c r="E451" t="s">
        <v>42</v>
      </c>
      <c r="F451" t="s">
        <v>15</v>
      </c>
      <c r="G451" t="s">
        <v>43</v>
      </c>
      <c r="H451">
        <v>5</v>
      </c>
      <c r="I451">
        <v>117600</v>
      </c>
      <c r="J451">
        <v>0.02</v>
      </c>
      <c r="K451">
        <v>23529.68</v>
      </c>
    </row>
    <row r="452" spans="1:11" x14ac:dyDescent="0.3">
      <c r="A452" t="s">
        <v>922</v>
      </c>
      <c r="B452" s="1">
        <v>45716</v>
      </c>
      <c r="C452" t="s">
        <v>162</v>
      </c>
      <c r="D452" t="s">
        <v>163</v>
      </c>
      <c r="E452" t="s">
        <v>80</v>
      </c>
      <c r="F452" t="s">
        <v>15</v>
      </c>
      <c r="G452" t="s">
        <v>26</v>
      </c>
      <c r="H452">
        <v>2</v>
      </c>
      <c r="I452">
        <v>6300</v>
      </c>
      <c r="J452">
        <v>0.1</v>
      </c>
      <c r="K452">
        <v>1508.15</v>
      </c>
    </row>
    <row r="453" spans="1:11" x14ac:dyDescent="0.3">
      <c r="A453" t="s">
        <v>923</v>
      </c>
      <c r="B453" s="1">
        <v>45883</v>
      </c>
      <c r="C453" t="s">
        <v>693</v>
      </c>
      <c r="D453" t="s">
        <v>694</v>
      </c>
      <c r="E453" t="s">
        <v>56</v>
      </c>
      <c r="F453" t="s">
        <v>57</v>
      </c>
      <c r="G453" t="s">
        <v>43</v>
      </c>
      <c r="H453">
        <v>1</v>
      </c>
      <c r="I453">
        <v>4800</v>
      </c>
      <c r="J453">
        <v>0.2</v>
      </c>
      <c r="K453">
        <v>1060.3800000000001</v>
      </c>
    </row>
    <row r="454" spans="1:11" x14ac:dyDescent="0.3">
      <c r="A454" t="s">
        <v>924</v>
      </c>
      <c r="B454" s="1">
        <v>45674</v>
      </c>
      <c r="C454" t="s">
        <v>36</v>
      </c>
      <c r="D454" t="s">
        <v>37</v>
      </c>
      <c r="E454" t="s">
        <v>24</v>
      </c>
      <c r="F454" t="s">
        <v>25</v>
      </c>
      <c r="G454" t="s">
        <v>34</v>
      </c>
      <c r="H454">
        <v>5</v>
      </c>
      <c r="I454">
        <v>48000</v>
      </c>
      <c r="J454">
        <v>0.2</v>
      </c>
      <c r="K454">
        <v>9274.4599999999991</v>
      </c>
    </row>
    <row r="455" spans="1:11" x14ac:dyDescent="0.3">
      <c r="A455" t="s">
        <v>925</v>
      </c>
      <c r="B455" s="1">
        <v>45718</v>
      </c>
      <c r="C455" t="s">
        <v>657</v>
      </c>
      <c r="D455" t="s">
        <v>658</v>
      </c>
      <c r="E455" t="s">
        <v>38</v>
      </c>
      <c r="F455" t="s">
        <v>15</v>
      </c>
      <c r="G455" t="s">
        <v>16</v>
      </c>
      <c r="H455">
        <v>8</v>
      </c>
      <c r="I455">
        <v>179200</v>
      </c>
      <c r="J455">
        <v>0.2</v>
      </c>
      <c r="K455">
        <v>28587.64</v>
      </c>
    </row>
    <row r="456" spans="1:11" x14ac:dyDescent="0.3">
      <c r="A456" t="s">
        <v>926</v>
      </c>
      <c r="B456" s="1">
        <v>46021</v>
      </c>
      <c r="C456" t="s">
        <v>927</v>
      </c>
      <c r="D456" t="s">
        <v>928</v>
      </c>
      <c r="E456" t="s">
        <v>160</v>
      </c>
      <c r="F456" t="s">
        <v>25</v>
      </c>
      <c r="G456" t="s">
        <v>43</v>
      </c>
      <c r="H456">
        <v>6</v>
      </c>
      <c r="I456">
        <v>3360</v>
      </c>
      <c r="J456">
        <v>0.2</v>
      </c>
      <c r="K456">
        <v>1013.29</v>
      </c>
    </row>
    <row r="457" spans="1:11" x14ac:dyDescent="0.3">
      <c r="A457" t="s">
        <v>929</v>
      </c>
      <c r="B457" s="1">
        <v>45763</v>
      </c>
      <c r="C457" t="s">
        <v>110</v>
      </c>
      <c r="D457" t="s">
        <v>111</v>
      </c>
      <c r="E457" t="s">
        <v>158</v>
      </c>
      <c r="F457" t="s">
        <v>25</v>
      </c>
      <c r="G457" t="s">
        <v>20</v>
      </c>
      <c r="H457">
        <v>3</v>
      </c>
      <c r="I457">
        <v>1920</v>
      </c>
      <c r="J457">
        <v>0.2</v>
      </c>
      <c r="K457">
        <v>600.12</v>
      </c>
    </row>
    <row r="458" spans="1:11" x14ac:dyDescent="0.3">
      <c r="A458" t="s">
        <v>930</v>
      </c>
      <c r="B458" s="1">
        <v>45933</v>
      </c>
      <c r="C458" t="s">
        <v>854</v>
      </c>
      <c r="D458" t="s">
        <v>855</v>
      </c>
      <c r="E458" t="s">
        <v>56</v>
      </c>
      <c r="F458" t="s">
        <v>57</v>
      </c>
      <c r="G458" t="s">
        <v>34</v>
      </c>
      <c r="H458">
        <v>5</v>
      </c>
      <c r="I458">
        <v>27000</v>
      </c>
      <c r="J458">
        <v>0.1</v>
      </c>
      <c r="K458">
        <v>5753.58</v>
      </c>
    </row>
    <row r="459" spans="1:11" x14ac:dyDescent="0.3">
      <c r="A459" t="s">
        <v>931</v>
      </c>
      <c r="B459" s="1">
        <v>45921</v>
      </c>
      <c r="C459" t="s">
        <v>638</v>
      </c>
      <c r="D459" t="s">
        <v>639</v>
      </c>
      <c r="E459" t="s">
        <v>160</v>
      </c>
      <c r="F459" t="s">
        <v>25</v>
      </c>
      <c r="G459" t="s">
        <v>20</v>
      </c>
      <c r="H459">
        <v>5</v>
      </c>
      <c r="I459">
        <v>2800</v>
      </c>
      <c r="J459">
        <v>0.2</v>
      </c>
      <c r="K459">
        <v>910.45</v>
      </c>
    </row>
    <row r="460" spans="1:11" x14ac:dyDescent="0.3">
      <c r="A460" t="s">
        <v>932</v>
      </c>
      <c r="B460" s="1">
        <v>45993</v>
      </c>
      <c r="C460" t="s">
        <v>933</v>
      </c>
      <c r="D460" t="s">
        <v>934</v>
      </c>
      <c r="E460" t="s">
        <v>200</v>
      </c>
      <c r="F460" t="s">
        <v>57</v>
      </c>
      <c r="G460" t="s">
        <v>16</v>
      </c>
      <c r="H460">
        <v>1</v>
      </c>
      <c r="I460">
        <v>1710</v>
      </c>
      <c r="J460">
        <v>0.05</v>
      </c>
      <c r="K460">
        <v>438.9</v>
      </c>
    </row>
    <row r="461" spans="1:11" x14ac:dyDescent="0.3">
      <c r="A461" t="s">
        <v>935</v>
      </c>
      <c r="B461" s="1">
        <v>45784</v>
      </c>
      <c r="C461" t="s">
        <v>136</v>
      </c>
      <c r="D461" t="s">
        <v>137</v>
      </c>
      <c r="E461" t="s">
        <v>180</v>
      </c>
      <c r="F461" t="s">
        <v>15</v>
      </c>
      <c r="G461" t="s">
        <v>43</v>
      </c>
      <c r="H461">
        <v>6</v>
      </c>
      <c r="I461">
        <v>14400</v>
      </c>
      <c r="J461">
        <v>0.2</v>
      </c>
      <c r="K461">
        <v>4751.01</v>
      </c>
    </row>
    <row r="462" spans="1:11" x14ac:dyDescent="0.3">
      <c r="A462" t="s">
        <v>936</v>
      </c>
      <c r="B462" s="1">
        <v>45870</v>
      </c>
      <c r="C462" t="s">
        <v>331</v>
      </c>
      <c r="D462" t="s">
        <v>332</v>
      </c>
      <c r="E462" t="s">
        <v>180</v>
      </c>
      <c r="F462" t="s">
        <v>15</v>
      </c>
      <c r="G462" t="s">
        <v>20</v>
      </c>
      <c r="H462">
        <v>5</v>
      </c>
      <c r="I462">
        <v>12750</v>
      </c>
      <c r="J462">
        <v>0.15</v>
      </c>
      <c r="K462">
        <v>3962.64</v>
      </c>
    </row>
    <row r="463" spans="1:11" x14ac:dyDescent="0.3">
      <c r="A463" t="s">
        <v>937</v>
      </c>
      <c r="B463" s="1">
        <v>45800</v>
      </c>
      <c r="C463" t="s">
        <v>915</v>
      </c>
      <c r="D463" t="s">
        <v>916</v>
      </c>
      <c r="E463" t="s">
        <v>38</v>
      </c>
      <c r="F463" t="s">
        <v>15</v>
      </c>
      <c r="G463" t="s">
        <v>34</v>
      </c>
      <c r="H463">
        <v>7</v>
      </c>
      <c r="I463">
        <v>176400</v>
      </c>
      <c r="J463">
        <v>0.1</v>
      </c>
      <c r="K463">
        <v>28543.81</v>
      </c>
    </row>
    <row r="464" spans="1:11" x14ac:dyDescent="0.3">
      <c r="A464" t="s">
        <v>938</v>
      </c>
      <c r="B464" s="1">
        <v>45659</v>
      </c>
      <c r="C464" t="s">
        <v>554</v>
      </c>
      <c r="D464" t="s">
        <v>555</v>
      </c>
      <c r="E464" t="s">
        <v>80</v>
      </c>
      <c r="F464" t="s">
        <v>15</v>
      </c>
      <c r="G464" t="s">
        <v>20</v>
      </c>
      <c r="H464">
        <v>6</v>
      </c>
      <c r="I464">
        <v>18900</v>
      </c>
      <c r="J464">
        <v>0.1</v>
      </c>
      <c r="K464">
        <v>5043.74</v>
      </c>
    </row>
    <row r="465" spans="1:11" x14ac:dyDescent="0.3">
      <c r="A465" t="s">
        <v>939</v>
      </c>
      <c r="B465" s="1">
        <v>45690</v>
      </c>
      <c r="C465" t="s">
        <v>940</v>
      </c>
      <c r="D465" t="s">
        <v>941</v>
      </c>
      <c r="E465" t="s">
        <v>71</v>
      </c>
      <c r="F465" t="s">
        <v>72</v>
      </c>
      <c r="G465" t="s">
        <v>43</v>
      </c>
      <c r="H465">
        <v>6</v>
      </c>
      <c r="I465">
        <v>10560</v>
      </c>
      <c r="J465">
        <v>0.2</v>
      </c>
      <c r="K465">
        <v>3348.7</v>
      </c>
    </row>
    <row r="466" spans="1:11" x14ac:dyDescent="0.3">
      <c r="A466" t="s">
        <v>942</v>
      </c>
      <c r="B466" s="1">
        <v>45795</v>
      </c>
      <c r="C466" t="s">
        <v>22</v>
      </c>
      <c r="D466" t="s">
        <v>23</v>
      </c>
      <c r="E466" t="s">
        <v>200</v>
      </c>
      <c r="F466" t="s">
        <v>57</v>
      </c>
      <c r="G466" t="s">
        <v>34</v>
      </c>
      <c r="H466">
        <v>4</v>
      </c>
      <c r="I466">
        <v>6624</v>
      </c>
      <c r="J466">
        <v>0.08</v>
      </c>
      <c r="K466">
        <v>1743.32</v>
      </c>
    </row>
    <row r="467" spans="1:11" x14ac:dyDescent="0.3">
      <c r="A467" t="s">
        <v>943</v>
      </c>
      <c r="B467" s="1">
        <v>45906</v>
      </c>
      <c r="C467" t="s">
        <v>702</v>
      </c>
      <c r="D467" t="s">
        <v>703</v>
      </c>
      <c r="E467" t="s">
        <v>47</v>
      </c>
      <c r="F467" t="s">
        <v>15</v>
      </c>
      <c r="G467" t="s">
        <v>20</v>
      </c>
      <c r="H467">
        <v>3</v>
      </c>
      <c r="I467">
        <v>17550</v>
      </c>
      <c r="J467">
        <v>0.1</v>
      </c>
      <c r="K467">
        <v>3592.4</v>
      </c>
    </row>
    <row r="468" spans="1:11" x14ac:dyDescent="0.3">
      <c r="A468" t="s">
        <v>944</v>
      </c>
      <c r="B468" s="1">
        <v>45721</v>
      </c>
      <c r="C468" t="s">
        <v>443</v>
      </c>
      <c r="D468" t="s">
        <v>444</v>
      </c>
      <c r="E468" t="s">
        <v>14</v>
      </c>
      <c r="F468" t="s">
        <v>15</v>
      </c>
      <c r="G468" t="s">
        <v>16</v>
      </c>
      <c r="H468">
        <v>8</v>
      </c>
      <c r="I468">
        <v>144000</v>
      </c>
      <c r="J468">
        <v>0</v>
      </c>
      <c r="K468">
        <v>29923.86</v>
      </c>
    </row>
    <row r="469" spans="1:11" x14ac:dyDescent="0.3">
      <c r="A469" t="s">
        <v>945</v>
      </c>
      <c r="B469" s="1">
        <v>45761</v>
      </c>
      <c r="C469" t="s">
        <v>946</v>
      </c>
      <c r="D469" t="s">
        <v>947</v>
      </c>
      <c r="E469" t="s">
        <v>71</v>
      </c>
      <c r="F469" t="s">
        <v>72</v>
      </c>
      <c r="G469" t="s">
        <v>16</v>
      </c>
      <c r="H469">
        <v>1</v>
      </c>
      <c r="I469">
        <v>2024</v>
      </c>
      <c r="J469">
        <v>0.08</v>
      </c>
      <c r="K469">
        <v>685.52</v>
      </c>
    </row>
    <row r="470" spans="1:11" x14ac:dyDescent="0.3">
      <c r="A470" t="s">
        <v>948</v>
      </c>
      <c r="B470" s="1">
        <v>45798</v>
      </c>
      <c r="C470" t="s">
        <v>172</v>
      </c>
      <c r="D470" t="s">
        <v>173</v>
      </c>
      <c r="E470" t="s">
        <v>115</v>
      </c>
      <c r="F470" t="s">
        <v>25</v>
      </c>
      <c r="G470" t="s">
        <v>34</v>
      </c>
      <c r="H470">
        <v>3</v>
      </c>
      <c r="I470">
        <v>720</v>
      </c>
      <c r="J470">
        <v>0.2</v>
      </c>
      <c r="K470">
        <v>205.48</v>
      </c>
    </row>
    <row r="471" spans="1:11" x14ac:dyDescent="0.3">
      <c r="A471" t="s">
        <v>949</v>
      </c>
      <c r="B471" s="1">
        <v>45990</v>
      </c>
      <c r="C471" t="s">
        <v>343</v>
      </c>
      <c r="D471" t="s">
        <v>344</v>
      </c>
      <c r="E471" t="s">
        <v>38</v>
      </c>
      <c r="F471" t="s">
        <v>15</v>
      </c>
      <c r="G471" t="s">
        <v>43</v>
      </c>
      <c r="H471">
        <v>6</v>
      </c>
      <c r="I471">
        <v>142800</v>
      </c>
      <c r="J471">
        <v>0.15</v>
      </c>
      <c r="K471">
        <v>20492.57</v>
      </c>
    </row>
    <row r="472" spans="1:11" x14ac:dyDescent="0.3">
      <c r="A472" t="s">
        <v>950</v>
      </c>
      <c r="B472" s="1">
        <v>45993</v>
      </c>
      <c r="C472" t="s">
        <v>82</v>
      </c>
      <c r="D472" t="s">
        <v>83</v>
      </c>
      <c r="E472" t="s">
        <v>115</v>
      </c>
      <c r="F472" t="s">
        <v>25</v>
      </c>
      <c r="G472" t="s">
        <v>20</v>
      </c>
      <c r="H472">
        <v>4</v>
      </c>
      <c r="I472">
        <v>1104</v>
      </c>
      <c r="J472">
        <v>0.08</v>
      </c>
      <c r="K472">
        <v>333.84</v>
      </c>
    </row>
    <row r="473" spans="1:11" x14ac:dyDescent="0.3">
      <c r="A473" t="s">
        <v>951</v>
      </c>
      <c r="B473" s="1">
        <v>45725</v>
      </c>
      <c r="C473" t="s">
        <v>508</v>
      </c>
      <c r="D473" t="s">
        <v>509</v>
      </c>
      <c r="E473" t="s">
        <v>51</v>
      </c>
      <c r="F473" t="s">
        <v>15</v>
      </c>
      <c r="G473" t="s">
        <v>26</v>
      </c>
      <c r="H473">
        <v>8</v>
      </c>
      <c r="I473">
        <v>7200</v>
      </c>
      <c r="J473">
        <v>0</v>
      </c>
      <c r="K473">
        <v>2435.9699999999998</v>
      </c>
    </row>
    <row r="474" spans="1:11" x14ac:dyDescent="0.3">
      <c r="A474" t="s">
        <v>952</v>
      </c>
      <c r="B474" s="1">
        <v>46014</v>
      </c>
      <c r="C474" t="s">
        <v>89</v>
      </c>
      <c r="D474" t="s">
        <v>90</v>
      </c>
      <c r="E474" t="s">
        <v>71</v>
      </c>
      <c r="F474" t="s">
        <v>72</v>
      </c>
      <c r="G474" t="s">
        <v>20</v>
      </c>
      <c r="H474">
        <v>1</v>
      </c>
      <c r="I474">
        <v>2200</v>
      </c>
      <c r="J474">
        <v>0</v>
      </c>
      <c r="K474">
        <v>682.48</v>
      </c>
    </row>
    <row r="475" spans="1:11" x14ac:dyDescent="0.3">
      <c r="A475" t="s">
        <v>953</v>
      </c>
      <c r="B475" s="1">
        <v>45694</v>
      </c>
      <c r="C475" t="s">
        <v>657</v>
      </c>
      <c r="D475" t="s">
        <v>658</v>
      </c>
      <c r="E475" t="s">
        <v>200</v>
      </c>
      <c r="F475" t="s">
        <v>57</v>
      </c>
      <c r="G475" t="s">
        <v>20</v>
      </c>
      <c r="H475">
        <v>3</v>
      </c>
      <c r="I475">
        <v>4968</v>
      </c>
      <c r="J475">
        <v>0.08</v>
      </c>
      <c r="K475">
        <v>1284.95</v>
      </c>
    </row>
    <row r="476" spans="1:11" x14ac:dyDescent="0.3">
      <c r="A476" t="s">
        <v>954</v>
      </c>
      <c r="B476" s="1">
        <v>45846</v>
      </c>
      <c r="C476" t="s">
        <v>940</v>
      </c>
      <c r="D476" t="s">
        <v>941</v>
      </c>
      <c r="E476" t="s">
        <v>14</v>
      </c>
      <c r="F476" t="s">
        <v>15</v>
      </c>
      <c r="G476" t="s">
        <v>16</v>
      </c>
      <c r="H476">
        <v>2</v>
      </c>
      <c r="I476">
        <v>34200</v>
      </c>
      <c r="J476">
        <v>0.05</v>
      </c>
      <c r="K476">
        <v>6989.21</v>
      </c>
    </row>
    <row r="477" spans="1:11" x14ac:dyDescent="0.3">
      <c r="A477" t="s">
        <v>955</v>
      </c>
      <c r="B477" s="1">
        <v>45929</v>
      </c>
      <c r="C477" t="s">
        <v>292</v>
      </c>
      <c r="D477" t="s">
        <v>293</v>
      </c>
      <c r="E477" t="s">
        <v>180</v>
      </c>
      <c r="F477" t="s">
        <v>15</v>
      </c>
      <c r="G477" t="s">
        <v>26</v>
      </c>
      <c r="H477">
        <v>3</v>
      </c>
      <c r="I477">
        <v>9000</v>
      </c>
      <c r="J477">
        <v>0</v>
      </c>
      <c r="K477">
        <v>3030.38</v>
      </c>
    </row>
    <row r="478" spans="1:11" x14ac:dyDescent="0.3">
      <c r="A478" t="s">
        <v>956</v>
      </c>
      <c r="B478" s="1">
        <v>45767</v>
      </c>
      <c r="C478" t="s">
        <v>433</v>
      </c>
      <c r="D478" t="s">
        <v>434</v>
      </c>
      <c r="E478" t="s">
        <v>33</v>
      </c>
      <c r="F478" t="s">
        <v>15</v>
      </c>
      <c r="G478" t="s">
        <v>16</v>
      </c>
      <c r="H478">
        <v>8</v>
      </c>
      <c r="I478">
        <v>13680</v>
      </c>
      <c r="J478">
        <v>0.05</v>
      </c>
      <c r="K478">
        <v>4598.37</v>
      </c>
    </row>
    <row r="479" spans="1:11" x14ac:dyDescent="0.3">
      <c r="A479" t="s">
        <v>957</v>
      </c>
      <c r="B479" s="1">
        <v>45769</v>
      </c>
      <c r="C479" t="s">
        <v>910</v>
      </c>
      <c r="D479" t="s">
        <v>911</v>
      </c>
      <c r="E479" t="s">
        <v>200</v>
      </c>
      <c r="F479" t="s">
        <v>57</v>
      </c>
      <c r="G479" t="s">
        <v>20</v>
      </c>
      <c r="H479">
        <v>8</v>
      </c>
      <c r="I479">
        <v>11520</v>
      </c>
      <c r="J479">
        <v>0.2</v>
      </c>
      <c r="K479">
        <v>2735.48</v>
      </c>
    </row>
    <row r="480" spans="1:11" x14ac:dyDescent="0.3">
      <c r="A480" t="s">
        <v>958</v>
      </c>
      <c r="B480" s="1">
        <v>45877</v>
      </c>
      <c r="C480" t="s">
        <v>773</v>
      </c>
      <c r="D480" t="s">
        <v>774</v>
      </c>
      <c r="E480" t="s">
        <v>14</v>
      </c>
      <c r="F480" t="s">
        <v>15</v>
      </c>
      <c r="G480" t="s">
        <v>16</v>
      </c>
      <c r="H480">
        <v>7</v>
      </c>
      <c r="I480">
        <v>119700</v>
      </c>
      <c r="J480">
        <v>0.05</v>
      </c>
      <c r="K480">
        <v>22241.599999999999</v>
      </c>
    </row>
    <row r="481" spans="1:11" x14ac:dyDescent="0.3">
      <c r="A481" t="s">
        <v>959</v>
      </c>
      <c r="B481" s="1">
        <v>45941</v>
      </c>
      <c r="C481" t="s">
        <v>136</v>
      </c>
      <c r="D481" t="s">
        <v>137</v>
      </c>
      <c r="E481" t="s">
        <v>76</v>
      </c>
      <c r="F481" t="s">
        <v>25</v>
      </c>
      <c r="G481" t="s">
        <v>26</v>
      </c>
      <c r="H481">
        <v>2</v>
      </c>
      <c r="I481">
        <v>980</v>
      </c>
      <c r="J481">
        <v>0.02</v>
      </c>
      <c r="K481">
        <v>297.35000000000002</v>
      </c>
    </row>
    <row r="482" spans="1:11" x14ac:dyDescent="0.3">
      <c r="A482" t="s">
        <v>960</v>
      </c>
      <c r="B482" s="1">
        <v>45923</v>
      </c>
      <c r="C482" t="s">
        <v>715</v>
      </c>
      <c r="D482" t="s">
        <v>716</v>
      </c>
      <c r="E482" t="s">
        <v>210</v>
      </c>
      <c r="F482" t="s">
        <v>15</v>
      </c>
      <c r="G482" t="s">
        <v>16</v>
      </c>
      <c r="H482">
        <v>5</v>
      </c>
      <c r="I482">
        <v>269500</v>
      </c>
      <c r="J482">
        <v>0.02</v>
      </c>
      <c r="K482">
        <v>44644.87</v>
      </c>
    </row>
    <row r="483" spans="1:11" x14ac:dyDescent="0.3">
      <c r="A483" t="s">
        <v>961</v>
      </c>
      <c r="B483" s="1">
        <v>45685</v>
      </c>
      <c r="C483" t="s">
        <v>565</v>
      </c>
      <c r="D483" t="s">
        <v>566</v>
      </c>
      <c r="E483" t="s">
        <v>223</v>
      </c>
      <c r="F483" t="s">
        <v>57</v>
      </c>
      <c r="G483" t="s">
        <v>16</v>
      </c>
      <c r="H483">
        <v>5</v>
      </c>
      <c r="I483">
        <v>29750</v>
      </c>
      <c r="J483">
        <v>0.15</v>
      </c>
      <c r="K483">
        <v>6863.27</v>
      </c>
    </row>
    <row r="484" spans="1:11" x14ac:dyDescent="0.3">
      <c r="A484" t="s">
        <v>962</v>
      </c>
      <c r="B484" s="1">
        <v>45913</v>
      </c>
      <c r="C484" t="s">
        <v>963</v>
      </c>
      <c r="D484" t="s">
        <v>964</v>
      </c>
      <c r="E484" t="s">
        <v>223</v>
      </c>
      <c r="F484" t="s">
        <v>57</v>
      </c>
      <c r="G484" t="s">
        <v>20</v>
      </c>
      <c r="H484">
        <v>2</v>
      </c>
      <c r="I484">
        <v>13720</v>
      </c>
      <c r="J484">
        <v>0.02</v>
      </c>
      <c r="K484">
        <v>3190.7</v>
      </c>
    </row>
    <row r="485" spans="1:11" x14ac:dyDescent="0.3">
      <c r="A485" t="s">
        <v>965</v>
      </c>
      <c r="B485" s="1">
        <v>45725</v>
      </c>
      <c r="C485" t="s">
        <v>474</v>
      </c>
      <c r="D485" t="s">
        <v>475</v>
      </c>
      <c r="E485" t="s">
        <v>210</v>
      </c>
      <c r="F485" t="s">
        <v>15</v>
      </c>
      <c r="G485" t="s">
        <v>26</v>
      </c>
      <c r="H485">
        <v>6</v>
      </c>
      <c r="I485">
        <v>313500</v>
      </c>
      <c r="J485">
        <v>0.05</v>
      </c>
      <c r="K485">
        <v>49647.28</v>
      </c>
    </row>
    <row r="486" spans="1:11" x14ac:dyDescent="0.3">
      <c r="A486" t="s">
        <v>966</v>
      </c>
      <c r="B486" s="1">
        <v>45899</v>
      </c>
      <c r="C486" t="s">
        <v>28</v>
      </c>
      <c r="D486" t="s">
        <v>29</v>
      </c>
      <c r="E486" t="s">
        <v>56</v>
      </c>
      <c r="F486" t="s">
        <v>57</v>
      </c>
      <c r="G486" t="s">
        <v>20</v>
      </c>
      <c r="H486">
        <v>3</v>
      </c>
      <c r="I486">
        <v>14400</v>
      </c>
      <c r="J486">
        <v>0.2</v>
      </c>
      <c r="K486">
        <v>3455.39</v>
      </c>
    </row>
    <row r="487" spans="1:11" x14ac:dyDescent="0.3">
      <c r="A487" t="s">
        <v>967</v>
      </c>
      <c r="B487" s="1">
        <v>45792</v>
      </c>
      <c r="C487" t="s">
        <v>968</v>
      </c>
      <c r="D487" t="s">
        <v>969</v>
      </c>
      <c r="E487" t="s">
        <v>160</v>
      </c>
      <c r="F487" t="s">
        <v>25</v>
      </c>
      <c r="G487" t="s">
        <v>20</v>
      </c>
      <c r="H487">
        <v>2</v>
      </c>
      <c r="I487">
        <v>1400</v>
      </c>
      <c r="J487">
        <v>0</v>
      </c>
      <c r="K487">
        <v>419.99</v>
      </c>
    </row>
    <row r="488" spans="1:11" x14ac:dyDescent="0.3">
      <c r="A488" t="s">
        <v>970</v>
      </c>
      <c r="B488" s="1">
        <v>46022</v>
      </c>
      <c r="C488" t="s">
        <v>734</v>
      </c>
      <c r="D488" t="s">
        <v>735</v>
      </c>
      <c r="E488" t="s">
        <v>223</v>
      </c>
      <c r="F488" t="s">
        <v>57</v>
      </c>
      <c r="G488" t="s">
        <v>43</v>
      </c>
      <c r="H488">
        <v>5</v>
      </c>
      <c r="I488">
        <v>29750</v>
      </c>
      <c r="J488">
        <v>0.15</v>
      </c>
      <c r="K488">
        <v>6501.34</v>
      </c>
    </row>
    <row r="489" spans="1:11" x14ac:dyDescent="0.3">
      <c r="A489" t="s">
        <v>971</v>
      </c>
      <c r="B489" s="1">
        <v>45932</v>
      </c>
      <c r="C489" t="s">
        <v>972</v>
      </c>
      <c r="D489" t="s">
        <v>973</v>
      </c>
      <c r="E489" t="s">
        <v>223</v>
      </c>
      <c r="F489" t="s">
        <v>57</v>
      </c>
      <c r="G489" t="s">
        <v>16</v>
      </c>
      <c r="H489">
        <v>2</v>
      </c>
      <c r="I489">
        <v>11900</v>
      </c>
      <c r="J489">
        <v>0.15</v>
      </c>
      <c r="K489">
        <v>2619.2800000000002</v>
      </c>
    </row>
    <row r="490" spans="1:11" x14ac:dyDescent="0.3">
      <c r="A490" t="s">
        <v>974</v>
      </c>
      <c r="B490" s="1">
        <v>45919</v>
      </c>
      <c r="C490" t="s">
        <v>126</v>
      </c>
      <c r="D490" t="s">
        <v>127</v>
      </c>
      <c r="E490" t="s">
        <v>38</v>
      </c>
      <c r="F490" t="s">
        <v>15</v>
      </c>
      <c r="G490" t="s">
        <v>16</v>
      </c>
      <c r="H490">
        <v>5</v>
      </c>
      <c r="I490">
        <v>140000</v>
      </c>
      <c r="J490">
        <v>0</v>
      </c>
      <c r="K490">
        <v>24015.33</v>
      </c>
    </row>
    <row r="491" spans="1:11" x14ac:dyDescent="0.3">
      <c r="A491" t="s">
        <v>975</v>
      </c>
      <c r="B491" s="1">
        <v>45982</v>
      </c>
      <c r="C491" t="s">
        <v>74</v>
      </c>
      <c r="D491" t="s">
        <v>75</v>
      </c>
      <c r="E491" t="s">
        <v>64</v>
      </c>
      <c r="F491" t="s">
        <v>57</v>
      </c>
      <c r="G491" t="s">
        <v>20</v>
      </c>
      <c r="H491">
        <v>7</v>
      </c>
      <c r="I491">
        <v>50400</v>
      </c>
      <c r="J491">
        <v>0.1</v>
      </c>
      <c r="K491">
        <v>11555.66</v>
      </c>
    </row>
    <row r="492" spans="1:11" x14ac:dyDescent="0.3">
      <c r="A492" t="s">
        <v>976</v>
      </c>
      <c r="B492" s="1">
        <v>45783</v>
      </c>
      <c r="C492" t="s">
        <v>597</v>
      </c>
      <c r="D492" t="s">
        <v>598</v>
      </c>
      <c r="E492" t="s">
        <v>200</v>
      </c>
      <c r="F492" t="s">
        <v>57</v>
      </c>
      <c r="G492" t="s">
        <v>43</v>
      </c>
      <c r="H492">
        <v>4</v>
      </c>
      <c r="I492">
        <v>7200</v>
      </c>
      <c r="J492">
        <v>0</v>
      </c>
      <c r="K492">
        <v>1867.59</v>
      </c>
    </row>
    <row r="493" spans="1:11" x14ac:dyDescent="0.3">
      <c r="A493" t="s">
        <v>977</v>
      </c>
      <c r="B493" s="1">
        <v>45999</v>
      </c>
      <c r="C493" t="s">
        <v>221</v>
      </c>
      <c r="D493" t="s">
        <v>222</v>
      </c>
      <c r="E493" t="s">
        <v>71</v>
      </c>
      <c r="F493" t="s">
        <v>72</v>
      </c>
      <c r="G493" t="s">
        <v>16</v>
      </c>
      <c r="H493">
        <v>1</v>
      </c>
      <c r="I493">
        <v>2090</v>
      </c>
      <c r="J493">
        <v>0.05</v>
      </c>
      <c r="K493">
        <v>683.32</v>
      </c>
    </row>
    <row r="494" spans="1:11" x14ac:dyDescent="0.3">
      <c r="A494" t="s">
        <v>978</v>
      </c>
      <c r="B494" s="1">
        <v>45663</v>
      </c>
      <c r="C494" t="s">
        <v>979</v>
      </c>
      <c r="D494" t="s">
        <v>980</v>
      </c>
      <c r="E494" t="s">
        <v>210</v>
      </c>
      <c r="F494" t="s">
        <v>15</v>
      </c>
      <c r="G494" t="s">
        <v>34</v>
      </c>
      <c r="H494">
        <v>3</v>
      </c>
      <c r="I494">
        <v>140250</v>
      </c>
      <c r="J494">
        <v>0.15</v>
      </c>
      <c r="K494">
        <v>20485.259999999998</v>
      </c>
    </row>
    <row r="495" spans="1:11" x14ac:dyDescent="0.3">
      <c r="A495" t="s">
        <v>981</v>
      </c>
      <c r="B495" s="1">
        <v>45848</v>
      </c>
      <c r="C495" t="s">
        <v>225</v>
      </c>
      <c r="D495" t="s">
        <v>226</v>
      </c>
      <c r="E495" t="s">
        <v>87</v>
      </c>
      <c r="F495" t="s">
        <v>15</v>
      </c>
      <c r="G495" t="s">
        <v>34</v>
      </c>
      <c r="H495">
        <v>5</v>
      </c>
      <c r="I495">
        <v>5880</v>
      </c>
      <c r="J495">
        <v>0.02</v>
      </c>
      <c r="K495">
        <v>1601.79</v>
      </c>
    </row>
    <row r="496" spans="1:11" x14ac:dyDescent="0.3">
      <c r="A496" t="s">
        <v>982</v>
      </c>
      <c r="B496" s="1">
        <v>45877</v>
      </c>
      <c r="C496" t="s">
        <v>940</v>
      </c>
      <c r="D496" t="s">
        <v>941</v>
      </c>
      <c r="E496" t="s">
        <v>14</v>
      </c>
      <c r="F496" t="s">
        <v>15</v>
      </c>
      <c r="G496" t="s">
        <v>20</v>
      </c>
      <c r="H496">
        <v>1</v>
      </c>
      <c r="I496">
        <v>17100</v>
      </c>
      <c r="J496">
        <v>0.05</v>
      </c>
      <c r="K496">
        <v>3153.56</v>
      </c>
    </row>
    <row r="497" spans="1:11" x14ac:dyDescent="0.3">
      <c r="A497" t="s">
        <v>983</v>
      </c>
      <c r="B497" s="1">
        <v>45891</v>
      </c>
      <c r="C497" t="s">
        <v>40</v>
      </c>
      <c r="D497" t="s">
        <v>41</v>
      </c>
      <c r="E497" t="s">
        <v>160</v>
      </c>
      <c r="F497" t="s">
        <v>25</v>
      </c>
      <c r="G497" t="s">
        <v>20</v>
      </c>
      <c r="H497">
        <v>2</v>
      </c>
      <c r="I497">
        <v>1288</v>
      </c>
      <c r="J497">
        <v>0.08</v>
      </c>
      <c r="K497">
        <v>396.76</v>
      </c>
    </row>
    <row r="498" spans="1:11" x14ac:dyDescent="0.3">
      <c r="A498" t="s">
        <v>984</v>
      </c>
      <c r="B498" s="1">
        <v>45738</v>
      </c>
      <c r="C498" t="s">
        <v>985</v>
      </c>
      <c r="D498" t="s">
        <v>986</v>
      </c>
      <c r="E498" t="s">
        <v>160</v>
      </c>
      <c r="F498" t="s">
        <v>25</v>
      </c>
      <c r="G498" t="s">
        <v>20</v>
      </c>
      <c r="H498">
        <v>3</v>
      </c>
      <c r="I498">
        <v>1995</v>
      </c>
      <c r="J498">
        <v>0.05</v>
      </c>
      <c r="K498">
        <v>592.89</v>
      </c>
    </row>
    <row r="499" spans="1:11" x14ac:dyDescent="0.3">
      <c r="A499" t="s">
        <v>987</v>
      </c>
      <c r="B499" s="1">
        <v>45918</v>
      </c>
      <c r="C499" t="s">
        <v>253</v>
      </c>
      <c r="D499" t="s">
        <v>254</v>
      </c>
      <c r="E499" t="s">
        <v>160</v>
      </c>
      <c r="F499" t="s">
        <v>25</v>
      </c>
      <c r="G499" t="s">
        <v>20</v>
      </c>
      <c r="H499">
        <v>2</v>
      </c>
      <c r="I499">
        <v>1372</v>
      </c>
      <c r="J499">
        <v>0.02</v>
      </c>
      <c r="K499">
        <v>393.98</v>
      </c>
    </row>
    <row r="500" spans="1:11" x14ac:dyDescent="0.3">
      <c r="A500" t="s">
        <v>988</v>
      </c>
      <c r="B500" s="1">
        <v>45854</v>
      </c>
      <c r="C500" t="s">
        <v>247</v>
      </c>
      <c r="D500" t="s">
        <v>248</v>
      </c>
      <c r="E500" t="s">
        <v>42</v>
      </c>
      <c r="F500" t="s">
        <v>15</v>
      </c>
      <c r="G500" t="s">
        <v>16</v>
      </c>
      <c r="H500">
        <v>8</v>
      </c>
      <c r="I500">
        <v>182400</v>
      </c>
      <c r="J500">
        <v>0.05</v>
      </c>
      <c r="K500">
        <v>40189.449999999997</v>
      </c>
    </row>
    <row r="501" spans="1:11" x14ac:dyDescent="0.3">
      <c r="A501" t="s">
        <v>989</v>
      </c>
      <c r="B501" s="1">
        <v>45822</v>
      </c>
      <c r="C501" t="s">
        <v>752</v>
      </c>
      <c r="D501" t="s">
        <v>753</v>
      </c>
      <c r="E501" t="s">
        <v>42</v>
      </c>
      <c r="F501" t="s">
        <v>15</v>
      </c>
      <c r="G501" t="s">
        <v>34</v>
      </c>
      <c r="H501">
        <v>7</v>
      </c>
      <c r="I501">
        <v>164640</v>
      </c>
      <c r="J501">
        <v>0.02</v>
      </c>
      <c r="K501">
        <v>32715.27</v>
      </c>
    </row>
    <row r="502" spans="1:11" x14ac:dyDescent="0.3">
      <c r="A502" t="s">
        <v>990</v>
      </c>
      <c r="B502" s="1">
        <v>45915</v>
      </c>
      <c r="C502" t="s">
        <v>182</v>
      </c>
      <c r="D502" t="s">
        <v>183</v>
      </c>
      <c r="E502" t="s">
        <v>38</v>
      </c>
      <c r="F502" t="s">
        <v>15</v>
      </c>
      <c r="G502" t="s">
        <v>20</v>
      </c>
      <c r="H502">
        <v>6</v>
      </c>
      <c r="I502">
        <v>168000</v>
      </c>
      <c r="J502">
        <v>0</v>
      </c>
      <c r="K502">
        <v>27748.77</v>
      </c>
    </row>
    <row r="503" spans="1:11" x14ac:dyDescent="0.3">
      <c r="A503" t="s">
        <v>991</v>
      </c>
      <c r="B503" s="1">
        <v>45693</v>
      </c>
      <c r="C503" t="s">
        <v>350</v>
      </c>
      <c r="D503" t="s">
        <v>351</v>
      </c>
      <c r="E503" t="s">
        <v>24</v>
      </c>
      <c r="F503" t="s">
        <v>25</v>
      </c>
      <c r="G503" t="s">
        <v>34</v>
      </c>
      <c r="H503">
        <v>1</v>
      </c>
      <c r="I503">
        <v>11040</v>
      </c>
      <c r="J503">
        <v>0.08</v>
      </c>
      <c r="K503">
        <v>2400.8000000000002</v>
      </c>
    </row>
    <row r="504" spans="1:11" x14ac:dyDescent="0.3">
      <c r="A504" t="s">
        <v>992</v>
      </c>
      <c r="B504" s="1">
        <v>45941</v>
      </c>
      <c r="C504" t="s">
        <v>466</v>
      </c>
      <c r="D504" t="s">
        <v>467</v>
      </c>
      <c r="E504" t="s">
        <v>115</v>
      </c>
      <c r="F504" t="s">
        <v>25</v>
      </c>
      <c r="G504" t="s">
        <v>34</v>
      </c>
      <c r="H504">
        <v>6</v>
      </c>
      <c r="I504">
        <v>1800</v>
      </c>
      <c r="J504">
        <v>0</v>
      </c>
      <c r="K504">
        <v>595.85</v>
      </c>
    </row>
    <row r="505" spans="1:11" x14ac:dyDescent="0.3">
      <c r="A505" t="s">
        <v>993</v>
      </c>
      <c r="B505" s="1">
        <v>45976</v>
      </c>
      <c r="C505" t="s">
        <v>688</v>
      </c>
      <c r="D505" t="s">
        <v>689</v>
      </c>
      <c r="E505" t="s">
        <v>115</v>
      </c>
      <c r="F505" t="s">
        <v>25</v>
      </c>
      <c r="G505" t="s">
        <v>34</v>
      </c>
      <c r="H505">
        <v>5</v>
      </c>
      <c r="I505">
        <v>1275</v>
      </c>
      <c r="J505">
        <v>0.15</v>
      </c>
      <c r="K505">
        <v>385.66</v>
      </c>
    </row>
    <row r="506" spans="1:11" x14ac:dyDescent="0.3">
      <c r="A506" t="s">
        <v>994</v>
      </c>
      <c r="B506" s="1">
        <v>45937</v>
      </c>
      <c r="C506" t="s">
        <v>518</v>
      </c>
      <c r="D506" t="s">
        <v>519</v>
      </c>
      <c r="E506" t="s">
        <v>80</v>
      </c>
      <c r="F506" t="s">
        <v>15</v>
      </c>
      <c r="G506" t="s">
        <v>16</v>
      </c>
      <c r="H506">
        <v>4</v>
      </c>
      <c r="I506">
        <v>11900</v>
      </c>
      <c r="J506">
        <v>0.15</v>
      </c>
      <c r="K506">
        <v>3075.04</v>
      </c>
    </row>
    <row r="507" spans="1:11" x14ac:dyDescent="0.3">
      <c r="A507" t="s">
        <v>995</v>
      </c>
      <c r="B507" s="1">
        <v>45777</v>
      </c>
      <c r="C507" t="s">
        <v>359</v>
      </c>
      <c r="D507" t="s">
        <v>360</v>
      </c>
      <c r="E507" t="s">
        <v>210</v>
      </c>
      <c r="F507" t="s">
        <v>15</v>
      </c>
      <c r="G507" t="s">
        <v>20</v>
      </c>
      <c r="H507">
        <v>7</v>
      </c>
      <c r="I507">
        <v>385000</v>
      </c>
      <c r="J507">
        <v>0</v>
      </c>
      <c r="K507">
        <v>63418.78</v>
      </c>
    </row>
    <row r="508" spans="1:11" x14ac:dyDescent="0.3">
      <c r="A508" t="s">
        <v>996</v>
      </c>
      <c r="B508" s="1">
        <v>45994</v>
      </c>
      <c r="C508" t="s">
        <v>346</v>
      </c>
      <c r="D508" t="s">
        <v>347</v>
      </c>
      <c r="E508" t="s">
        <v>64</v>
      </c>
      <c r="F508" t="s">
        <v>57</v>
      </c>
      <c r="G508" t="s">
        <v>34</v>
      </c>
      <c r="H508">
        <v>1</v>
      </c>
      <c r="I508">
        <v>6400</v>
      </c>
      <c r="J508">
        <v>0.2</v>
      </c>
      <c r="K508">
        <v>1314.37</v>
      </c>
    </row>
    <row r="509" spans="1:11" x14ac:dyDescent="0.3">
      <c r="A509" t="s">
        <v>997</v>
      </c>
      <c r="B509" s="1">
        <v>45909</v>
      </c>
      <c r="C509" t="s">
        <v>36</v>
      </c>
      <c r="D509" t="s">
        <v>37</v>
      </c>
      <c r="E509" t="s">
        <v>51</v>
      </c>
      <c r="F509" t="s">
        <v>15</v>
      </c>
      <c r="G509" t="s">
        <v>16</v>
      </c>
      <c r="H509">
        <v>4</v>
      </c>
      <c r="I509">
        <v>3312</v>
      </c>
      <c r="J509">
        <v>0.08</v>
      </c>
      <c r="K509">
        <v>1168.55</v>
      </c>
    </row>
    <row r="510" spans="1:11" x14ac:dyDescent="0.3">
      <c r="A510" t="s">
        <v>998</v>
      </c>
      <c r="B510" s="1">
        <v>45776</v>
      </c>
      <c r="C510" t="s">
        <v>113</v>
      </c>
      <c r="D510" t="s">
        <v>114</v>
      </c>
      <c r="E510" t="s">
        <v>76</v>
      </c>
      <c r="F510" t="s">
        <v>25</v>
      </c>
      <c r="G510" t="s">
        <v>26</v>
      </c>
      <c r="H510">
        <v>2</v>
      </c>
      <c r="I510">
        <v>1000</v>
      </c>
      <c r="J510">
        <v>0</v>
      </c>
      <c r="K510">
        <v>319.07</v>
      </c>
    </row>
    <row r="511" spans="1:11" x14ac:dyDescent="0.3">
      <c r="A511" t="s">
        <v>999</v>
      </c>
      <c r="B511" s="1">
        <v>45701</v>
      </c>
      <c r="C511" t="s">
        <v>737</v>
      </c>
      <c r="D511" t="s">
        <v>738</v>
      </c>
      <c r="E511" t="s">
        <v>56</v>
      </c>
      <c r="F511" t="s">
        <v>57</v>
      </c>
      <c r="G511" t="s">
        <v>26</v>
      </c>
      <c r="H511">
        <v>8</v>
      </c>
      <c r="I511">
        <v>40800</v>
      </c>
      <c r="J511">
        <v>0.15</v>
      </c>
      <c r="K511">
        <v>9244.74</v>
      </c>
    </row>
    <row r="512" spans="1:11" x14ac:dyDescent="0.3">
      <c r="A512" t="s">
        <v>1000</v>
      </c>
      <c r="B512" s="1">
        <v>45948</v>
      </c>
      <c r="C512" t="s">
        <v>933</v>
      </c>
      <c r="D512" t="s">
        <v>934</v>
      </c>
      <c r="E512" t="s">
        <v>223</v>
      </c>
      <c r="F512" t="s">
        <v>57</v>
      </c>
      <c r="G512" t="s">
        <v>16</v>
      </c>
      <c r="H512">
        <v>2</v>
      </c>
      <c r="I512">
        <v>12600</v>
      </c>
      <c r="J512">
        <v>0.1</v>
      </c>
      <c r="K512">
        <v>2575.89</v>
      </c>
    </row>
    <row r="513" spans="1:11" x14ac:dyDescent="0.3">
      <c r="A513" t="s">
        <v>1001</v>
      </c>
      <c r="B513" s="1">
        <v>45819</v>
      </c>
      <c r="C513" t="s">
        <v>439</v>
      </c>
      <c r="D513" t="s">
        <v>440</v>
      </c>
      <c r="E513" t="s">
        <v>115</v>
      </c>
      <c r="F513" t="s">
        <v>25</v>
      </c>
      <c r="G513" t="s">
        <v>43</v>
      </c>
      <c r="H513">
        <v>5</v>
      </c>
      <c r="I513">
        <v>1200</v>
      </c>
      <c r="J513">
        <v>0.2</v>
      </c>
      <c r="K513">
        <v>409.08</v>
      </c>
    </row>
    <row r="514" spans="1:11" x14ac:dyDescent="0.3">
      <c r="A514" t="s">
        <v>1002</v>
      </c>
      <c r="B514" s="1">
        <v>45797</v>
      </c>
      <c r="C514" t="s">
        <v>328</v>
      </c>
      <c r="D514" t="s">
        <v>329</v>
      </c>
      <c r="E514" t="s">
        <v>64</v>
      </c>
      <c r="F514" t="s">
        <v>57</v>
      </c>
      <c r="G514" t="s">
        <v>16</v>
      </c>
      <c r="H514">
        <v>6</v>
      </c>
      <c r="I514">
        <v>44160</v>
      </c>
      <c r="J514">
        <v>0.08</v>
      </c>
      <c r="K514">
        <v>9259.68</v>
      </c>
    </row>
    <row r="515" spans="1:11" x14ac:dyDescent="0.3">
      <c r="A515" t="s">
        <v>1003</v>
      </c>
      <c r="B515" s="1">
        <v>45712</v>
      </c>
      <c r="C515" t="s">
        <v>933</v>
      </c>
      <c r="D515" t="s">
        <v>934</v>
      </c>
      <c r="E515" t="s">
        <v>160</v>
      </c>
      <c r="F515" t="s">
        <v>25</v>
      </c>
      <c r="G515" t="s">
        <v>43</v>
      </c>
      <c r="H515">
        <v>2</v>
      </c>
      <c r="I515">
        <v>1372</v>
      </c>
      <c r="J515">
        <v>0.02</v>
      </c>
      <c r="K515">
        <v>405.37</v>
      </c>
    </row>
    <row r="516" spans="1:11" x14ac:dyDescent="0.3">
      <c r="A516" t="s">
        <v>1004</v>
      </c>
      <c r="B516" s="1">
        <v>45841</v>
      </c>
      <c r="C516" t="s">
        <v>166</v>
      </c>
      <c r="D516" t="s">
        <v>167</v>
      </c>
      <c r="E516" t="s">
        <v>200</v>
      </c>
      <c r="F516" t="s">
        <v>57</v>
      </c>
      <c r="G516" t="s">
        <v>16</v>
      </c>
      <c r="H516">
        <v>2</v>
      </c>
      <c r="I516">
        <v>3240</v>
      </c>
      <c r="J516">
        <v>0.1</v>
      </c>
      <c r="K516">
        <v>949.34</v>
      </c>
    </row>
    <row r="517" spans="1:11" x14ac:dyDescent="0.3">
      <c r="A517" t="s">
        <v>1005</v>
      </c>
      <c r="B517" s="1">
        <v>45719</v>
      </c>
      <c r="C517" t="s">
        <v>117</v>
      </c>
      <c r="D517" t="s">
        <v>118</v>
      </c>
      <c r="E517" t="s">
        <v>115</v>
      </c>
      <c r="F517" t="s">
        <v>25</v>
      </c>
      <c r="G517" t="s">
        <v>34</v>
      </c>
      <c r="H517">
        <v>8</v>
      </c>
      <c r="I517">
        <v>2280</v>
      </c>
      <c r="J517">
        <v>0.05</v>
      </c>
      <c r="K517">
        <v>697.57</v>
      </c>
    </row>
    <row r="518" spans="1:11" x14ac:dyDescent="0.3">
      <c r="A518" t="s">
        <v>1006</v>
      </c>
      <c r="B518" s="1">
        <v>45825</v>
      </c>
      <c r="C518" t="s">
        <v>721</v>
      </c>
      <c r="D518" t="s">
        <v>722</v>
      </c>
      <c r="E518" t="s">
        <v>158</v>
      </c>
      <c r="F518" t="s">
        <v>25</v>
      </c>
      <c r="G518" t="s">
        <v>16</v>
      </c>
      <c r="H518">
        <v>1</v>
      </c>
      <c r="I518">
        <v>784</v>
      </c>
      <c r="J518">
        <v>0.02</v>
      </c>
      <c r="K518">
        <v>229.68</v>
      </c>
    </row>
    <row r="519" spans="1:11" x14ac:dyDescent="0.3">
      <c r="A519" t="s">
        <v>1007</v>
      </c>
      <c r="B519" s="1">
        <v>45683</v>
      </c>
      <c r="C519" t="s">
        <v>212</v>
      </c>
      <c r="D519" t="s">
        <v>213</v>
      </c>
      <c r="E519" t="s">
        <v>56</v>
      </c>
      <c r="F519" t="s">
        <v>57</v>
      </c>
      <c r="G519" t="s">
        <v>34</v>
      </c>
      <c r="H519">
        <v>7</v>
      </c>
      <c r="I519">
        <v>37800</v>
      </c>
      <c r="J519">
        <v>0.1</v>
      </c>
      <c r="K519">
        <v>8852.82</v>
      </c>
    </row>
    <row r="520" spans="1:11" x14ac:dyDescent="0.3">
      <c r="A520" t="s">
        <v>1008</v>
      </c>
      <c r="B520" s="1">
        <v>45889</v>
      </c>
      <c r="C520" t="s">
        <v>617</v>
      </c>
      <c r="D520" t="s">
        <v>618</v>
      </c>
      <c r="E520" t="s">
        <v>33</v>
      </c>
      <c r="F520" t="s">
        <v>15</v>
      </c>
      <c r="G520" t="s">
        <v>26</v>
      </c>
      <c r="H520">
        <v>1</v>
      </c>
      <c r="I520">
        <v>1656</v>
      </c>
      <c r="J520">
        <v>0.08</v>
      </c>
      <c r="K520">
        <v>545.37</v>
      </c>
    </row>
    <row r="521" spans="1:11" x14ac:dyDescent="0.3">
      <c r="A521" t="s">
        <v>1009</v>
      </c>
      <c r="B521" s="1">
        <v>45729</v>
      </c>
      <c r="C521" t="s">
        <v>136</v>
      </c>
      <c r="D521" t="s">
        <v>137</v>
      </c>
      <c r="E521" t="s">
        <v>14</v>
      </c>
      <c r="F521" t="s">
        <v>15</v>
      </c>
      <c r="G521" t="s">
        <v>20</v>
      </c>
      <c r="H521">
        <v>8</v>
      </c>
      <c r="I521">
        <v>144000</v>
      </c>
      <c r="J521">
        <v>0</v>
      </c>
      <c r="K521">
        <v>26304.11</v>
      </c>
    </row>
    <row r="522" spans="1:11" x14ac:dyDescent="0.3">
      <c r="A522" t="s">
        <v>1010</v>
      </c>
      <c r="B522" s="1">
        <v>45863</v>
      </c>
      <c r="C522" t="s">
        <v>186</v>
      </c>
      <c r="D522" t="s">
        <v>187</v>
      </c>
      <c r="E522" t="s">
        <v>24</v>
      </c>
      <c r="F522" t="s">
        <v>25</v>
      </c>
      <c r="G522" t="s">
        <v>20</v>
      </c>
      <c r="H522">
        <v>3</v>
      </c>
      <c r="I522">
        <v>35280</v>
      </c>
      <c r="J522">
        <v>0.02</v>
      </c>
      <c r="K522">
        <v>7159.19</v>
      </c>
    </row>
    <row r="523" spans="1:11" x14ac:dyDescent="0.3">
      <c r="A523" t="s">
        <v>1011</v>
      </c>
      <c r="B523" s="1">
        <v>45696</v>
      </c>
      <c r="C523" t="s">
        <v>482</v>
      </c>
      <c r="D523" t="s">
        <v>483</v>
      </c>
      <c r="E523" t="s">
        <v>160</v>
      </c>
      <c r="F523" t="s">
        <v>25</v>
      </c>
      <c r="G523" t="s">
        <v>20</v>
      </c>
      <c r="H523">
        <v>5</v>
      </c>
      <c r="I523">
        <v>2800</v>
      </c>
      <c r="J523">
        <v>0.2</v>
      </c>
      <c r="K523">
        <v>740.84</v>
      </c>
    </row>
    <row r="524" spans="1:11" x14ac:dyDescent="0.3">
      <c r="A524" t="s">
        <v>1012</v>
      </c>
      <c r="B524" s="1">
        <v>45827</v>
      </c>
      <c r="C524" t="s">
        <v>872</v>
      </c>
      <c r="D524" t="s">
        <v>873</v>
      </c>
      <c r="E524" t="s">
        <v>71</v>
      </c>
      <c r="F524" t="s">
        <v>72</v>
      </c>
      <c r="G524" t="s">
        <v>43</v>
      </c>
      <c r="H524">
        <v>3</v>
      </c>
      <c r="I524">
        <v>6600</v>
      </c>
      <c r="J524">
        <v>0</v>
      </c>
      <c r="K524">
        <v>1973.17</v>
      </c>
    </row>
    <row r="525" spans="1:11" x14ac:dyDescent="0.3">
      <c r="A525" t="s">
        <v>1013</v>
      </c>
      <c r="B525" s="1">
        <v>45860</v>
      </c>
      <c r="C525" t="s">
        <v>634</v>
      </c>
      <c r="D525" t="s">
        <v>635</v>
      </c>
      <c r="E525" t="s">
        <v>33</v>
      </c>
      <c r="F525" t="s">
        <v>15</v>
      </c>
      <c r="G525" t="s">
        <v>43</v>
      </c>
      <c r="H525">
        <v>7</v>
      </c>
      <c r="I525">
        <v>10080</v>
      </c>
      <c r="J525">
        <v>0.2</v>
      </c>
      <c r="K525">
        <v>3147.4</v>
      </c>
    </row>
    <row r="526" spans="1:11" x14ac:dyDescent="0.3">
      <c r="A526" t="s">
        <v>1014</v>
      </c>
      <c r="B526" s="1">
        <v>45767</v>
      </c>
      <c r="C526" t="s">
        <v>89</v>
      </c>
      <c r="D526" t="s">
        <v>90</v>
      </c>
      <c r="E526" t="s">
        <v>200</v>
      </c>
      <c r="F526" t="s">
        <v>57</v>
      </c>
      <c r="G526" t="s">
        <v>34</v>
      </c>
      <c r="H526">
        <v>3</v>
      </c>
      <c r="I526">
        <v>5130</v>
      </c>
      <c r="J526">
        <v>0.05</v>
      </c>
      <c r="K526">
        <v>1504.24</v>
      </c>
    </row>
    <row r="527" spans="1:11" x14ac:dyDescent="0.3">
      <c r="A527" t="s">
        <v>1015</v>
      </c>
      <c r="B527" s="1">
        <v>45972</v>
      </c>
      <c r="C527" t="s">
        <v>126</v>
      </c>
      <c r="D527" t="s">
        <v>127</v>
      </c>
      <c r="E527" t="s">
        <v>71</v>
      </c>
      <c r="F527" t="s">
        <v>72</v>
      </c>
      <c r="G527" t="s">
        <v>16</v>
      </c>
      <c r="H527">
        <v>3</v>
      </c>
      <c r="I527">
        <v>6600</v>
      </c>
      <c r="J527">
        <v>0</v>
      </c>
      <c r="K527">
        <v>2140.04</v>
      </c>
    </row>
    <row r="528" spans="1:11" x14ac:dyDescent="0.3">
      <c r="A528" t="s">
        <v>1016</v>
      </c>
      <c r="B528" s="1">
        <v>45939</v>
      </c>
      <c r="C528" t="s">
        <v>404</v>
      </c>
      <c r="D528" t="s">
        <v>405</v>
      </c>
      <c r="E528" t="s">
        <v>115</v>
      </c>
      <c r="F528" t="s">
        <v>25</v>
      </c>
      <c r="G528" t="s">
        <v>20</v>
      </c>
      <c r="H528">
        <v>8</v>
      </c>
      <c r="I528">
        <v>2208</v>
      </c>
      <c r="J528">
        <v>0.08</v>
      </c>
      <c r="K528">
        <v>717.32</v>
      </c>
    </row>
    <row r="529" spans="1:11" x14ac:dyDescent="0.3">
      <c r="A529" t="s">
        <v>1017</v>
      </c>
      <c r="B529" s="1">
        <v>45760</v>
      </c>
      <c r="C529" t="s">
        <v>126</v>
      </c>
      <c r="D529" t="s">
        <v>127</v>
      </c>
      <c r="E529" t="s">
        <v>223</v>
      </c>
      <c r="F529" t="s">
        <v>57</v>
      </c>
      <c r="G529" t="s">
        <v>26</v>
      </c>
      <c r="H529">
        <v>3</v>
      </c>
      <c r="I529">
        <v>19320</v>
      </c>
      <c r="J529">
        <v>0.08</v>
      </c>
      <c r="K529">
        <v>4429.5600000000004</v>
      </c>
    </row>
    <row r="530" spans="1:11" x14ac:dyDescent="0.3">
      <c r="A530" t="s">
        <v>1018</v>
      </c>
      <c r="B530" s="1">
        <v>45841</v>
      </c>
      <c r="C530" t="s">
        <v>136</v>
      </c>
      <c r="D530" t="s">
        <v>137</v>
      </c>
      <c r="E530" t="s">
        <v>47</v>
      </c>
      <c r="F530" t="s">
        <v>15</v>
      </c>
      <c r="G530" t="s">
        <v>43</v>
      </c>
      <c r="H530">
        <v>1</v>
      </c>
      <c r="I530">
        <v>5980</v>
      </c>
      <c r="J530">
        <v>0.08</v>
      </c>
      <c r="K530">
        <v>1165.77</v>
      </c>
    </row>
    <row r="531" spans="1:11" x14ac:dyDescent="0.3">
      <c r="A531" t="s">
        <v>1019</v>
      </c>
      <c r="B531" s="1">
        <v>45796</v>
      </c>
      <c r="C531" t="s">
        <v>417</v>
      </c>
      <c r="D531" t="s">
        <v>418</v>
      </c>
      <c r="E531" t="s">
        <v>160</v>
      </c>
      <c r="F531" t="s">
        <v>25</v>
      </c>
      <c r="G531" t="s">
        <v>34</v>
      </c>
      <c r="H531">
        <v>6</v>
      </c>
      <c r="I531">
        <v>3864</v>
      </c>
      <c r="J531">
        <v>0.08</v>
      </c>
      <c r="K531">
        <v>1120.3800000000001</v>
      </c>
    </row>
    <row r="532" spans="1:11" x14ac:dyDescent="0.3">
      <c r="A532" t="s">
        <v>1020</v>
      </c>
      <c r="B532" s="1">
        <v>45801</v>
      </c>
      <c r="C532" t="s">
        <v>378</v>
      </c>
      <c r="D532" t="s">
        <v>379</v>
      </c>
      <c r="E532" t="s">
        <v>24</v>
      </c>
      <c r="F532" t="s">
        <v>25</v>
      </c>
      <c r="G532" t="s">
        <v>43</v>
      </c>
      <c r="H532">
        <v>1</v>
      </c>
      <c r="I532">
        <v>9600</v>
      </c>
      <c r="J532">
        <v>0.2</v>
      </c>
      <c r="K532">
        <v>1698.44</v>
      </c>
    </row>
    <row r="533" spans="1:11" x14ac:dyDescent="0.3">
      <c r="A533" t="s">
        <v>1021</v>
      </c>
      <c r="B533" s="1">
        <v>45709</v>
      </c>
      <c r="C533" t="s">
        <v>474</v>
      </c>
      <c r="D533" t="s">
        <v>475</v>
      </c>
      <c r="E533" t="s">
        <v>56</v>
      </c>
      <c r="F533" t="s">
        <v>57</v>
      </c>
      <c r="G533" t="s">
        <v>16</v>
      </c>
      <c r="H533">
        <v>4</v>
      </c>
      <c r="I533">
        <v>23520</v>
      </c>
      <c r="J533">
        <v>0.02</v>
      </c>
      <c r="K533">
        <v>5234.08</v>
      </c>
    </row>
    <row r="534" spans="1:11" x14ac:dyDescent="0.3">
      <c r="A534" t="s">
        <v>1022</v>
      </c>
      <c r="B534" s="1">
        <v>45770</v>
      </c>
      <c r="C534" t="s">
        <v>66</v>
      </c>
      <c r="D534" t="s">
        <v>67</v>
      </c>
      <c r="E534" t="s">
        <v>47</v>
      </c>
      <c r="F534" t="s">
        <v>15</v>
      </c>
      <c r="G534" t="s">
        <v>43</v>
      </c>
      <c r="H534">
        <v>1</v>
      </c>
      <c r="I534">
        <v>5200</v>
      </c>
      <c r="J534">
        <v>0.2</v>
      </c>
      <c r="K534">
        <v>990.74</v>
      </c>
    </row>
    <row r="535" spans="1:11" x14ac:dyDescent="0.3">
      <c r="A535" t="s">
        <v>1023</v>
      </c>
      <c r="B535" s="1">
        <v>45961</v>
      </c>
      <c r="C535" t="s">
        <v>907</v>
      </c>
      <c r="D535" t="s">
        <v>908</v>
      </c>
      <c r="E535" t="s">
        <v>33</v>
      </c>
      <c r="F535" t="s">
        <v>15</v>
      </c>
      <c r="G535" t="s">
        <v>34</v>
      </c>
      <c r="H535">
        <v>3</v>
      </c>
      <c r="I535">
        <v>5292</v>
      </c>
      <c r="J535">
        <v>0.02</v>
      </c>
      <c r="K535">
        <v>1702.59</v>
      </c>
    </row>
    <row r="536" spans="1:11" x14ac:dyDescent="0.3">
      <c r="A536" t="s">
        <v>1024</v>
      </c>
      <c r="B536" s="1">
        <v>46016</v>
      </c>
      <c r="C536" t="s">
        <v>839</v>
      </c>
      <c r="D536" t="s">
        <v>840</v>
      </c>
      <c r="E536" t="s">
        <v>160</v>
      </c>
      <c r="F536" t="s">
        <v>25</v>
      </c>
      <c r="G536" t="s">
        <v>26</v>
      </c>
      <c r="H536">
        <v>1</v>
      </c>
      <c r="I536">
        <v>595</v>
      </c>
      <c r="J536">
        <v>0.15</v>
      </c>
      <c r="K536">
        <v>173.53</v>
      </c>
    </row>
    <row r="537" spans="1:11" x14ac:dyDescent="0.3">
      <c r="A537" t="s">
        <v>1025</v>
      </c>
      <c r="B537" s="1">
        <v>45910</v>
      </c>
      <c r="C537" t="s">
        <v>162</v>
      </c>
      <c r="D537" t="s">
        <v>163</v>
      </c>
      <c r="E537" t="s">
        <v>180</v>
      </c>
      <c r="F537" t="s">
        <v>15</v>
      </c>
      <c r="G537" t="s">
        <v>16</v>
      </c>
      <c r="H537">
        <v>4</v>
      </c>
      <c r="I537">
        <v>9600</v>
      </c>
      <c r="J537">
        <v>0.2</v>
      </c>
      <c r="K537">
        <v>3026.96</v>
      </c>
    </row>
    <row r="538" spans="1:11" x14ac:dyDescent="0.3">
      <c r="A538" t="s">
        <v>1026</v>
      </c>
      <c r="B538" s="1">
        <v>45777</v>
      </c>
      <c r="C538" t="s">
        <v>331</v>
      </c>
      <c r="D538" t="s">
        <v>332</v>
      </c>
      <c r="E538" t="s">
        <v>42</v>
      </c>
      <c r="F538" t="s">
        <v>15</v>
      </c>
      <c r="G538" t="s">
        <v>20</v>
      </c>
      <c r="H538">
        <v>2</v>
      </c>
      <c r="I538">
        <v>48000</v>
      </c>
      <c r="J538">
        <v>0</v>
      </c>
      <c r="K538">
        <v>10162.66</v>
      </c>
    </row>
    <row r="539" spans="1:11" x14ac:dyDescent="0.3">
      <c r="A539" t="s">
        <v>1027</v>
      </c>
      <c r="B539" s="1">
        <v>45972</v>
      </c>
      <c r="C539" t="s">
        <v>515</v>
      </c>
      <c r="D539" t="s">
        <v>516</v>
      </c>
      <c r="E539" t="s">
        <v>80</v>
      </c>
      <c r="F539" t="s">
        <v>15</v>
      </c>
      <c r="G539" t="s">
        <v>16</v>
      </c>
      <c r="H539">
        <v>1</v>
      </c>
      <c r="I539">
        <v>3325</v>
      </c>
      <c r="J539">
        <v>0.05</v>
      </c>
      <c r="K539">
        <v>800.76</v>
      </c>
    </row>
    <row r="540" spans="1:11" x14ac:dyDescent="0.3">
      <c r="A540" t="s">
        <v>1028</v>
      </c>
      <c r="B540" s="1">
        <v>45669</v>
      </c>
      <c r="C540" t="s">
        <v>411</v>
      </c>
      <c r="D540" t="s">
        <v>412</v>
      </c>
      <c r="E540" t="s">
        <v>33</v>
      </c>
      <c r="F540" t="s">
        <v>15</v>
      </c>
      <c r="G540" t="s">
        <v>16</v>
      </c>
      <c r="H540">
        <v>6</v>
      </c>
      <c r="I540">
        <v>10800</v>
      </c>
      <c r="J540">
        <v>0</v>
      </c>
      <c r="K540">
        <v>3397.08</v>
      </c>
    </row>
    <row r="541" spans="1:11" x14ac:dyDescent="0.3">
      <c r="A541" t="s">
        <v>1029</v>
      </c>
      <c r="B541" s="1">
        <v>45849</v>
      </c>
      <c r="C541" t="s">
        <v>466</v>
      </c>
      <c r="D541" t="s">
        <v>467</v>
      </c>
      <c r="E541" t="s">
        <v>14</v>
      </c>
      <c r="F541" t="s">
        <v>15</v>
      </c>
      <c r="G541" t="s">
        <v>43</v>
      </c>
      <c r="H541">
        <v>6</v>
      </c>
      <c r="I541">
        <v>108000</v>
      </c>
      <c r="J541">
        <v>0</v>
      </c>
      <c r="K541">
        <v>21687.25</v>
      </c>
    </row>
    <row r="542" spans="1:11" x14ac:dyDescent="0.3">
      <c r="A542" t="s">
        <v>1030</v>
      </c>
      <c r="B542" s="1">
        <v>45823</v>
      </c>
      <c r="C542" t="s">
        <v>495</v>
      </c>
      <c r="D542" t="s">
        <v>496</v>
      </c>
      <c r="E542" t="s">
        <v>14</v>
      </c>
      <c r="F542" t="s">
        <v>15</v>
      </c>
      <c r="G542" t="s">
        <v>16</v>
      </c>
      <c r="H542">
        <v>6</v>
      </c>
      <c r="I542">
        <v>102600</v>
      </c>
      <c r="J542">
        <v>0.05</v>
      </c>
      <c r="K542">
        <v>18465.98</v>
      </c>
    </row>
    <row r="543" spans="1:11" x14ac:dyDescent="0.3">
      <c r="A543" t="s">
        <v>1031</v>
      </c>
      <c r="B543" s="1">
        <v>45820</v>
      </c>
      <c r="C543" t="s">
        <v>940</v>
      </c>
      <c r="D543" t="s">
        <v>941</v>
      </c>
      <c r="E543" t="s">
        <v>200</v>
      </c>
      <c r="F543" t="s">
        <v>57</v>
      </c>
      <c r="G543" t="s">
        <v>26</v>
      </c>
      <c r="H543">
        <v>8</v>
      </c>
      <c r="I543">
        <v>12240</v>
      </c>
      <c r="J543">
        <v>0.15</v>
      </c>
      <c r="K543">
        <v>3041.49</v>
      </c>
    </row>
    <row r="544" spans="1:11" x14ac:dyDescent="0.3">
      <c r="A544" t="s">
        <v>1032</v>
      </c>
      <c r="B544" s="1">
        <v>45998</v>
      </c>
      <c r="C544" t="s">
        <v>663</v>
      </c>
      <c r="D544" t="s">
        <v>664</v>
      </c>
      <c r="E544" t="s">
        <v>158</v>
      </c>
      <c r="F544" t="s">
        <v>25</v>
      </c>
      <c r="G544" t="s">
        <v>16</v>
      </c>
      <c r="H544">
        <v>6</v>
      </c>
      <c r="I544">
        <v>4704</v>
      </c>
      <c r="J544">
        <v>0.02</v>
      </c>
      <c r="K544">
        <v>1483.85</v>
      </c>
    </row>
    <row r="545" spans="1:11" x14ac:dyDescent="0.3">
      <c r="A545" t="s">
        <v>1033</v>
      </c>
      <c r="B545" s="1">
        <v>45748</v>
      </c>
      <c r="C545" t="s">
        <v>799</v>
      </c>
      <c r="D545" t="s">
        <v>800</v>
      </c>
      <c r="E545" t="s">
        <v>115</v>
      </c>
      <c r="F545" t="s">
        <v>25</v>
      </c>
      <c r="G545" t="s">
        <v>26</v>
      </c>
      <c r="H545">
        <v>5</v>
      </c>
      <c r="I545">
        <v>1470</v>
      </c>
      <c r="J545">
        <v>0.02</v>
      </c>
      <c r="K545">
        <v>505.81</v>
      </c>
    </row>
    <row r="546" spans="1:11" x14ac:dyDescent="0.3">
      <c r="A546" t="s">
        <v>1034</v>
      </c>
      <c r="B546" s="1">
        <v>45966</v>
      </c>
      <c r="C546" t="s">
        <v>802</v>
      </c>
      <c r="D546" t="s">
        <v>803</v>
      </c>
      <c r="E546" t="s">
        <v>160</v>
      </c>
      <c r="F546" t="s">
        <v>25</v>
      </c>
      <c r="G546" t="s">
        <v>26</v>
      </c>
      <c r="H546">
        <v>1</v>
      </c>
      <c r="I546">
        <v>686</v>
      </c>
      <c r="J546">
        <v>0.02</v>
      </c>
      <c r="K546">
        <v>208.1</v>
      </c>
    </row>
    <row r="547" spans="1:11" x14ac:dyDescent="0.3">
      <c r="A547" t="s">
        <v>1035</v>
      </c>
      <c r="B547" s="1">
        <v>45730</v>
      </c>
      <c r="C547" t="s">
        <v>62</v>
      </c>
      <c r="D547" t="s">
        <v>63</v>
      </c>
      <c r="E547" t="s">
        <v>160</v>
      </c>
      <c r="F547" t="s">
        <v>25</v>
      </c>
      <c r="G547" t="s">
        <v>20</v>
      </c>
      <c r="H547">
        <v>2</v>
      </c>
      <c r="I547">
        <v>1288</v>
      </c>
      <c r="J547">
        <v>0.08</v>
      </c>
      <c r="K547">
        <v>384.11</v>
      </c>
    </row>
    <row r="548" spans="1:11" x14ac:dyDescent="0.3">
      <c r="A548" t="s">
        <v>1036</v>
      </c>
      <c r="B548" s="1">
        <v>45983</v>
      </c>
      <c r="C548" t="s">
        <v>439</v>
      </c>
      <c r="D548" t="s">
        <v>440</v>
      </c>
      <c r="E548" t="s">
        <v>56</v>
      </c>
      <c r="F548" t="s">
        <v>57</v>
      </c>
      <c r="G548" t="s">
        <v>20</v>
      </c>
      <c r="H548">
        <v>6</v>
      </c>
      <c r="I548">
        <v>35280</v>
      </c>
      <c r="J548">
        <v>0.02</v>
      </c>
      <c r="K548">
        <v>8707.8700000000008</v>
      </c>
    </row>
    <row r="549" spans="1:11" x14ac:dyDescent="0.3">
      <c r="A549" t="s">
        <v>1037</v>
      </c>
      <c r="B549" s="1">
        <v>45793</v>
      </c>
      <c r="C549" t="s">
        <v>693</v>
      </c>
      <c r="D549" t="s">
        <v>694</v>
      </c>
      <c r="E549" t="s">
        <v>64</v>
      </c>
      <c r="F549" t="s">
        <v>57</v>
      </c>
      <c r="G549" t="s">
        <v>20</v>
      </c>
      <c r="H549">
        <v>8</v>
      </c>
      <c r="I549">
        <v>64000</v>
      </c>
      <c r="J549">
        <v>0</v>
      </c>
      <c r="K549">
        <v>13731.11</v>
      </c>
    </row>
    <row r="550" spans="1:11" x14ac:dyDescent="0.3">
      <c r="A550" t="s">
        <v>1038</v>
      </c>
      <c r="B550" s="1">
        <v>45658</v>
      </c>
      <c r="C550" t="s">
        <v>388</v>
      </c>
      <c r="D550" t="s">
        <v>389</v>
      </c>
      <c r="E550" t="s">
        <v>76</v>
      </c>
      <c r="F550" t="s">
        <v>25</v>
      </c>
      <c r="G550" t="s">
        <v>43</v>
      </c>
      <c r="H550">
        <v>2</v>
      </c>
      <c r="I550">
        <v>850</v>
      </c>
      <c r="J550">
        <v>0.15</v>
      </c>
      <c r="K550">
        <v>222.06</v>
      </c>
    </row>
    <row r="551" spans="1:11" x14ac:dyDescent="0.3">
      <c r="A551" t="s">
        <v>1039</v>
      </c>
      <c r="B551" s="1">
        <v>45910</v>
      </c>
      <c r="C551" t="s">
        <v>940</v>
      </c>
      <c r="D551" t="s">
        <v>941</v>
      </c>
      <c r="E551" t="s">
        <v>200</v>
      </c>
      <c r="F551" t="s">
        <v>57</v>
      </c>
      <c r="G551" t="s">
        <v>34</v>
      </c>
      <c r="H551">
        <v>3</v>
      </c>
      <c r="I551">
        <v>4968</v>
      </c>
      <c r="J551">
        <v>0.08</v>
      </c>
      <c r="K551">
        <v>1441.62</v>
      </c>
    </row>
    <row r="552" spans="1:11" x14ac:dyDescent="0.3">
      <c r="A552" t="s">
        <v>1040</v>
      </c>
      <c r="B552" s="1">
        <v>45903</v>
      </c>
      <c r="C552" t="s">
        <v>190</v>
      </c>
      <c r="D552" t="s">
        <v>191</v>
      </c>
      <c r="E552" t="s">
        <v>223</v>
      </c>
      <c r="F552" t="s">
        <v>57</v>
      </c>
      <c r="G552" t="s">
        <v>26</v>
      </c>
      <c r="H552">
        <v>2</v>
      </c>
      <c r="I552">
        <v>11200</v>
      </c>
      <c r="J552">
        <v>0.2</v>
      </c>
      <c r="K552">
        <v>2547.83</v>
      </c>
    </row>
    <row r="553" spans="1:11" x14ac:dyDescent="0.3">
      <c r="A553" t="s">
        <v>1041</v>
      </c>
      <c r="B553" s="1">
        <v>45695</v>
      </c>
      <c r="C553" t="s">
        <v>433</v>
      </c>
      <c r="D553" t="s">
        <v>434</v>
      </c>
      <c r="E553" t="s">
        <v>24</v>
      </c>
      <c r="F553" t="s">
        <v>25</v>
      </c>
      <c r="G553" t="s">
        <v>20</v>
      </c>
      <c r="H553">
        <v>3</v>
      </c>
      <c r="I553">
        <v>33120</v>
      </c>
      <c r="J553">
        <v>0.08</v>
      </c>
      <c r="K553">
        <v>7109.03</v>
      </c>
    </row>
    <row r="554" spans="1:11" x14ac:dyDescent="0.3">
      <c r="A554" t="s">
        <v>1042</v>
      </c>
      <c r="B554" s="1">
        <v>45711</v>
      </c>
      <c r="C554" t="s">
        <v>1043</v>
      </c>
      <c r="D554" t="s">
        <v>1044</v>
      </c>
      <c r="E554" t="s">
        <v>210</v>
      </c>
      <c r="F554" t="s">
        <v>15</v>
      </c>
      <c r="G554" t="s">
        <v>16</v>
      </c>
      <c r="H554">
        <v>6</v>
      </c>
      <c r="I554">
        <v>313500</v>
      </c>
      <c r="J554">
        <v>0.05</v>
      </c>
      <c r="K554">
        <v>46946.09</v>
      </c>
    </row>
    <row r="555" spans="1:11" x14ac:dyDescent="0.3">
      <c r="A555" t="s">
        <v>1045</v>
      </c>
      <c r="B555" s="1">
        <v>45696</v>
      </c>
      <c r="C555" t="s">
        <v>660</v>
      </c>
      <c r="D555" t="s">
        <v>661</v>
      </c>
      <c r="E555" t="s">
        <v>223</v>
      </c>
      <c r="F555" t="s">
        <v>57</v>
      </c>
      <c r="G555" t="s">
        <v>20</v>
      </c>
      <c r="H555">
        <v>3</v>
      </c>
      <c r="I555">
        <v>17850</v>
      </c>
      <c r="J555">
        <v>0.15</v>
      </c>
      <c r="K555">
        <v>3936.13</v>
      </c>
    </row>
    <row r="556" spans="1:11" x14ac:dyDescent="0.3">
      <c r="A556" t="s">
        <v>1046</v>
      </c>
      <c r="B556" s="1">
        <v>45673</v>
      </c>
      <c r="C556" t="s">
        <v>702</v>
      </c>
      <c r="D556" t="s">
        <v>703</v>
      </c>
      <c r="E556" t="s">
        <v>158</v>
      </c>
      <c r="F556" t="s">
        <v>25</v>
      </c>
      <c r="G556" t="s">
        <v>16</v>
      </c>
      <c r="H556">
        <v>8</v>
      </c>
      <c r="I556">
        <v>5440</v>
      </c>
      <c r="J556">
        <v>0.15</v>
      </c>
      <c r="K556">
        <v>1603.02</v>
      </c>
    </row>
    <row r="557" spans="1:11" x14ac:dyDescent="0.3">
      <c r="A557" t="s">
        <v>1047</v>
      </c>
      <c r="B557" s="1">
        <v>45709</v>
      </c>
      <c r="C557" t="s">
        <v>59</v>
      </c>
      <c r="D557" t="s">
        <v>60</v>
      </c>
      <c r="E557" t="s">
        <v>200</v>
      </c>
      <c r="F557" t="s">
        <v>57</v>
      </c>
      <c r="G557" t="s">
        <v>16</v>
      </c>
      <c r="H557">
        <v>3</v>
      </c>
      <c r="I557">
        <v>5400</v>
      </c>
      <c r="J557">
        <v>0</v>
      </c>
      <c r="K557">
        <v>1459.46</v>
      </c>
    </row>
    <row r="558" spans="1:11" x14ac:dyDescent="0.3">
      <c r="A558" t="s">
        <v>1048</v>
      </c>
      <c r="B558" s="1">
        <v>45802</v>
      </c>
      <c r="C558" t="s">
        <v>430</v>
      </c>
      <c r="D558" t="s">
        <v>431</v>
      </c>
      <c r="E558" t="s">
        <v>47</v>
      </c>
      <c r="F558" t="s">
        <v>15</v>
      </c>
      <c r="G558" t="s">
        <v>20</v>
      </c>
      <c r="H558">
        <v>5</v>
      </c>
      <c r="I558">
        <v>27625</v>
      </c>
      <c r="J558">
        <v>0.15</v>
      </c>
      <c r="K558">
        <v>5070.55</v>
      </c>
    </row>
    <row r="559" spans="1:11" x14ac:dyDescent="0.3">
      <c r="A559" t="s">
        <v>1049</v>
      </c>
      <c r="B559" s="1">
        <v>45685</v>
      </c>
      <c r="C559" t="s">
        <v>634</v>
      </c>
      <c r="D559" t="s">
        <v>635</v>
      </c>
      <c r="E559" t="s">
        <v>223</v>
      </c>
      <c r="F559" t="s">
        <v>57</v>
      </c>
      <c r="G559" t="s">
        <v>43</v>
      </c>
      <c r="H559">
        <v>8</v>
      </c>
      <c r="I559">
        <v>54880</v>
      </c>
      <c r="J559">
        <v>0.02</v>
      </c>
      <c r="K559">
        <v>12194.98</v>
      </c>
    </row>
    <row r="560" spans="1:11" x14ac:dyDescent="0.3">
      <c r="A560" t="s">
        <v>1050</v>
      </c>
      <c r="B560" s="1">
        <v>45707</v>
      </c>
      <c r="C560" t="s">
        <v>1051</v>
      </c>
      <c r="D560" t="s">
        <v>1052</v>
      </c>
      <c r="E560" t="s">
        <v>115</v>
      </c>
      <c r="F560" t="s">
        <v>25</v>
      </c>
      <c r="G560" t="s">
        <v>16</v>
      </c>
      <c r="H560">
        <v>8</v>
      </c>
      <c r="I560">
        <v>2352</v>
      </c>
      <c r="J560">
        <v>0.02</v>
      </c>
      <c r="K560">
        <v>719.29</v>
      </c>
    </row>
    <row r="561" spans="1:11" x14ac:dyDescent="0.3">
      <c r="A561" t="s">
        <v>1053</v>
      </c>
      <c r="B561" s="1">
        <v>45717</v>
      </c>
      <c r="C561" t="s">
        <v>12</v>
      </c>
      <c r="D561" t="s">
        <v>13</v>
      </c>
      <c r="E561" t="s">
        <v>115</v>
      </c>
      <c r="F561" t="s">
        <v>25</v>
      </c>
      <c r="G561" t="s">
        <v>43</v>
      </c>
      <c r="H561">
        <v>2</v>
      </c>
      <c r="I561">
        <v>552</v>
      </c>
      <c r="J561">
        <v>0.08</v>
      </c>
      <c r="K561">
        <v>173.87</v>
      </c>
    </row>
    <row r="562" spans="1:11" x14ac:dyDescent="0.3">
      <c r="A562" t="s">
        <v>1054</v>
      </c>
      <c r="B562" s="1">
        <v>45986</v>
      </c>
      <c r="C562" t="s">
        <v>1055</v>
      </c>
      <c r="D562" t="s">
        <v>1056</v>
      </c>
      <c r="E562" t="s">
        <v>80</v>
      </c>
      <c r="F562" t="s">
        <v>15</v>
      </c>
      <c r="G562" t="s">
        <v>16</v>
      </c>
      <c r="H562">
        <v>5</v>
      </c>
      <c r="I562">
        <v>17500</v>
      </c>
      <c r="J562">
        <v>0</v>
      </c>
      <c r="K562">
        <v>4531.7700000000004</v>
      </c>
    </row>
    <row r="563" spans="1:11" x14ac:dyDescent="0.3">
      <c r="A563" t="s">
        <v>1057</v>
      </c>
      <c r="B563" s="1">
        <v>45886</v>
      </c>
      <c r="C563" t="s">
        <v>781</v>
      </c>
      <c r="D563" t="s">
        <v>782</v>
      </c>
      <c r="E563" t="s">
        <v>223</v>
      </c>
      <c r="F563" t="s">
        <v>57</v>
      </c>
      <c r="G563" t="s">
        <v>43</v>
      </c>
      <c r="H563">
        <v>6</v>
      </c>
      <c r="I563">
        <v>41160</v>
      </c>
      <c r="J563">
        <v>0.02</v>
      </c>
      <c r="K563">
        <v>8660.5300000000007</v>
      </c>
    </row>
    <row r="564" spans="1:11" x14ac:dyDescent="0.3">
      <c r="A564" t="s">
        <v>1058</v>
      </c>
      <c r="B564" s="1">
        <v>45795</v>
      </c>
      <c r="C564" t="s">
        <v>85</v>
      </c>
      <c r="D564" t="s">
        <v>86</v>
      </c>
      <c r="E564" t="s">
        <v>76</v>
      </c>
      <c r="F564" t="s">
        <v>25</v>
      </c>
      <c r="G564" t="s">
        <v>16</v>
      </c>
      <c r="H564">
        <v>4</v>
      </c>
      <c r="I564">
        <v>1600</v>
      </c>
      <c r="J564">
        <v>0.2</v>
      </c>
      <c r="K564">
        <v>456.17</v>
      </c>
    </row>
    <row r="565" spans="1:11" x14ac:dyDescent="0.3">
      <c r="A565" t="s">
        <v>1059</v>
      </c>
      <c r="B565" s="1">
        <v>45834</v>
      </c>
      <c r="C565" t="s">
        <v>277</v>
      </c>
      <c r="D565" t="s">
        <v>278</v>
      </c>
      <c r="E565" t="s">
        <v>14</v>
      </c>
      <c r="F565" t="s">
        <v>15</v>
      </c>
      <c r="G565" t="s">
        <v>43</v>
      </c>
      <c r="H565">
        <v>2</v>
      </c>
      <c r="I565">
        <v>30600</v>
      </c>
      <c r="J565">
        <v>0.15</v>
      </c>
      <c r="K565">
        <v>6032.66</v>
      </c>
    </row>
    <row r="566" spans="1:11" x14ac:dyDescent="0.3">
      <c r="A566" t="s">
        <v>1060</v>
      </c>
      <c r="B566" s="1">
        <v>45689</v>
      </c>
      <c r="C566" t="s">
        <v>612</v>
      </c>
      <c r="D566" t="s">
        <v>613</v>
      </c>
      <c r="E566" t="s">
        <v>160</v>
      </c>
      <c r="F566" t="s">
        <v>25</v>
      </c>
      <c r="G566" t="s">
        <v>26</v>
      </c>
      <c r="H566">
        <v>4</v>
      </c>
      <c r="I566">
        <v>2520</v>
      </c>
      <c r="J566">
        <v>0.1</v>
      </c>
      <c r="K566">
        <v>817.98</v>
      </c>
    </row>
    <row r="567" spans="1:11" x14ac:dyDescent="0.3">
      <c r="A567" t="s">
        <v>1061</v>
      </c>
      <c r="B567" s="1">
        <v>45778</v>
      </c>
      <c r="C567" t="s">
        <v>28</v>
      </c>
      <c r="D567" t="s">
        <v>29</v>
      </c>
      <c r="E567" t="s">
        <v>47</v>
      </c>
      <c r="F567" t="s">
        <v>15</v>
      </c>
      <c r="G567" t="s">
        <v>20</v>
      </c>
      <c r="H567">
        <v>8</v>
      </c>
      <c r="I567">
        <v>46800</v>
      </c>
      <c r="J567">
        <v>0.1</v>
      </c>
      <c r="K567">
        <v>9060.5</v>
      </c>
    </row>
    <row r="568" spans="1:11" x14ac:dyDescent="0.3">
      <c r="A568" t="s">
        <v>1062</v>
      </c>
      <c r="B568" s="1">
        <v>45887</v>
      </c>
      <c r="C568" t="s">
        <v>69</v>
      </c>
      <c r="D568" t="s">
        <v>70</v>
      </c>
      <c r="E568" t="s">
        <v>42</v>
      </c>
      <c r="F568" t="s">
        <v>15</v>
      </c>
      <c r="G568" t="s">
        <v>16</v>
      </c>
      <c r="H568">
        <v>3</v>
      </c>
      <c r="I568">
        <v>72000</v>
      </c>
      <c r="J568">
        <v>0</v>
      </c>
      <c r="K568">
        <v>14214.91</v>
      </c>
    </row>
    <row r="569" spans="1:11" x14ac:dyDescent="0.3">
      <c r="A569" t="s">
        <v>1063</v>
      </c>
      <c r="B569" s="1">
        <v>45679</v>
      </c>
      <c r="C569" t="s">
        <v>612</v>
      </c>
      <c r="D569" t="s">
        <v>613</v>
      </c>
      <c r="E569" t="s">
        <v>51</v>
      </c>
      <c r="F569" t="s">
        <v>15</v>
      </c>
      <c r="G569" t="s">
        <v>43</v>
      </c>
      <c r="H569">
        <v>4</v>
      </c>
      <c r="I569">
        <v>3528</v>
      </c>
      <c r="J569">
        <v>0.02</v>
      </c>
      <c r="K569">
        <v>1155.29</v>
      </c>
    </row>
    <row r="570" spans="1:11" x14ac:dyDescent="0.3">
      <c r="A570" t="s">
        <v>1064</v>
      </c>
      <c r="B570" s="1">
        <v>45692</v>
      </c>
      <c r="C570" t="s">
        <v>688</v>
      </c>
      <c r="D570" t="s">
        <v>689</v>
      </c>
      <c r="E570" t="s">
        <v>180</v>
      </c>
      <c r="F570" t="s">
        <v>15</v>
      </c>
      <c r="G570" t="s">
        <v>26</v>
      </c>
      <c r="H570">
        <v>5</v>
      </c>
      <c r="I570">
        <v>14250</v>
      </c>
      <c r="J570">
        <v>0.05</v>
      </c>
      <c r="K570">
        <v>4357.12</v>
      </c>
    </row>
    <row r="571" spans="1:11" x14ac:dyDescent="0.3">
      <c r="A571" t="s">
        <v>1065</v>
      </c>
      <c r="B571" s="1">
        <v>45799</v>
      </c>
      <c r="C571" t="s">
        <v>69</v>
      </c>
      <c r="D571" t="s">
        <v>70</v>
      </c>
      <c r="E571" t="s">
        <v>47</v>
      </c>
      <c r="F571" t="s">
        <v>15</v>
      </c>
      <c r="G571" t="s">
        <v>20</v>
      </c>
      <c r="H571">
        <v>6</v>
      </c>
      <c r="I571">
        <v>31200</v>
      </c>
      <c r="J571">
        <v>0.2</v>
      </c>
      <c r="K571">
        <v>5874.57</v>
      </c>
    </row>
    <row r="572" spans="1:11" x14ac:dyDescent="0.3">
      <c r="A572" t="s">
        <v>1066</v>
      </c>
      <c r="B572" s="1">
        <v>45870</v>
      </c>
      <c r="C572" t="s">
        <v>504</v>
      </c>
      <c r="D572" t="s">
        <v>505</v>
      </c>
      <c r="E572" t="s">
        <v>158</v>
      </c>
      <c r="F572" t="s">
        <v>25</v>
      </c>
      <c r="G572" t="s">
        <v>26</v>
      </c>
      <c r="H572">
        <v>7</v>
      </c>
      <c r="I572">
        <v>5600</v>
      </c>
      <c r="J572">
        <v>0</v>
      </c>
      <c r="K572">
        <v>1651.9</v>
      </c>
    </row>
    <row r="573" spans="1:11" x14ac:dyDescent="0.3">
      <c r="A573" t="s">
        <v>1067</v>
      </c>
      <c r="B573" s="1">
        <v>45946</v>
      </c>
      <c r="C573" t="s">
        <v>495</v>
      </c>
      <c r="D573" t="s">
        <v>496</v>
      </c>
      <c r="E573" t="s">
        <v>160</v>
      </c>
      <c r="F573" t="s">
        <v>25</v>
      </c>
      <c r="G573" t="s">
        <v>34</v>
      </c>
      <c r="H573">
        <v>2</v>
      </c>
      <c r="I573">
        <v>1400</v>
      </c>
      <c r="J573">
        <v>0</v>
      </c>
      <c r="K573">
        <v>459.68</v>
      </c>
    </row>
    <row r="574" spans="1:11" x14ac:dyDescent="0.3">
      <c r="A574" t="s">
        <v>1068</v>
      </c>
      <c r="B574" s="1">
        <v>45793</v>
      </c>
      <c r="C574" t="s">
        <v>539</v>
      </c>
      <c r="D574" t="s">
        <v>540</v>
      </c>
      <c r="E574" t="s">
        <v>47</v>
      </c>
      <c r="F574" t="s">
        <v>15</v>
      </c>
      <c r="G574" t="s">
        <v>43</v>
      </c>
      <c r="H574">
        <v>6</v>
      </c>
      <c r="I574">
        <v>35880</v>
      </c>
      <c r="J574">
        <v>0.08</v>
      </c>
      <c r="K574">
        <v>6874.04</v>
      </c>
    </row>
    <row r="575" spans="1:11" x14ac:dyDescent="0.3">
      <c r="A575" t="s">
        <v>1069</v>
      </c>
      <c r="B575" s="1">
        <v>45746</v>
      </c>
      <c r="C575" t="s">
        <v>420</v>
      </c>
      <c r="D575" t="s">
        <v>421</v>
      </c>
      <c r="E575" t="s">
        <v>158</v>
      </c>
      <c r="F575" t="s">
        <v>25</v>
      </c>
      <c r="G575" t="s">
        <v>16</v>
      </c>
      <c r="H575">
        <v>8</v>
      </c>
      <c r="I575">
        <v>6400</v>
      </c>
      <c r="J575">
        <v>0</v>
      </c>
      <c r="K575">
        <v>1928.13</v>
      </c>
    </row>
    <row r="576" spans="1:11" x14ac:dyDescent="0.3">
      <c r="A576" t="s">
        <v>1070</v>
      </c>
      <c r="B576" s="1">
        <v>45860</v>
      </c>
      <c r="C576" t="s">
        <v>485</v>
      </c>
      <c r="D576" t="s">
        <v>486</v>
      </c>
      <c r="E576" t="s">
        <v>158</v>
      </c>
      <c r="F576" t="s">
        <v>25</v>
      </c>
      <c r="G576" t="s">
        <v>34</v>
      </c>
      <c r="H576">
        <v>7</v>
      </c>
      <c r="I576">
        <v>5600</v>
      </c>
      <c r="J576">
        <v>0</v>
      </c>
      <c r="K576">
        <v>1859.08</v>
      </c>
    </row>
    <row r="577" spans="1:11" x14ac:dyDescent="0.3">
      <c r="A577" t="s">
        <v>1071</v>
      </c>
      <c r="B577" s="1">
        <v>45901</v>
      </c>
      <c r="C577" t="s">
        <v>744</v>
      </c>
      <c r="D577" t="s">
        <v>745</v>
      </c>
      <c r="E577" t="s">
        <v>24</v>
      </c>
      <c r="F577" t="s">
        <v>25</v>
      </c>
      <c r="G577" t="s">
        <v>34</v>
      </c>
      <c r="H577">
        <v>1</v>
      </c>
      <c r="I577">
        <v>10200</v>
      </c>
      <c r="J577">
        <v>0.15</v>
      </c>
      <c r="K577">
        <v>2199.58</v>
      </c>
    </row>
    <row r="578" spans="1:11" x14ac:dyDescent="0.3">
      <c r="A578" t="s">
        <v>1072</v>
      </c>
      <c r="B578" s="1">
        <v>45801</v>
      </c>
      <c r="C578" t="s">
        <v>1073</v>
      </c>
      <c r="D578" t="s">
        <v>1074</v>
      </c>
      <c r="E578" t="s">
        <v>64</v>
      </c>
      <c r="F578" t="s">
        <v>57</v>
      </c>
      <c r="G578" t="s">
        <v>20</v>
      </c>
      <c r="H578">
        <v>5</v>
      </c>
      <c r="I578">
        <v>38000</v>
      </c>
      <c r="J578">
        <v>0.05</v>
      </c>
      <c r="K578">
        <v>8931.2000000000007</v>
      </c>
    </row>
    <row r="579" spans="1:11" x14ac:dyDescent="0.3">
      <c r="A579" t="s">
        <v>1075</v>
      </c>
      <c r="B579" s="1">
        <v>45884</v>
      </c>
      <c r="C579" t="s">
        <v>612</v>
      </c>
      <c r="D579" t="s">
        <v>613</v>
      </c>
      <c r="E579" t="s">
        <v>24</v>
      </c>
      <c r="F579" t="s">
        <v>25</v>
      </c>
      <c r="G579" t="s">
        <v>34</v>
      </c>
      <c r="H579">
        <v>3</v>
      </c>
      <c r="I579">
        <v>34200</v>
      </c>
      <c r="J579">
        <v>0.05</v>
      </c>
      <c r="K579">
        <v>7360.09</v>
      </c>
    </row>
    <row r="580" spans="1:11" x14ac:dyDescent="0.3">
      <c r="A580" t="s">
        <v>1076</v>
      </c>
      <c r="B580" s="1">
        <v>45884</v>
      </c>
      <c r="C580" t="s">
        <v>66</v>
      </c>
      <c r="D580" t="s">
        <v>67</v>
      </c>
      <c r="E580" t="s">
        <v>200</v>
      </c>
      <c r="F580" t="s">
        <v>57</v>
      </c>
      <c r="G580" t="s">
        <v>43</v>
      </c>
      <c r="H580">
        <v>2</v>
      </c>
      <c r="I580">
        <v>3528</v>
      </c>
      <c r="J580">
        <v>0.02</v>
      </c>
      <c r="K580">
        <v>928.82</v>
      </c>
    </row>
    <row r="581" spans="1:11" x14ac:dyDescent="0.3">
      <c r="A581" t="s">
        <v>1077</v>
      </c>
      <c r="B581" s="1">
        <v>45686</v>
      </c>
      <c r="C581" t="s">
        <v>551</v>
      </c>
      <c r="D581" t="s">
        <v>552</v>
      </c>
      <c r="E581" t="s">
        <v>80</v>
      </c>
      <c r="F581" t="s">
        <v>15</v>
      </c>
      <c r="G581" t="s">
        <v>16</v>
      </c>
      <c r="H581">
        <v>6</v>
      </c>
      <c r="I581">
        <v>16800</v>
      </c>
      <c r="J581">
        <v>0.2</v>
      </c>
      <c r="K581">
        <v>4063.19</v>
      </c>
    </row>
    <row r="582" spans="1:11" x14ac:dyDescent="0.3">
      <c r="A582" t="s">
        <v>1078</v>
      </c>
      <c r="B582" s="1">
        <v>45926</v>
      </c>
      <c r="C582" t="s">
        <v>270</v>
      </c>
      <c r="D582" t="s">
        <v>271</v>
      </c>
      <c r="E582" t="s">
        <v>115</v>
      </c>
      <c r="F582" t="s">
        <v>25</v>
      </c>
      <c r="G582" t="s">
        <v>20</v>
      </c>
      <c r="H582">
        <v>7</v>
      </c>
      <c r="I582">
        <v>2058</v>
      </c>
      <c r="J582">
        <v>0.02</v>
      </c>
      <c r="K582">
        <v>724.99</v>
      </c>
    </row>
    <row r="583" spans="1:11" x14ac:dyDescent="0.3">
      <c r="A583" t="s">
        <v>1079</v>
      </c>
      <c r="B583" s="1">
        <v>45687</v>
      </c>
      <c r="C583" t="s">
        <v>447</v>
      </c>
      <c r="D583" t="s">
        <v>448</v>
      </c>
      <c r="E583" t="s">
        <v>51</v>
      </c>
      <c r="F583" t="s">
        <v>15</v>
      </c>
      <c r="G583" t="s">
        <v>43</v>
      </c>
      <c r="H583">
        <v>4</v>
      </c>
      <c r="I583">
        <v>2880</v>
      </c>
      <c r="J583">
        <v>0.2</v>
      </c>
      <c r="K583">
        <v>851.9</v>
      </c>
    </row>
    <row r="584" spans="1:11" x14ac:dyDescent="0.3">
      <c r="A584" t="s">
        <v>1080</v>
      </c>
      <c r="B584" s="1">
        <v>45846</v>
      </c>
      <c r="C584" t="s">
        <v>634</v>
      </c>
      <c r="D584" t="s">
        <v>635</v>
      </c>
      <c r="E584" t="s">
        <v>56</v>
      </c>
      <c r="F584" t="s">
        <v>57</v>
      </c>
      <c r="G584" t="s">
        <v>26</v>
      </c>
      <c r="H584">
        <v>4</v>
      </c>
      <c r="I584">
        <v>22800</v>
      </c>
      <c r="J584">
        <v>0.05</v>
      </c>
      <c r="K584">
        <v>5539.86</v>
      </c>
    </row>
    <row r="585" spans="1:11" x14ac:dyDescent="0.3">
      <c r="A585" t="s">
        <v>1081</v>
      </c>
      <c r="B585" s="1">
        <v>45848</v>
      </c>
      <c r="C585" t="s">
        <v>69</v>
      </c>
      <c r="D585" t="s">
        <v>70</v>
      </c>
      <c r="E585" t="s">
        <v>14</v>
      </c>
      <c r="F585" t="s">
        <v>15</v>
      </c>
      <c r="G585" t="s">
        <v>43</v>
      </c>
      <c r="H585">
        <v>1</v>
      </c>
      <c r="I585">
        <v>17640</v>
      </c>
      <c r="J585">
        <v>0.02</v>
      </c>
      <c r="K585">
        <v>3406.22</v>
      </c>
    </row>
    <row r="586" spans="1:11" x14ac:dyDescent="0.3">
      <c r="A586" t="s">
        <v>1082</v>
      </c>
      <c r="B586" s="1">
        <v>45741</v>
      </c>
      <c r="C586" t="s">
        <v>350</v>
      </c>
      <c r="D586" t="s">
        <v>351</v>
      </c>
      <c r="E586" t="s">
        <v>80</v>
      </c>
      <c r="F586" t="s">
        <v>15</v>
      </c>
      <c r="G586" t="s">
        <v>34</v>
      </c>
      <c r="H586">
        <v>6</v>
      </c>
      <c r="I586">
        <v>19950</v>
      </c>
      <c r="J586">
        <v>0.05</v>
      </c>
      <c r="K586">
        <v>5354.23</v>
      </c>
    </row>
    <row r="587" spans="1:11" x14ac:dyDescent="0.3">
      <c r="A587" t="s">
        <v>1083</v>
      </c>
      <c r="B587" s="1">
        <v>45855</v>
      </c>
      <c r="C587" t="s">
        <v>565</v>
      </c>
      <c r="D587" t="s">
        <v>566</v>
      </c>
      <c r="E587" t="s">
        <v>38</v>
      </c>
      <c r="F587" t="s">
        <v>15</v>
      </c>
      <c r="G587" t="s">
        <v>26</v>
      </c>
      <c r="H587">
        <v>5</v>
      </c>
      <c r="I587">
        <v>140000</v>
      </c>
      <c r="J587">
        <v>0</v>
      </c>
      <c r="K587">
        <v>20878.740000000002</v>
      </c>
    </row>
    <row r="588" spans="1:11" x14ac:dyDescent="0.3">
      <c r="A588" t="s">
        <v>1084</v>
      </c>
      <c r="B588" s="1">
        <v>45773</v>
      </c>
      <c r="C588" t="s">
        <v>308</v>
      </c>
      <c r="D588" t="s">
        <v>309</v>
      </c>
      <c r="E588" t="s">
        <v>51</v>
      </c>
      <c r="F588" t="s">
        <v>15</v>
      </c>
      <c r="G588" t="s">
        <v>34</v>
      </c>
      <c r="H588">
        <v>4</v>
      </c>
      <c r="I588">
        <v>3060</v>
      </c>
      <c r="J588">
        <v>0.15</v>
      </c>
      <c r="K588">
        <v>1009.12</v>
      </c>
    </row>
    <row r="589" spans="1:11" x14ac:dyDescent="0.3">
      <c r="A589" t="s">
        <v>1085</v>
      </c>
      <c r="B589" s="1">
        <v>46007</v>
      </c>
      <c r="C589" t="s">
        <v>433</v>
      </c>
      <c r="D589" t="s">
        <v>434</v>
      </c>
      <c r="E589" t="s">
        <v>200</v>
      </c>
      <c r="F589" t="s">
        <v>57</v>
      </c>
      <c r="G589" t="s">
        <v>16</v>
      </c>
      <c r="H589">
        <v>1</v>
      </c>
      <c r="I589">
        <v>1440</v>
      </c>
      <c r="J589">
        <v>0.2</v>
      </c>
      <c r="K589">
        <v>335.71</v>
      </c>
    </row>
    <row r="590" spans="1:11" x14ac:dyDescent="0.3">
      <c r="A590" t="s">
        <v>1086</v>
      </c>
      <c r="B590" s="1">
        <v>45787</v>
      </c>
      <c r="C590" t="s">
        <v>404</v>
      </c>
      <c r="D590" t="s">
        <v>405</v>
      </c>
      <c r="E590" t="s">
        <v>33</v>
      </c>
      <c r="F590" t="s">
        <v>15</v>
      </c>
      <c r="G590" t="s">
        <v>34</v>
      </c>
      <c r="H590">
        <v>1</v>
      </c>
      <c r="I590">
        <v>1764</v>
      </c>
      <c r="J590">
        <v>0.02</v>
      </c>
      <c r="K590">
        <v>595.4</v>
      </c>
    </row>
    <row r="591" spans="1:11" x14ac:dyDescent="0.3">
      <c r="A591" t="s">
        <v>1087</v>
      </c>
      <c r="B591" s="1">
        <v>45836</v>
      </c>
      <c r="C591" t="s">
        <v>113</v>
      </c>
      <c r="D591" t="s">
        <v>114</v>
      </c>
      <c r="E591" t="s">
        <v>76</v>
      </c>
      <c r="F591" t="s">
        <v>25</v>
      </c>
      <c r="G591" t="s">
        <v>16</v>
      </c>
      <c r="H591">
        <v>7</v>
      </c>
      <c r="I591">
        <v>3220</v>
      </c>
      <c r="J591">
        <v>0.08</v>
      </c>
      <c r="K591">
        <v>938.11</v>
      </c>
    </row>
    <row r="592" spans="1:11" x14ac:dyDescent="0.3">
      <c r="A592" t="s">
        <v>1088</v>
      </c>
      <c r="B592" s="1">
        <v>45710</v>
      </c>
      <c r="C592" t="s">
        <v>85</v>
      </c>
      <c r="D592" t="s">
        <v>86</v>
      </c>
      <c r="E592" t="s">
        <v>115</v>
      </c>
      <c r="F592" t="s">
        <v>25</v>
      </c>
      <c r="G592" t="s">
        <v>34</v>
      </c>
      <c r="H592">
        <v>7</v>
      </c>
      <c r="I592">
        <v>1890</v>
      </c>
      <c r="J592">
        <v>0.1</v>
      </c>
      <c r="K592">
        <v>557.32000000000005</v>
      </c>
    </row>
    <row r="593" spans="1:11" x14ac:dyDescent="0.3">
      <c r="A593" t="s">
        <v>1089</v>
      </c>
      <c r="B593" s="1">
        <v>46008</v>
      </c>
      <c r="C593" t="s">
        <v>600</v>
      </c>
      <c r="D593" t="s">
        <v>601</v>
      </c>
      <c r="E593" t="s">
        <v>158</v>
      </c>
      <c r="F593" t="s">
        <v>25</v>
      </c>
      <c r="G593" t="s">
        <v>20</v>
      </c>
      <c r="H593">
        <v>5</v>
      </c>
      <c r="I593">
        <v>3800</v>
      </c>
      <c r="J593">
        <v>0.05</v>
      </c>
      <c r="K593">
        <v>1093.5</v>
      </c>
    </row>
    <row r="594" spans="1:11" x14ac:dyDescent="0.3">
      <c r="A594" t="s">
        <v>1090</v>
      </c>
      <c r="B594" s="1">
        <v>45799</v>
      </c>
      <c r="C594" t="s">
        <v>702</v>
      </c>
      <c r="D594" t="s">
        <v>703</v>
      </c>
      <c r="E594" t="s">
        <v>76</v>
      </c>
      <c r="F594" t="s">
        <v>25</v>
      </c>
      <c r="G594" t="s">
        <v>34</v>
      </c>
      <c r="H594">
        <v>6</v>
      </c>
      <c r="I594">
        <v>2400</v>
      </c>
      <c r="J594">
        <v>0.2</v>
      </c>
      <c r="K594">
        <v>640.61</v>
      </c>
    </row>
    <row r="595" spans="1:11" x14ac:dyDescent="0.3">
      <c r="A595" t="s">
        <v>1091</v>
      </c>
      <c r="B595" s="1">
        <v>45965</v>
      </c>
      <c r="C595" t="s">
        <v>396</v>
      </c>
      <c r="D595" t="s">
        <v>397</v>
      </c>
      <c r="E595" t="s">
        <v>180</v>
      </c>
      <c r="F595" t="s">
        <v>15</v>
      </c>
      <c r="G595" t="s">
        <v>34</v>
      </c>
      <c r="H595">
        <v>4</v>
      </c>
      <c r="I595">
        <v>12000</v>
      </c>
      <c r="J595">
        <v>0</v>
      </c>
      <c r="K595">
        <v>3938.62</v>
      </c>
    </row>
    <row r="596" spans="1:11" x14ac:dyDescent="0.3">
      <c r="A596" t="s">
        <v>1092</v>
      </c>
      <c r="B596" s="1">
        <v>45912</v>
      </c>
      <c r="C596" t="s">
        <v>89</v>
      </c>
      <c r="D596" t="s">
        <v>90</v>
      </c>
      <c r="E596" t="s">
        <v>180</v>
      </c>
      <c r="F596" t="s">
        <v>15</v>
      </c>
      <c r="G596" t="s">
        <v>34</v>
      </c>
      <c r="H596">
        <v>1</v>
      </c>
      <c r="I596">
        <v>2550</v>
      </c>
      <c r="J596">
        <v>0.15</v>
      </c>
      <c r="K596">
        <v>892.1</v>
      </c>
    </row>
    <row r="597" spans="1:11" x14ac:dyDescent="0.3">
      <c r="A597" t="s">
        <v>1093</v>
      </c>
      <c r="B597" s="1">
        <v>45676</v>
      </c>
      <c r="C597" t="s">
        <v>375</v>
      </c>
      <c r="D597" t="s">
        <v>376</v>
      </c>
      <c r="E597" t="s">
        <v>200</v>
      </c>
      <c r="F597" t="s">
        <v>57</v>
      </c>
      <c r="G597" t="s">
        <v>26</v>
      </c>
      <c r="H597">
        <v>7</v>
      </c>
      <c r="I597">
        <v>11592</v>
      </c>
      <c r="J597">
        <v>0.08</v>
      </c>
      <c r="K597">
        <v>3196.49</v>
      </c>
    </row>
    <row r="598" spans="1:11" x14ac:dyDescent="0.3">
      <c r="A598" t="s">
        <v>1094</v>
      </c>
      <c r="B598" s="1">
        <v>45771</v>
      </c>
      <c r="C598" t="s">
        <v>107</v>
      </c>
      <c r="D598" t="s">
        <v>108</v>
      </c>
      <c r="E598" t="s">
        <v>51</v>
      </c>
      <c r="F598" t="s">
        <v>15</v>
      </c>
      <c r="G598" t="s">
        <v>43</v>
      </c>
      <c r="H598">
        <v>6</v>
      </c>
      <c r="I598">
        <v>4590</v>
      </c>
      <c r="J598">
        <v>0.15</v>
      </c>
      <c r="K598">
        <v>1516.16</v>
      </c>
    </row>
    <row r="599" spans="1:11" x14ac:dyDescent="0.3">
      <c r="A599" t="s">
        <v>1095</v>
      </c>
      <c r="B599" s="1">
        <v>45745</v>
      </c>
      <c r="C599" t="s">
        <v>375</v>
      </c>
      <c r="D599" t="s">
        <v>376</v>
      </c>
      <c r="E599" t="s">
        <v>56</v>
      </c>
      <c r="F599" t="s">
        <v>57</v>
      </c>
      <c r="G599" t="s">
        <v>26</v>
      </c>
      <c r="H599">
        <v>5</v>
      </c>
      <c r="I599">
        <v>24000</v>
      </c>
      <c r="J599">
        <v>0.2</v>
      </c>
      <c r="K599">
        <v>5631.52</v>
      </c>
    </row>
    <row r="600" spans="1:11" x14ac:dyDescent="0.3">
      <c r="A600" t="s">
        <v>1096</v>
      </c>
      <c r="B600" s="1">
        <v>45723</v>
      </c>
      <c r="C600" t="s">
        <v>325</v>
      </c>
      <c r="D600" t="s">
        <v>326</v>
      </c>
      <c r="E600" t="s">
        <v>115</v>
      </c>
      <c r="F600" t="s">
        <v>25</v>
      </c>
      <c r="G600" t="s">
        <v>26</v>
      </c>
      <c r="H600">
        <v>2</v>
      </c>
      <c r="I600">
        <v>552</v>
      </c>
      <c r="J600">
        <v>0.08</v>
      </c>
      <c r="K600">
        <v>187.71</v>
      </c>
    </row>
    <row r="601" spans="1:11" x14ac:dyDescent="0.3">
      <c r="A601" t="s">
        <v>1097</v>
      </c>
      <c r="B601" s="1">
        <v>45703</v>
      </c>
      <c r="C601" t="s">
        <v>1098</v>
      </c>
      <c r="D601" t="s">
        <v>1099</v>
      </c>
      <c r="E601" t="s">
        <v>33</v>
      </c>
      <c r="F601" t="s">
        <v>15</v>
      </c>
      <c r="G601" t="s">
        <v>16</v>
      </c>
      <c r="H601">
        <v>6</v>
      </c>
      <c r="I601">
        <v>9180</v>
      </c>
      <c r="J601">
        <v>0.15</v>
      </c>
      <c r="K601">
        <v>2765.02</v>
      </c>
    </row>
    <row r="602" spans="1:11" x14ac:dyDescent="0.3">
      <c r="A602" t="s">
        <v>1100</v>
      </c>
      <c r="B602" s="1">
        <v>45827</v>
      </c>
      <c r="C602" t="s">
        <v>340</v>
      </c>
      <c r="D602" t="s">
        <v>341</v>
      </c>
      <c r="E602" t="s">
        <v>115</v>
      </c>
      <c r="F602" t="s">
        <v>25</v>
      </c>
      <c r="G602" t="s">
        <v>26</v>
      </c>
      <c r="H602">
        <v>7</v>
      </c>
      <c r="I602">
        <v>1680</v>
      </c>
      <c r="J602">
        <v>0.2</v>
      </c>
      <c r="K602">
        <v>510.63</v>
      </c>
    </row>
    <row r="603" spans="1:11" x14ac:dyDescent="0.3">
      <c r="A603" t="s">
        <v>1101</v>
      </c>
      <c r="B603" s="1">
        <v>45685</v>
      </c>
      <c r="C603" t="s">
        <v>1043</v>
      </c>
      <c r="D603" t="s">
        <v>1044</v>
      </c>
      <c r="E603" t="s">
        <v>71</v>
      </c>
      <c r="F603" t="s">
        <v>72</v>
      </c>
      <c r="G603" t="s">
        <v>26</v>
      </c>
      <c r="H603">
        <v>2</v>
      </c>
      <c r="I603">
        <v>4048</v>
      </c>
      <c r="J603">
        <v>0.08</v>
      </c>
      <c r="K603">
        <v>1342.07</v>
      </c>
    </row>
    <row r="604" spans="1:11" x14ac:dyDescent="0.3">
      <c r="A604" t="s">
        <v>1102</v>
      </c>
      <c r="B604" s="1">
        <v>45757</v>
      </c>
      <c r="C604" t="s">
        <v>150</v>
      </c>
      <c r="D604" t="s">
        <v>151</v>
      </c>
      <c r="E604" t="s">
        <v>158</v>
      </c>
      <c r="F604" t="s">
        <v>25</v>
      </c>
      <c r="G604" t="s">
        <v>43</v>
      </c>
      <c r="H604">
        <v>2</v>
      </c>
      <c r="I604">
        <v>1472</v>
      </c>
      <c r="J604">
        <v>0.08</v>
      </c>
      <c r="K604">
        <v>450.04</v>
      </c>
    </row>
    <row r="605" spans="1:11" x14ac:dyDescent="0.3">
      <c r="A605" t="s">
        <v>1103</v>
      </c>
      <c r="B605" s="1">
        <v>45735</v>
      </c>
      <c r="C605" t="s">
        <v>474</v>
      </c>
      <c r="D605" t="s">
        <v>475</v>
      </c>
      <c r="E605" t="s">
        <v>115</v>
      </c>
      <c r="F605" t="s">
        <v>25</v>
      </c>
      <c r="G605" t="s">
        <v>16</v>
      </c>
      <c r="H605">
        <v>7</v>
      </c>
      <c r="I605">
        <v>2100</v>
      </c>
      <c r="J605">
        <v>0</v>
      </c>
      <c r="K605">
        <v>659.38</v>
      </c>
    </row>
    <row r="606" spans="1:11" x14ac:dyDescent="0.3">
      <c r="A606" t="s">
        <v>1104</v>
      </c>
      <c r="B606" s="1">
        <v>45819</v>
      </c>
      <c r="C606" t="s">
        <v>411</v>
      </c>
      <c r="D606" t="s">
        <v>412</v>
      </c>
      <c r="E606" t="s">
        <v>200</v>
      </c>
      <c r="F606" t="s">
        <v>57</v>
      </c>
      <c r="G606" t="s">
        <v>16</v>
      </c>
      <c r="H606">
        <v>8</v>
      </c>
      <c r="I606">
        <v>14112</v>
      </c>
      <c r="J606">
        <v>0.02</v>
      </c>
      <c r="K606">
        <v>4131.93</v>
      </c>
    </row>
    <row r="607" spans="1:11" x14ac:dyDescent="0.3">
      <c r="A607" t="s">
        <v>1105</v>
      </c>
      <c r="B607" s="1">
        <v>45981</v>
      </c>
      <c r="C607" t="s">
        <v>308</v>
      </c>
      <c r="D607" t="s">
        <v>309</v>
      </c>
      <c r="E607" t="s">
        <v>38</v>
      </c>
      <c r="F607" t="s">
        <v>15</v>
      </c>
      <c r="G607" t="s">
        <v>34</v>
      </c>
      <c r="H607">
        <v>8</v>
      </c>
      <c r="I607">
        <v>212800</v>
      </c>
      <c r="J607">
        <v>0.05</v>
      </c>
      <c r="K607">
        <v>36553.050000000003</v>
      </c>
    </row>
    <row r="608" spans="1:11" x14ac:dyDescent="0.3">
      <c r="A608" t="s">
        <v>1106</v>
      </c>
      <c r="B608" s="1">
        <v>45798</v>
      </c>
      <c r="C608" t="s">
        <v>915</v>
      </c>
      <c r="D608" t="s">
        <v>916</v>
      </c>
      <c r="E608" t="s">
        <v>42</v>
      </c>
      <c r="F608" t="s">
        <v>15</v>
      </c>
      <c r="G608" t="s">
        <v>16</v>
      </c>
      <c r="H608">
        <v>1</v>
      </c>
      <c r="I608">
        <v>22080</v>
      </c>
      <c r="J608">
        <v>0.08</v>
      </c>
      <c r="K608">
        <v>4267.51</v>
      </c>
    </row>
    <row r="609" spans="1:11" x14ac:dyDescent="0.3">
      <c r="A609" t="s">
        <v>1107</v>
      </c>
      <c r="B609" s="1">
        <v>45703</v>
      </c>
      <c r="C609" t="s">
        <v>49</v>
      </c>
      <c r="D609" t="s">
        <v>50</v>
      </c>
      <c r="E609" t="s">
        <v>33</v>
      </c>
      <c r="F609" t="s">
        <v>15</v>
      </c>
      <c r="G609" t="s">
        <v>43</v>
      </c>
      <c r="H609">
        <v>8</v>
      </c>
      <c r="I609">
        <v>11520</v>
      </c>
      <c r="J609">
        <v>0.2</v>
      </c>
      <c r="K609">
        <v>3315.38</v>
      </c>
    </row>
    <row r="610" spans="1:11" x14ac:dyDescent="0.3">
      <c r="A610" t="s">
        <v>1108</v>
      </c>
      <c r="B610" s="1">
        <v>45902</v>
      </c>
      <c r="C610" t="s">
        <v>915</v>
      </c>
      <c r="D610" t="s">
        <v>916</v>
      </c>
      <c r="E610" t="s">
        <v>200</v>
      </c>
      <c r="F610" t="s">
        <v>57</v>
      </c>
      <c r="G610" t="s">
        <v>20</v>
      </c>
      <c r="H610">
        <v>7</v>
      </c>
      <c r="I610">
        <v>11592</v>
      </c>
      <c r="J610">
        <v>0.08</v>
      </c>
      <c r="K610">
        <v>3084.66</v>
      </c>
    </row>
    <row r="611" spans="1:11" x14ac:dyDescent="0.3">
      <c r="A611" t="s">
        <v>1109</v>
      </c>
      <c r="B611" s="1">
        <v>45822</v>
      </c>
      <c r="C611" t="s">
        <v>286</v>
      </c>
      <c r="D611" t="s">
        <v>287</v>
      </c>
      <c r="E611" t="s">
        <v>51</v>
      </c>
      <c r="F611" t="s">
        <v>15</v>
      </c>
      <c r="G611" t="s">
        <v>26</v>
      </c>
      <c r="H611">
        <v>6</v>
      </c>
      <c r="I611">
        <v>5400</v>
      </c>
      <c r="J611">
        <v>0</v>
      </c>
      <c r="K611">
        <v>1873.97</v>
      </c>
    </row>
    <row r="612" spans="1:11" x14ac:dyDescent="0.3">
      <c r="A612" t="s">
        <v>1110</v>
      </c>
      <c r="B612" s="1">
        <v>45785</v>
      </c>
      <c r="C612" t="s">
        <v>396</v>
      </c>
      <c r="D612" t="s">
        <v>397</v>
      </c>
      <c r="E612" t="s">
        <v>210</v>
      </c>
      <c r="F612" t="s">
        <v>15</v>
      </c>
      <c r="G612" t="s">
        <v>34</v>
      </c>
      <c r="H612">
        <v>1</v>
      </c>
      <c r="I612">
        <v>46750</v>
      </c>
      <c r="J612">
        <v>0.15</v>
      </c>
      <c r="K612">
        <v>6918.32</v>
      </c>
    </row>
    <row r="613" spans="1:11" x14ac:dyDescent="0.3">
      <c r="A613" t="s">
        <v>1111</v>
      </c>
      <c r="B613" s="1">
        <v>45915</v>
      </c>
      <c r="C613" t="s">
        <v>597</v>
      </c>
      <c r="D613" t="s">
        <v>598</v>
      </c>
      <c r="E613" t="s">
        <v>180</v>
      </c>
      <c r="F613" t="s">
        <v>15</v>
      </c>
      <c r="G613" t="s">
        <v>16</v>
      </c>
      <c r="H613">
        <v>2</v>
      </c>
      <c r="I613">
        <v>5520</v>
      </c>
      <c r="J613">
        <v>0.08</v>
      </c>
      <c r="K613">
        <v>1828.37</v>
      </c>
    </row>
    <row r="614" spans="1:11" x14ac:dyDescent="0.3">
      <c r="A614" t="s">
        <v>1112</v>
      </c>
      <c r="B614" s="1">
        <v>45891</v>
      </c>
      <c r="C614" t="s">
        <v>270</v>
      </c>
      <c r="D614" t="s">
        <v>271</v>
      </c>
      <c r="E614" t="s">
        <v>42</v>
      </c>
      <c r="F614" t="s">
        <v>15</v>
      </c>
      <c r="G614" t="s">
        <v>26</v>
      </c>
      <c r="H614">
        <v>5</v>
      </c>
      <c r="I614">
        <v>114000</v>
      </c>
      <c r="J614">
        <v>0.05</v>
      </c>
      <c r="K614">
        <v>24348.83</v>
      </c>
    </row>
    <row r="615" spans="1:11" x14ac:dyDescent="0.3">
      <c r="A615" t="s">
        <v>1113</v>
      </c>
      <c r="B615" s="1">
        <v>45726</v>
      </c>
      <c r="C615" t="s">
        <v>515</v>
      </c>
      <c r="D615" t="s">
        <v>516</v>
      </c>
      <c r="E615" t="s">
        <v>64</v>
      </c>
      <c r="F615" t="s">
        <v>57</v>
      </c>
      <c r="G615" t="s">
        <v>43</v>
      </c>
      <c r="H615">
        <v>7</v>
      </c>
      <c r="I615">
        <v>47600</v>
      </c>
      <c r="J615">
        <v>0.15</v>
      </c>
      <c r="K615">
        <v>9920.4500000000007</v>
      </c>
    </row>
    <row r="616" spans="1:11" x14ac:dyDescent="0.3">
      <c r="A616" t="s">
        <v>1114</v>
      </c>
      <c r="B616" s="1">
        <v>45864</v>
      </c>
      <c r="C616" t="s">
        <v>1115</v>
      </c>
      <c r="D616" t="s">
        <v>1116</v>
      </c>
      <c r="E616" t="s">
        <v>51</v>
      </c>
      <c r="F616" t="s">
        <v>15</v>
      </c>
      <c r="G616" t="s">
        <v>16</v>
      </c>
      <c r="H616">
        <v>3</v>
      </c>
      <c r="I616">
        <v>2160</v>
      </c>
      <c r="J616">
        <v>0.2</v>
      </c>
      <c r="K616">
        <v>605.75</v>
      </c>
    </row>
    <row r="617" spans="1:11" x14ac:dyDescent="0.3">
      <c r="A617" t="s">
        <v>1117</v>
      </c>
      <c r="B617" s="1">
        <v>45669</v>
      </c>
      <c r="C617" t="s">
        <v>521</v>
      </c>
      <c r="D617" t="s">
        <v>522</v>
      </c>
      <c r="E617" t="s">
        <v>180</v>
      </c>
      <c r="F617" t="s">
        <v>15</v>
      </c>
      <c r="G617" t="s">
        <v>16</v>
      </c>
      <c r="H617">
        <v>4</v>
      </c>
      <c r="I617">
        <v>10200</v>
      </c>
      <c r="J617">
        <v>0.15</v>
      </c>
      <c r="K617">
        <v>3307.4</v>
      </c>
    </row>
    <row r="618" spans="1:11" x14ac:dyDescent="0.3">
      <c r="A618" t="s">
        <v>1118</v>
      </c>
      <c r="B618" s="1">
        <v>45985</v>
      </c>
      <c r="C618" t="s">
        <v>400</v>
      </c>
      <c r="D618" t="s">
        <v>401</v>
      </c>
      <c r="E618" t="s">
        <v>56</v>
      </c>
      <c r="F618" t="s">
        <v>57</v>
      </c>
      <c r="G618" t="s">
        <v>26</v>
      </c>
      <c r="H618">
        <v>1</v>
      </c>
      <c r="I618">
        <v>5520</v>
      </c>
      <c r="J618">
        <v>0.08</v>
      </c>
      <c r="K618">
        <v>1205.3</v>
      </c>
    </row>
    <row r="619" spans="1:11" x14ac:dyDescent="0.3">
      <c r="A619" t="s">
        <v>1119</v>
      </c>
      <c r="B619" s="1">
        <v>45713</v>
      </c>
      <c r="C619" t="s">
        <v>228</v>
      </c>
      <c r="D619" t="s">
        <v>229</v>
      </c>
      <c r="E619" t="s">
        <v>42</v>
      </c>
      <c r="F619" t="s">
        <v>15</v>
      </c>
      <c r="G619" t="s">
        <v>20</v>
      </c>
      <c r="H619">
        <v>1</v>
      </c>
      <c r="I619">
        <v>20400</v>
      </c>
      <c r="J619">
        <v>0.15</v>
      </c>
      <c r="K619">
        <v>4185.3500000000004</v>
      </c>
    </row>
    <row r="620" spans="1:11" x14ac:dyDescent="0.3">
      <c r="A620" t="s">
        <v>1120</v>
      </c>
      <c r="B620" s="1">
        <v>45852</v>
      </c>
      <c r="C620" t="s">
        <v>634</v>
      </c>
      <c r="D620" t="s">
        <v>635</v>
      </c>
      <c r="E620" t="s">
        <v>14</v>
      </c>
      <c r="F620" t="s">
        <v>15</v>
      </c>
      <c r="G620" t="s">
        <v>34</v>
      </c>
      <c r="H620">
        <v>7</v>
      </c>
      <c r="I620">
        <v>115920</v>
      </c>
      <c r="J620">
        <v>0.08</v>
      </c>
      <c r="K620">
        <v>20574.490000000002</v>
      </c>
    </row>
    <row r="621" spans="1:11" x14ac:dyDescent="0.3">
      <c r="A621" t="s">
        <v>1121</v>
      </c>
      <c r="B621" s="1">
        <v>46009</v>
      </c>
      <c r="C621" t="s">
        <v>654</v>
      </c>
      <c r="D621" t="s">
        <v>655</v>
      </c>
      <c r="E621" t="s">
        <v>180</v>
      </c>
      <c r="F621" t="s">
        <v>15</v>
      </c>
      <c r="G621" t="s">
        <v>34</v>
      </c>
      <c r="H621">
        <v>4</v>
      </c>
      <c r="I621">
        <v>10200</v>
      </c>
      <c r="J621">
        <v>0.15</v>
      </c>
      <c r="K621">
        <v>3333.4</v>
      </c>
    </row>
    <row r="622" spans="1:11" x14ac:dyDescent="0.3">
      <c r="A622" t="s">
        <v>1122</v>
      </c>
      <c r="B622" s="1">
        <v>45968</v>
      </c>
      <c r="C622" t="s">
        <v>28</v>
      </c>
      <c r="D622" t="s">
        <v>29</v>
      </c>
      <c r="E622" t="s">
        <v>14</v>
      </c>
      <c r="F622" t="s">
        <v>15</v>
      </c>
      <c r="G622" t="s">
        <v>43</v>
      </c>
      <c r="H622">
        <v>5</v>
      </c>
      <c r="I622">
        <v>81000</v>
      </c>
      <c r="J622">
        <v>0.1</v>
      </c>
      <c r="K622">
        <v>15874.53</v>
      </c>
    </row>
    <row r="623" spans="1:11" x14ac:dyDescent="0.3">
      <c r="A623" t="s">
        <v>1123</v>
      </c>
      <c r="B623" s="1">
        <v>45716</v>
      </c>
      <c r="C623" t="s">
        <v>186</v>
      </c>
      <c r="D623" t="s">
        <v>187</v>
      </c>
      <c r="E623" t="s">
        <v>14</v>
      </c>
      <c r="F623" t="s">
        <v>15</v>
      </c>
      <c r="G623" t="s">
        <v>43</v>
      </c>
      <c r="H623">
        <v>2</v>
      </c>
      <c r="I623">
        <v>34200</v>
      </c>
      <c r="J623">
        <v>0.05</v>
      </c>
      <c r="K623">
        <v>6881.43</v>
      </c>
    </row>
    <row r="624" spans="1:11" x14ac:dyDescent="0.3">
      <c r="A624" t="s">
        <v>1124</v>
      </c>
      <c r="B624" s="1">
        <v>45792</v>
      </c>
      <c r="C624" t="s">
        <v>872</v>
      </c>
      <c r="D624" t="s">
        <v>873</v>
      </c>
      <c r="E624" t="s">
        <v>158</v>
      </c>
      <c r="F624" t="s">
        <v>25</v>
      </c>
      <c r="G624" t="s">
        <v>16</v>
      </c>
      <c r="H624">
        <v>4</v>
      </c>
      <c r="I624">
        <v>2560</v>
      </c>
      <c r="J624">
        <v>0.2</v>
      </c>
      <c r="K624">
        <v>803.04</v>
      </c>
    </row>
    <row r="625" spans="1:11" x14ac:dyDescent="0.3">
      <c r="A625" t="s">
        <v>1125</v>
      </c>
      <c r="B625" s="1">
        <v>45678</v>
      </c>
      <c r="C625" t="s">
        <v>1115</v>
      </c>
      <c r="D625" t="s">
        <v>1116</v>
      </c>
      <c r="E625" t="s">
        <v>200</v>
      </c>
      <c r="F625" t="s">
        <v>57</v>
      </c>
      <c r="G625" t="s">
        <v>16</v>
      </c>
      <c r="H625">
        <v>5</v>
      </c>
      <c r="I625">
        <v>8820</v>
      </c>
      <c r="J625">
        <v>0.02</v>
      </c>
      <c r="K625">
        <v>2456.7600000000002</v>
      </c>
    </row>
    <row r="626" spans="1:11" x14ac:dyDescent="0.3">
      <c r="A626" t="s">
        <v>1126</v>
      </c>
      <c r="B626" s="1">
        <v>45659</v>
      </c>
      <c r="C626" t="s">
        <v>744</v>
      </c>
      <c r="D626" t="s">
        <v>745</v>
      </c>
      <c r="E626" t="s">
        <v>80</v>
      </c>
      <c r="F626" t="s">
        <v>15</v>
      </c>
      <c r="G626" t="s">
        <v>20</v>
      </c>
      <c r="H626">
        <v>6</v>
      </c>
      <c r="I626">
        <v>20580</v>
      </c>
      <c r="J626">
        <v>0.02</v>
      </c>
      <c r="K626">
        <v>4844.0200000000004</v>
      </c>
    </row>
    <row r="627" spans="1:11" x14ac:dyDescent="0.3">
      <c r="A627" t="s">
        <v>1127</v>
      </c>
      <c r="B627" s="1">
        <v>45704</v>
      </c>
      <c r="C627" t="s">
        <v>375</v>
      </c>
      <c r="D627" t="s">
        <v>376</v>
      </c>
      <c r="E627" t="s">
        <v>14</v>
      </c>
      <c r="F627" t="s">
        <v>15</v>
      </c>
      <c r="G627" t="s">
        <v>20</v>
      </c>
      <c r="H627">
        <v>8</v>
      </c>
      <c r="I627">
        <v>141120</v>
      </c>
      <c r="J627">
        <v>0.02</v>
      </c>
      <c r="K627">
        <v>28552.28</v>
      </c>
    </row>
    <row r="628" spans="1:11" x14ac:dyDescent="0.3">
      <c r="A628" t="s">
        <v>1128</v>
      </c>
      <c r="B628" s="1">
        <v>45776</v>
      </c>
      <c r="C628" t="s">
        <v>793</v>
      </c>
      <c r="D628" t="s">
        <v>794</v>
      </c>
      <c r="E628" t="s">
        <v>14</v>
      </c>
      <c r="F628" t="s">
        <v>15</v>
      </c>
      <c r="G628" t="s">
        <v>34</v>
      </c>
      <c r="H628">
        <v>5</v>
      </c>
      <c r="I628">
        <v>76500</v>
      </c>
      <c r="J628">
        <v>0.15</v>
      </c>
      <c r="K628">
        <v>14097.65</v>
      </c>
    </row>
    <row r="629" spans="1:11" x14ac:dyDescent="0.3">
      <c r="A629" t="s">
        <v>1129</v>
      </c>
      <c r="B629" s="1">
        <v>45747</v>
      </c>
      <c r="C629" t="s">
        <v>40</v>
      </c>
      <c r="D629" t="s">
        <v>41</v>
      </c>
      <c r="E629" t="s">
        <v>71</v>
      </c>
      <c r="F629" t="s">
        <v>72</v>
      </c>
      <c r="G629" t="s">
        <v>34</v>
      </c>
      <c r="H629">
        <v>1</v>
      </c>
      <c r="I629">
        <v>2200</v>
      </c>
      <c r="J629">
        <v>0</v>
      </c>
      <c r="K629">
        <v>741.9</v>
      </c>
    </row>
    <row r="630" spans="1:11" x14ac:dyDescent="0.3">
      <c r="A630" t="s">
        <v>1130</v>
      </c>
      <c r="B630" s="1">
        <v>45717</v>
      </c>
      <c r="C630" t="s">
        <v>674</v>
      </c>
      <c r="D630" t="s">
        <v>675</v>
      </c>
      <c r="E630" t="s">
        <v>64</v>
      </c>
      <c r="F630" t="s">
        <v>57</v>
      </c>
      <c r="G630" t="s">
        <v>20</v>
      </c>
      <c r="H630">
        <v>7</v>
      </c>
      <c r="I630">
        <v>47600</v>
      </c>
      <c r="J630">
        <v>0.15</v>
      </c>
      <c r="K630">
        <v>9421.02</v>
      </c>
    </row>
    <row r="631" spans="1:11" x14ac:dyDescent="0.3">
      <c r="A631" t="s">
        <v>1131</v>
      </c>
      <c r="B631" s="1">
        <v>45841</v>
      </c>
      <c r="C631" t="s">
        <v>1132</v>
      </c>
      <c r="D631" t="s">
        <v>1133</v>
      </c>
      <c r="E631" t="s">
        <v>180</v>
      </c>
      <c r="F631" t="s">
        <v>15</v>
      </c>
      <c r="G631" t="s">
        <v>26</v>
      </c>
      <c r="H631">
        <v>3</v>
      </c>
      <c r="I631">
        <v>8550</v>
      </c>
      <c r="J631">
        <v>0.05</v>
      </c>
      <c r="K631">
        <v>3001.87</v>
      </c>
    </row>
    <row r="632" spans="1:11" x14ac:dyDescent="0.3">
      <c r="A632" t="s">
        <v>1134</v>
      </c>
      <c r="B632" s="1">
        <v>45833</v>
      </c>
      <c r="C632" t="s">
        <v>66</v>
      </c>
      <c r="D632" t="s">
        <v>67</v>
      </c>
      <c r="E632" t="s">
        <v>38</v>
      </c>
      <c r="F632" t="s">
        <v>15</v>
      </c>
      <c r="G632" t="s">
        <v>43</v>
      </c>
      <c r="H632">
        <v>6</v>
      </c>
      <c r="I632">
        <v>134400</v>
      </c>
      <c r="J632">
        <v>0.2</v>
      </c>
      <c r="K632">
        <v>18880</v>
      </c>
    </row>
    <row r="633" spans="1:11" x14ac:dyDescent="0.3">
      <c r="A633" t="s">
        <v>1135</v>
      </c>
      <c r="B633" s="1">
        <v>45855</v>
      </c>
      <c r="C633" t="s">
        <v>356</v>
      </c>
      <c r="D633" t="s">
        <v>357</v>
      </c>
      <c r="E633" t="s">
        <v>71</v>
      </c>
      <c r="F633" t="s">
        <v>72</v>
      </c>
      <c r="G633" t="s">
        <v>43</v>
      </c>
      <c r="H633">
        <v>5</v>
      </c>
      <c r="I633">
        <v>8800</v>
      </c>
      <c r="J633">
        <v>0.2</v>
      </c>
      <c r="K633">
        <v>2731.35</v>
      </c>
    </row>
    <row r="634" spans="1:11" x14ac:dyDescent="0.3">
      <c r="A634" t="s">
        <v>1136</v>
      </c>
      <c r="B634" s="1">
        <v>45725</v>
      </c>
      <c r="C634" t="s">
        <v>1137</v>
      </c>
      <c r="D634" t="s">
        <v>1138</v>
      </c>
      <c r="E634" t="s">
        <v>200</v>
      </c>
      <c r="F634" t="s">
        <v>57</v>
      </c>
      <c r="G634" t="s">
        <v>20</v>
      </c>
      <c r="H634">
        <v>3</v>
      </c>
      <c r="I634">
        <v>5400</v>
      </c>
      <c r="J634">
        <v>0</v>
      </c>
      <c r="K634">
        <v>1547.08</v>
      </c>
    </row>
    <row r="635" spans="1:11" x14ac:dyDescent="0.3">
      <c r="A635" t="s">
        <v>1139</v>
      </c>
      <c r="B635" s="1">
        <v>45960</v>
      </c>
      <c r="C635" t="s">
        <v>456</v>
      </c>
      <c r="D635" t="s">
        <v>457</v>
      </c>
      <c r="E635" t="s">
        <v>33</v>
      </c>
      <c r="F635" t="s">
        <v>15</v>
      </c>
      <c r="G635" t="s">
        <v>26</v>
      </c>
      <c r="H635">
        <v>2</v>
      </c>
      <c r="I635">
        <v>3312</v>
      </c>
      <c r="J635">
        <v>0.08</v>
      </c>
      <c r="K635">
        <v>1076.67</v>
      </c>
    </row>
    <row r="636" spans="1:11" x14ac:dyDescent="0.3">
      <c r="A636" t="s">
        <v>1140</v>
      </c>
      <c r="B636" s="1">
        <v>45852</v>
      </c>
      <c r="C636" t="s">
        <v>234</v>
      </c>
      <c r="D636" t="s">
        <v>235</v>
      </c>
      <c r="E636" t="s">
        <v>71</v>
      </c>
      <c r="F636" t="s">
        <v>72</v>
      </c>
      <c r="G636" t="s">
        <v>26</v>
      </c>
      <c r="H636">
        <v>3</v>
      </c>
      <c r="I636">
        <v>5940</v>
      </c>
      <c r="J636">
        <v>0.1</v>
      </c>
      <c r="K636">
        <v>1931.3</v>
      </c>
    </row>
    <row r="637" spans="1:11" x14ac:dyDescent="0.3">
      <c r="A637" t="s">
        <v>1141</v>
      </c>
      <c r="B637" s="1">
        <v>45715</v>
      </c>
      <c r="C637" t="s">
        <v>545</v>
      </c>
      <c r="D637" t="s">
        <v>546</v>
      </c>
      <c r="E637" t="s">
        <v>180</v>
      </c>
      <c r="F637" t="s">
        <v>15</v>
      </c>
      <c r="G637" t="s">
        <v>43</v>
      </c>
      <c r="H637">
        <v>8</v>
      </c>
      <c r="I637">
        <v>22080</v>
      </c>
      <c r="J637">
        <v>0.08</v>
      </c>
      <c r="K637">
        <v>7696.12</v>
      </c>
    </row>
    <row r="638" spans="1:11" x14ac:dyDescent="0.3">
      <c r="A638" t="s">
        <v>1142</v>
      </c>
      <c r="B638" s="1">
        <v>45818</v>
      </c>
      <c r="C638" t="s">
        <v>443</v>
      </c>
      <c r="D638" t="s">
        <v>444</v>
      </c>
      <c r="E638" t="s">
        <v>38</v>
      </c>
      <c r="F638" t="s">
        <v>15</v>
      </c>
      <c r="G638" t="s">
        <v>26</v>
      </c>
      <c r="H638">
        <v>5</v>
      </c>
      <c r="I638">
        <v>119000</v>
      </c>
      <c r="J638">
        <v>0.15</v>
      </c>
      <c r="K638">
        <v>16525.75</v>
      </c>
    </row>
    <row r="639" spans="1:11" x14ac:dyDescent="0.3">
      <c r="A639" t="s">
        <v>1143</v>
      </c>
      <c r="B639" s="1">
        <v>45831</v>
      </c>
      <c r="C639" t="s">
        <v>305</v>
      </c>
      <c r="D639" t="s">
        <v>306</v>
      </c>
      <c r="E639" t="s">
        <v>160</v>
      </c>
      <c r="F639" t="s">
        <v>25</v>
      </c>
      <c r="G639" t="s">
        <v>26</v>
      </c>
      <c r="H639">
        <v>4</v>
      </c>
      <c r="I639">
        <v>2380</v>
      </c>
      <c r="J639">
        <v>0.15</v>
      </c>
      <c r="K639">
        <v>717.69</v>
      </c>
    </row>
    <row r="640" spans="1:11" x14ac:dyDescent="0.3">
      <c r="A640" t="s">
        <v>1144</v>
      </c>
      <c r="B640" s="1">
        <v>45835</v>
      </c>
      <c r="C640" t="s">
        <v>130</v>
      </c>
      <c r="D640" t="s">
        <v>131</v>
      </c>
      <c r="E640" t="s">
        <v>200</v>
      </c>
      <c r="F640" t="s">
        <v>57</v>
      </c>
      <c r="G640" t="s">
        <v>43</v>
      </c>
      <c r="H640">
        <v>4</v>
      </c>
      <c r="I640">
        <v>6624</v>
      </c>
      <c r="J640">
        <v>0.08</v>
      </c>
      <c r="K640">
        <v>1852.39</v>
      </c>
    </row>
    <row r="641" spans="1:11" x14ac:dyDescent="0.3">
      <c r="A641" t="s">
        <v>1145</v>
      </c>
      <c r="B641" s="1">
        <v>45987</v>
      </c>
      <c r="C641" t="s">
        <v>359</v>
      </c>
      <c r="D641" t="s">
        <v>360</v>
      </c>
      <c r="E641" t="s">
        <v>47</v>
      </c>
      <c r="F641" t="s">
        <v>15</v>
      </c>
      <c r="G641" t="s">
        <v>26</v>
      </c>
      <c r="H641">
        <v>1</v>
      </c>
      <c r="I641">
        <v>6500</v>
      </c>
      <c r="J641">
        <v>0</v>
      </c>
      <c r="K641">
        <v>1390.35</v>
      </c>
    </row>
    <row r="642" spans="1:11" x14ac:dyDescent="0.3">
      <c r="A642" t="s">
        <v>1146</v>
      </c>
      <c r="B642" s="1">
        <v>45742</v>
      </c>
      <c r="C642" t="s">
        <v>314</v>
      </c>
      <c r="D642" t="s">
        <v>315</v>
      </c>
      <c r="E642" t="s">
        <v>80</v>
      </c>
      <c r="F642" t="s">
        <v>15</v>
      </c>
      <c r="G642" t="s">
        <v>43</v>
      </c>
      <c r="H642">
        <v>8</v>
      </c>
      <c r="I642">
        <v>22400</v>
      </c>
      <c r="J642">
        <v>0.2</v>
      </c>
      <c r="K642">
        <v>4910.24</v>
      </c>
    </row>
    <row r="643" spans="1:11" x14ac:dyDescent="0.3">
      <c r="A643" t="s">
        <v>1147</v>
      </c>
      <c r="B643" s="1">
        <v>45683</v>
      </c>
      <c r="C643" t="s">
        <v>101</v>
      </c>
      <c r="D643" t="s">
        <v>102</v>
      </c>
      <c r="E643" t="s">
        <v>24</v>
      </c>
      <c r="F643" t="s">
        <v>25</v>
      </c>
      <c r="G643" t="s">
        <v>26</v>
      </c>
      <c r="H643">
        <v>6</v>
      </c>
      <c r="I643">
        <v>68400</v>
      </c>
      <c r="J643">
        <v>0.05</v>
      </c>
      <c r="K643">
        <v>14079.13</v>
      </c>
    </row>
    <row r="644" spans="1:11" x14ac:dyDescent="0.3">
      <c r="A644" t="s">
        <v>1148</v>
      </c>
      <c r="B644" s="1">
        <v>45778</v>
      </c>
      <c r="C644" t="s">
        <v>289</v>
      </c>
      <c r="D644" t="s">
        <v>290</v>
      </c>
      <c r="E644" t="s">
        <v>223</v>
      </c>
      <c r="F644" t="s">
        <v>57</v>
      </c>
      <c r="G644" t="s">
        <v>43</v>
      </c>
      <c r="H644">
        <v>7</v>
      </c>
      <c r="I644">
        <v>39200</v>
      </c>
      <c r="J644">
        <v>0.2</v>
      </c>
      <c r="K644">
        <v>7645.26</v>
      </c>
    </row>
    <row r="645" spans="1:11" x14ac:dyDescent="0.3">
      <c r="A645" t="s">
        <v>1149</v>
      </c>
      <c r="B645" s="1">
        <v>45913</v>
      </c>
      <c r="C645" t="s">
        <v>202</v>
      </c>
      <c r="D645" t="s">
        <v>203</v>
      </c>
      <c r="E645" t="s">
        <v>160</v>
      </c>
      <c r="F645" t="s">
        <v>25</v>
      </c>
      <c r="G645" t="s">
        <v>20</v>
      </c>
      <c r="H645">
        <v>8</v>
      </c>
      <c r="I645">
        <v>5600</v>
      </c>
      <c r="J645">
        <v>0</v>
      </c>
      <c r="K645">
        <v>1745.09</v>
      </c>
    </row>
    <row r="646" spans="1:11" x14ac:dyDescent="0.3">
      <c r="A646" t="s">
        <v>1150</v>
      </c>
      <c r="B646" s="1">
        <v>45869</v>
      </c>
      <c r="C646" t="s">
        <v>985</v>
      </c>
      <c r="D646" t="s">
        <v>986</v>
      </c>
      <c r="E646" t="s">
        <v>210</v>
      </c>
      <c r="F646" t="s">
        <v>15</v>
      </c>
      <c r="G646" t="s">
        <v>26</v>
      </c>
      <c r="H646">
        <v>2</v>
      </c>
      <c r="I646">
        <v>101200</v>
      </c>
      <c r="J646">
        <v>0.08</v>
      </c>
      <c r="K646">
        <v>14863.2</v>
      </c>
    </row>
    <row r="647" spans="1:11" x14ac:dyDescent="0.3">
      <c r="A647" t="s">
        <v>1151</v>
      </c>
      <c r="B647" s="1">
        <v>45945</v>
      </c>
      <c r="C647" t="s">
        <v>508</v>
      </c>
      <c r="D647" t="s">
        <v>509</v>
      </c>
      <c r="E647" t="s">
        <v>38</v>
      </c>
      <c r="F647" t="s">
        <v>15</v>
      </c>
      <c r="G647" t="s">
        <v>43</v>
      </c>
      <c r="H647">
        <v>5</v>
      </c>
      <c r="I647">
        <v>126000</v>
      </c>
      <c r="J647">
        <v>0.1</v>
      </c>
      <c r="K647">
        <v>18632.16</v>
      </c>
    </row>
    <row r="648" spans="1:11" x14ac:dyDescent="0.3">
      <c r="A648" t="s">
        <v>1152</v>
      </c>
      <c r="B648" s="1">
        <v>45685</v>
      </c>
      <c r="C648" t="s">
        <v>346</v>
      </c>
      <c r="D648" t="s">
        <v>347</v>
      </c>
      <c r="E648" t="s">
        <v>64</v>
      </c>
      <c r="F648" t="s">
        <v>57</v>
      </c>
      <c r="G648" t="s">
        <v>43</v>
      </c>
      <c r="H648">
        <v>6</v>
      </c>
      <c r="I648">
        <v>38400</v>
      </c>
      <c r="J648">
        <v>0.2</v>
      </c>
      <c r="K648">
        <v>8647.07</v>
      </c>
    </row>
    <row r="649" spans="1:11" x14ac:dyDescent="0.3">
      <c r="A649" t="s">
        <v>1153</v>
      </c>
      <c r="B649" s="1">
        <v>45994</v>
      </c>
      <c r="C649" t="s">
        <v>215</v>
      </c>
      <c r="D649" t="s">
        <v>216</v>
      </c>
      <c r="E649" t="s">
        <v>47</v>
      </c>
      <c r="F649" t="s">
        <v>15</v>
      </c>
      <c r="G649" t="s">
        <v>43</v>
      </c>
      <c r="H649">
        <v>8</v>
      </c>
      <c r="I649">
        <v>44200</v>
      </c>
      <c r="J649">
        <v>0.15</v>
      </c>
      <c r="K649">
        <v>8222.52</v>
      </c>
    </row>
    <row r="650" spans="1:11" x14ac:dyDescent="0.3">
      <c r="A650" t="s">
        <v>1154</v>
      </c>
      <c r="B650" s="1">
        <v>45832</v>
      </c>
      <c r="C650" t="s">
        <v>221</v>
      </c>
      <c r="D650" t="s">
        <v>222</v>
      </c>
      <c r="E650" t="s">
        <v>14</v>
      </c>
      <c r="F650" t="s">
        <v>15</v>
      </c>
      <c r="G650" t="s">
        <v>34</v>
      </c>
      <c r="H650">
        <v>4</v>
      </c>
      <c r="I650">
        <v>72000</v>
      </c>
      <c r="J650">
        <v>0</v>
      </c>
      <c r="K650">
        <v>13675.51</v>
      </c>
    </row>
    <row r="651" spans="1:11" x14ac:dyDescent="0.3">
      <c r="A651" t="s">
        <v>1155</v>
      </c>
      <c r="B651" s="1">
        <v>45712</v>
      </c>
      <c r="C651" t="s">
        <v>1156</v>
      </c>
      <c r="D651" t="s">
        <v>1157</v>
      </c>
      <c r="E651" t="s">
        <v>87</v>
      </c>
      <c r="F651" t="s">
        <v>15</v>
      </c>
      <c r="G651" t="s">
        <v>16</v>
      </c>
      <c r="H651">
        <v>6</v>
      </c>
      <c r="I651">
        <v>6120</v>
      </c>
      <c r="J651">
        <v>0.15</v>
      </c>
      <c r="K651">
        <v>1553.63</v>
      </c>
    </row>
    <row r="652" spans="1:11" x14ac:dyDescent="0.3">
      <c r="A652" t="s">
        <v>1158</v>
      </c>
      <c r="B652" s="1">
        <v>45788</v>
      </c>
      <c r="C652" t="s">
        <v>963</v>
      </c>
      <c r="D652" t="s">
        <v>964</v>
      </c>
      <c r="E652" t="s">
        <v>180</v>
      </c>
      <c r="F652" t="s">
        <v>15</v>
      </c>
      <c r="G652" t="s">
        <v>16</v>
      </c>
      <c r="H652">
        <v>7</v>
      </c>
      <c r="I652">
        <v>21000</v>
      </c>
      <c r="J652">
        <v>0</v>
      </c>
      <c r="K652">
        <v>7124.15</v>
      </c>
    </row>
    <row r="653" spans="1:11" x14ac:dyDescent="0.3">
      <c r="A653" t="s">
        <v>1159</v>
      </c>
      <c r="B653" s="1">
        <v>45755</v>
      </c>
      <c r="C653" t="s">
        <v>979</v>
      </c>
      <c r="D653" t="s">
        <v>980</v>
      </c>
      <c r="E653" t="s">
        <v>223</v>
      </c>
      <c r="F653" t="s">
        <v>57</v>
      </c>
      <c r="G653" t="s">
        <v>20</v>
      </c>
      <c r="H653">
        <v>4</v>
      </c>
      <c r="I653">
        <v>25760</v>
      </c>
      <c r="J653">
        <v>0.08</v>
      </c>
      <c r="K653">
        <v>5981.99</v>
      </c>
    </row>
    <row r="654" spans="1:11" x14ac:dyDescent="0.3">
      <c r="A654" t="s">
        <v>1160</v>
      </c>
      <c r="B654" s="1">
        <v>46002</v>
      </c>
      <c r="C654" t="s">
        <v>299</v>
      </c>
      <c r="D654" t="s">
        <v>300</v>
      </c>
      <c r="E654" t="s">
        <v>200</v>
      </c>
      <c r="F654" t="s">
        <v>57</v>
      </c>
      <c r="G654" t="s">
        <v>43</v>
      </c>
      <c r="H654">
        <v>1</v>
      </c>
      <c r="I654">
        <v>1530</v>
      </c>
      <c r="J654">
        <v>0.15</v>
      </c>
      <c r="K654">
        <v>413.35</v>
      </c>
    </row>
    <row r="655" spans="1:11" x14ac:dyDescent="0.3">
      <c r="A655" t="s">
        <v>1161</v>
      </c>
      <c r="B655" s="1">
        <v>45660</v>
      </c>
      <c r="C655" t="s">
        <v>806</v>
      </c>
      <c r="D655" t="s">
        <v>807</v>
      </c>
      <c r="E655" t="s">
        <v>160</v>
      </c>
      <c r="F655" t="s">
        <v>25</v>
      </c>
      <c r="G655" t="s">
        <v>20</v>
      </c>
      <c r="H655">
        <v>3</v>
      </c>
      <c r="I655">
        <v>1932</v>
      </c>
      <c r="J655">
        <v>0.08</v>
      </c>
      <c r="K655">
        <v>597.21</v>
      </c>
    </row>
    <row r="656" spans="1:11" x14ac:dyDescent="0.3">
      <c r="A656" t="s">
        <v>1162</v>
      </c>
      <c r="B656" s="1">
        <v>45748</v>
      </c>
      <c r="C656" t="s">
        <v>120</v>
      </c>
      <c r="D656" t="s">
        <v>121</v>
      </c>
      <c r="E656" t="s">
        <v>200</v>
      </c>
      <c r="F656" t="s">
        <v>57</v>
      </c>
      <c r="G656" t="s">
        <v>16</v>
      </c>
      <c r="H656">
        <v>8</v>
      </c>
      <c r="I656">
        <v>12960</v>
      </c>
      <c r="J656">
        <v>0.1</v>
      </c>
      <c r="K656">
        <v>3622.76</v>
      </c>
    </row>
    <row r="657" spans="1:11" x14ac:dyDescent="0.3">
      <c r="A657" t="s">
        <v>1163</v>
      </c>
      <c r="B657" s="1">
        <v>45994</v>
      </c>
      <c r="C657" t="s">
        <v>940</v>
      </c>
      <c r="D657" t="s">
        <v>941</v>
      </c>
      <c r="E657" t="s">
        <v>180</v>
      </c>
      <c r="F657" t="s">
        <v>15</v>
      </c>
      <c r="G657" t="s">
        <v>34</v>
      </c>
      <c r="H657">
        <v>2</v>
      </c>
      <c r="I657">
        <v>5520</v>
      </c>
      <c r="J657">
        <v>0.08</v>
      </c>
      <c r="K657">
        <v>1832.17</v>
      </c>
    </row>
    <row r="658" spans="1:11" x14ac:dyDescent="0.3">
      <c r="A658" t="s">
        <v>1164</v>
      </c>
      <c r="B658" s="1">
        <v>46012</v>
      </c>
      <c r="C658" t="s">
        <v>95</v>
      </c>
      <c r="D658" t="s">
        <v>96</v>
      </c>
      <c r="E658" t="s">
        <v>223</v>
      </c>
      <c r="F658" t="s">
        <v>57</v>
      </c>
      <c r="G658" t="s">
        <v>34</v>
      </c>
      <c r="H658">
        <v>7</v>
      </c>
      <c r="I658">
        <v>44100</v>
      </c>
      <c r="J658">
        <v>0.1</v>
      </c>
      <c r="K658">
        <v>10270.18</v>
      </c>
    </row>
    <row r="659" spans="1:11" x14ac:dyDescent="0.3">
      <c r="A659" t="s">
        <v>1165</v>
      </c>
      <c r="B659" s="1">
        <v>45726</v>
      </c>
      <c r="C659" t="s">
        <v>69</v>
      </c>
      <c r="D659" t="s">
        <v>70</v>
      </c>
      <c r="E659" t="s">
        <v>64</v>
      </c>
      <c r="F659" t="s">
        <v>57</v>
      </c>
      <c r="G659" t="s">
        <v>26</v>
      </c>
      <c r="H659">
        <v>5</v>
      </c>
      <c r="I659">
        <v>36800</v>
      </c>
      <c r="J659">
        <v>0.08</v>
      </c>
      <c r="K659">
        <v>7578.98</v>
      </c>
    </row>
    <row r="660" spans="1:11" x14ac:dyDescent="0.3">
      <c r="A660" t="s">
        <v>1166</v>
      </c>
      <c r="B660" s="1">
        <v>46017</v>
      </c>
      <c r="C660" t="s">
        <v>328</v>
      </c>
      <c r="D660" t="s">
        <v>329</v>
      </c>
      <c r="E660" t="s">
        <v>87</v>
      </c>
      <c r="F660" t="s">
        <v>15</v>
      </c>
      <c r="G660" t="s">
        <v>34</v>
      </c>
      <c r="H660">
        <v>5</v>
      </c>
      <c r="I660">
        <v>4800</v>
      </c>
      <c r="J660">
        <v>0.2</v>
      </c>
      <c r="K660">
        <v>1325.89</v>
      </c>
    </row>
    <row r="661" spans="1:11" x14ac:dyDescent="0.3">
      <c r="A661" t="s">
        <v>1167</v>
      </c>
      <c r="B661" s="1">
        <v>45765</v>
      </c>
      <c r="C661" t="s">
        <v>113</v>
      </c>
      <c r="D661" t="s">
        <v>114</v>
      </c>
      <c r="E661" t="s">
        <v>47</v>
      </c>
      <c r="F661" t="s">
        <v>15</v>
      </c>
      <c r="G661" t="s">
        <v>34</v>
      </c>
      <c r="H661">
        <v>4</v>
      </c>
      <c r="I661">
        <v>25480</v>
      </c>
      <c r="J661">
        <v>0.02</v>
      </c>
      <c r="K661">
        <v>5173.3100000000004</v>
      </c>
    </row>
    <row r="662" spans="1:11" x14ac:dyDescent="0.3">
      <c r="A662" t="s">
        <v>1168</v>
      </c>
      <c r="B662" s="1">
        <v>45990</v>
      </c>
      <c r="C662" t="s">
        <v>1169</v>
      </c>
      <c r="D662" t="s">
        <v>1170</v>
      </c>
      <c r="E662" t="s">
        <v>56</v>
      </c>
      <c r="F662" t="s">
        <v>57</v>
      </c>
      <c r="G662" t="s">
        <v>16</v>
      </c>
      <c r="H662">
        <v>3</v>
      </c>
      <c r="I662">
        <v>15300</v>
      </c>
      <c r="J662">
        <v>0.15</v>
      </c>
      <c r="K662">
        <v>3731.82</v>
      </c>
    </row>
    <row r="663" spans="1:11" x14ac:dyDescent="0.3">
      <c r="A663" t="s">
        <v>1171</v>
      </c>
      <c r="B663" s="1">
        <v>45717</v>
      </c>
      <c r="C663" t="s">
        <v>568</v>
      </c>
      <c r="D663" t="s">
        <v>569</v>
      </c>
      <c r="E663" t="s">
        <v>47</v>
      </c>
      <c r="F663" t="s">
        <v>15</v>
      </c>
      <c r="G663" t="s">
        <v>26</v>
      </c>
      <c r="H663">
        <v>6</v>
      </c>
      <c r="I663">
        <v>33150</v>
      </c>
      <c r="J663">
        <v>0.15</v>
      </c>
      <c r="K663">
        <v>6662.95</v>
      </c>
    </row>
    <row r="664" spans="1:11" x14ac:dyDescent="0.3">
      <c r="A664" t="s">
        <v>1172</v>
      </c>
      <c r="B664" s="1">
        <v>45931</v>
      </c>
      <c r="C664" t="s">
        <v>153</v>
      </c>
      <c r="D664" t="s">
        <v>154</v>
      </c>
      <c r="E664" t="s">
        <v>160</v>
      </c>
      <c r="F664" t="s">
        <v>25</v>
      </c>
      <c r="G664" t="s">
        <v>43</v>
      </c>
      <c r="H664">
        <v>7</v>
      </c>
      <c r="I664">
        <v>4165</v>
      </c>
      <c r="J664">
        <v>0.15</v>
      </c>
      <c r="K664">
        <v>1198.5</v>
      </c>
    </row>
    <row r="665" spans="1:11" x14ac:dyDescent="0.3">
      <c r="A665" t="s">
        <v>1173</v>
      </c>
      <c r="B665" s="1">
        <v>45853</v>
      </c>
      <c r="C665" t="s">
        <v>843</v>
      </c>
      <c r="D665" t="s">
        <v>844</v>
      </c>
      <c r="E665" t="s">
        <v>210</v>
      </c>
      <c r="F665" t="s">
        <v>15</v>
      </c>
      <c r="G665" t="s">
        <v>20</v>
      </c>
      <c r="H665">
        <v>2</v>
      </c>
      <c r="I665">
        <v>110000</v>
      </c>
      <c r="J665">
        <v>0</v>
      </c>
      <c r="K665">
        <v>16978.54</v>
      </c>
    </row>
    <row r="666" spans="1:11" x14ac:dyDescent="0.3">
      <c r="A666" t="s">
        <v>1174</v>
      </c>
      <c r="B666" s="1">
        <v>46007</v>
      </c>
      <c r="C666" t="s">
        <v>688</v>
      </c>
      <c r="D666" t="s">
        <v>689</v>
      </c>
      <c r="E666" t="s">
        <v>76</v>
      </c>
      <c r="F666" t="s">
        <v>25</v>
      </c>
      <c r="G666" t="s">
        <v>20</v>
      </c>
      <c r="H666">
        <v>3</v>
      </c>
      <c r="I666">
        <v>1425</v>
      </c>
      <c r="J666">
        <v>0.05</v>
      </c>
      <c r="K666">
        <v>403.92</v>
      </c>
    </row>
    <row r="667" spans="1:11" x14ac:dyDescent="0.3">
      <c r="A667" t="s">
        <v>1175</v>
      </c>
      <c r="B667" s="1">
        <v>45935</v>
      </c>
      <c r="C667" t="s">
        <v>744</v>
      </c>
      <c r="D667" t="s">
        <v>745</v>
      </c>
      <c r="E667" t="s">
        <v>115</v>
      </c>
      <c r="F667" t="s">
        <v>25</v>
      </c>
      <c r="G667" t="s">
        <v>43</v>
      </c>
      <c r="H667">
        <v>4</v>
      </c>
      <c r="I667">
        <v>960</v>
      </c>
      <c r="J667">
        <v>0.2</v>
      </c>
      <c r="K667">
        <v>270.07</v>
      </c>
    </row>
    <row r="668" spans="1:11" x14ac:dyDescent="0.3">
      <c r="A668" t="s">
        <v>1176</v>
      </c>
      <c r="B668" s="1">
        <v>45989</v>
      </c>
      <c r="C668" t="s">
        <v>36</v>
      </c>
      <c r="D668" t="s">
        <v>37</v>
      </c>
      <c r="E668" t="s">
        <v>158</v>
      </c>
      <c r="F668" t="s">
        <v>25</v>
      </c>
      <c r="G668" t="s">
        <v>16</v>
      </c>
      <c r="H668">
        <v>4</v>
      </c>
      <c r="I668">
        <v>2720</v>
      </c>
      <c r="J668">
        <v>0.15</v>
      </c>
      <c r="K668">
        <v>822.3</v>
      </c>
    </row>
    <row r="669" spans="1:11" x14ac:dyDescent="0.3">
      <c r="A669" t="s">
        <v>1177</v>
      </c>
      <c r="B669" s="1">
        <v>45856</v>
      </c>
      <c r="C669" t="s">
        <v>78</v>
      </c>
      <c r="D669" t="s">
        <v>79</v>
      </c>
      <c r="E669" t="s">
        <v>115</v>
      </c>
      <c r="F669" t="s">
        <v>25</v>
      </c>
      <c r="G669" t="s">
        <v>34</v>
      </c>
      <c r="H669">
        <v>1</v>
      </c>
      <c r="I669">
        <v>276</v>
      </c>
      <c r="J669">
        <v>0.08</v>
      </c>
      <c r="K669">
        <v>88.67</v>
      </c>
    </row>
    <row r="670" spans="1:11" x14ac:dyDescent="0.3">
      <c r="A670" t="s">
        <v>1178</v>
      </c>
      <c r="B670" s="1">
        <v>45786</v>
      </c>
      <c r="C670" t="s">
        <v>212</v>
      </c>
      <c r="D670" t="s">
        <v>213</v>
      </c>
      <c r="E670" t="s">
        <v>47</v>
      </c>
      <c r="F670" t="s">
        <v>15</v>
      </c>
      <c r="G670" t="s">
        <v>43</v>
      </c>
      <c r="H670">
        <v>1</v>
      </c>
      <c r="I670">
        <v>6500</v>
      </c>
      <c r="J670">
        <v>0</v>
      </c>
      <c r="K670">
        <v>1238.24</v>
      </c>
    </row>
    <row r="671" spans="1:11" x14ac:dyDescent="0.3">
      <c r="A671" t="s">
        <v>1179</v>
      </c>
      <c r="B671" s="1">
        <v>45959</v>
      </c>
      <c r="C671" t="s">
        <v>186</v>
      </c>
      <c r="D671" t="s">
        <v>187</v>
      </c>
      <c r="E671" t="s">
        <v>24</v>
      </c>
      <c r="F671" t="s">
        <v>25</v>
      </c>
      <c r="G671" t="s">
        <v>26</v>
      </c>
      <c r="H671">
        <v>6</v>
      </c>
      <c r="I671">
        <v>57600</v>
      </c>
      <c r="J671">
        <v>0.2</v>
      </c>
      <c r="K671">
        <v>11361.88</v>
      </c>
    </row>
    <row r="672" spans="1:11" x14ac:dyDescent="0.3">
      <c r="A672" t="s">
        <v>1180</v>
      </c>
      <c r="B672" s="1">
        <v>45748</v>
      </c>
      <c r="C672" t="s">
        <v>872</v>
      </c>
      <c r="D672" t="s">
        <v>873</v>
      </c>
      <c r="E672" t="s">
        <v>51</v>
      </c>
      <c r="F672" t="s">
        <v>15</v>
      </c>
      <c r="G672" t="s">
        <v>20</v>
      </c>
      <c r="H672">
        <v>5</v>
      </c>
      <c r="I672">
        <v>4140</v>
      </c>
      <c r="J672">
        <v>0.08</v>
      </c>
      <c r="K672">
        <v>1466.03</v>
      </c>
    </row>
    <row r="673" spans="1:11" x14ac:dyDescent="0.3">
      <c r="A673" t="s">
        <v>1181</v>
      </c>
      <c r="B673" s="1">
        <v>45678</v>
      </c>
      <c r="C673" t="s">
        <v>641</v>
      </c>
      <c r="D673" t="s">
        <v>642</v>
      </c>
      <c r="E673" t="s">
        <v>33</v>
      </c>
      <c r="F673" t="s">
        <v>15</v>
      </c>
      <c r="G673" t="s">
        <v>26</v>
      </c>
      <c r="H673">
        <v>2</v>
      </c>
      <c r="I673">
        <v>3312</v>
      </c>
      <c r="J673">
        <v>0.08</v>
      </c>
      <c r="K673">
        <v>1066.27</v>
      </c>
    </row>
    <row r="674" spans="1:11" x14ac:dyDescent="0.3">
      <c r="A674" t="s">
        <v>1182</v>
      </c>
      <c r="B674" s="1">
        <v>45788</v>
      </c>
      <c r="C674" t="s">
        <v>40</v>
      </c>
      <c r="D674" t="s">
        <v>41</v>
      </c>
      <c r="E674" t="s">
        <v>180</v>
      </c>
      <c r="F674" t="s">
        <v>15</v>
      </c>
      <c r="G674" t="s">
        <v>43</v>
      </c>
      <c r="H674">
        <v>3</v>
      </c>
      <c r="I674">
        <v>8100</v>
      </c>
      <c r="J674">
        <v>0.1</v>
      </c>
      <c r="K674">
        <v>2387.71</v>
      </c>
    </row>
    <row r="675" spans="1:11" x14ac:dyDescent="0.3">
      <c r="A675" t="s">
        <v>1183</v>
      </c>
      <c r="B675" s="1">
        <v>45823</v>
      </c>
      <c r="C675" t="s">
        <v>317</v>
      </c>
      <c r="D675" t="s">
        <v>318</v>
      </c>
      <c r="E675" t="s">
        <v>180</v>
      </c>
      <c r="F675" t="s">
        <v>15</v>
      </c>
      <c r="G675" t="s">
        <v>26</v>
      </c>
      <c r="H675">
        <v>1</v>
      </c>
      <c r="I675">
        <v>2940</v>
      </c>
      <c r="J675">
        <v>0.02</v>
      </c>
      <c r="K675">
        <v>990.5</v>
      </c>
    </row>
    <row r="676" spans="1:11" x14ac:dyDescent="0.3">
      <c r="A676" t="s">
        <v>1184</v>
      </c>
      <c r="B676" s="1">
        <v>45951</v>
      </c>
      <c r="C676" t="s">
        <v>265</v>
      </c>
      <c r="D676" t="s">
        <v>266</v>
      </c>
      <c r="E676" t="s">
        <v>115</v>
      </c>
      <c r="F676" t="s">
        <v>25</v>
      </c>
      <c r="G676" t="s">
        <v>20</v>
      </c>
      <c r="H676">
        <v>8</v>
      </c>
      <c r="I676">
        <v>1920</v>
      </c>
      <c r="J676">
        <v>0.2</v>
      </c>
      <c r="K676">
        <v>606.41999999999996</v>
      </c>
    </row>
    <row r="677" spans="1:11" x14ac:dyDescent="0.3">
      <c r="A677" t="s">
        <v>1185</v>
      </c>
      <c r="B677" s="1">
        <v>45924</v>
      </c>
      <c r="C677" t="s">
        <v>859</v>
      </c>
      <c r="D677" t="s">
        <v>860</v>
      </c>
      <c r="E677" t="s">
        <v>64</v>
      </c>
      <c r="F677" t="s">
        <v>57</v>
      </c>
      <c r="G677" t="s">
        <v>26</v>
      </c>
      <c r="H677">
        <v>4</v>
      </c>
      <c r="I677">
        <v>31360</v>
      </c>
      <c r="J677">
        <v>0.02</v>
      </c>
      <c r="K677">
        <v>6522.54</v>
      </c>
    </row>
    <row r="678" spans="1:11" x14ac:dyDescent="0.3">
      <c r="A678" t="s">
        <v>1186</v>
      </c>
      <c r="B678" s="1">
        <v>45836</v>
      </c>
      <c r="C678" t="s">
        <v>369</v>
      </c>
      <c r="D678" t="s">
        <v>370</v>
      </c>
      <c r="E678" t="s">
        <v>200</v>
      </c>
      <c r="F678" t="s">
        <v>57</v>
      </c>
      <c r="G678" t="s">
        <v>16</v>
      </c>
      <c r="H678">
        <v>7</v>
      </c>
      <c r="I678">
        <v>12600</v>
      </c>
      <c r="J678">
        <v>0</v>
      </c>
      <c r="K678">
        <v>3343.87</v>
      </c>
    </row>
    <row r="679" spans="1:11" x14ac:dyDescent="0.3">
      <c r="A679" t="s">
        <v>1187</v>
      </c>
      <c r="B679" s="1">
        <v>45808</v>
      </c>
      <c r="C679" t="s">
        <v>147</v>
      </c>
      <c r="D679" t="s">
        <v>148</v>
      </c>
      <c r="E679" t="s">
        <v>64</v>
      </c>
      <c r="F679" t="s">
        <v>57</v>
      </c>
      <c r="G679" t="s">
        <v>26</v>
      </c>
      <c r="H679">
        <v>6</v>
      </c>
      <c r="I679">
        <v>45600</v>
      </c>
      <c r="J679">
        <v>0.05</v>
      </c>
      <c r="K679">
        <v>9638.4699999999993</v>
      </c>
    </row>
    <row r="680" spans="1:11" x14ac:dyDescent="0.3">
      <c r="A680" t="s">
        <v>1188</v>
      </c>
      <c r="B680" s="1">
        <v>46000</v>
      </c>
      <c r="C680" t="s">
        <v>474</v>
      </c>
      <c r="D680" t="s">
        <v>475</v>
      </c>
      <c r="E680" t="s">
        <v>80</v>
      </c>
      <c r="F680" t="s">
        <v>15</v>
      </c>
      <c r="G680" t="s">
        <v>16</v>
      </c>
      <c r="H680">
        <v>1</v>
      </c>
      <c r="I680">
        <v>3500</v>
      </c>
      <c r="J680">
        <v>0</v>
      </c>
      <c r="K680">
        <v>877.83</v>
      </c>
    </row>
    <row r="681" spans="1:11" x14ac:dyDescent="0.3">
      <c r="A681" t="s">
        <v>1189</v>
      </c>
      <c r="B681" s="1">
        <v>46007</v>
      </c>
      <c r="C681" t="s">
        <v>1190</v>
      </c>
      <c r="D681" t="s">
        <v>1191</v>
      </c>
      <c r="E681" t="s">
        <v>158</v>
      </c>
      <c r="F681" t="s">
        <v>25</v>
      </c>
      <c r="G681" t="s">
        <v>43</v>
      </c>
      <c r="H681">
        <v>4</v>
      </c>
      <c r="I681">
        <v>3200</v>
      </c>
      <c r="J681">
        <v>0</v>
      </c>
      <c r="K681">
        <v>1061.71</v>
      </c>
    </row>
    <row r="682" spans="1:11" x14ac:dyDescent="0.3">
      <c r="A682" t="s">
        <v>1192</v>
      </c>
      <c r="B682" s="1">
        <v>45934</v>
      </c>
      <c r="C682" t="s">
        <v>629</v>
      </c>
      <c r="D682" t="s">
        <v>630</v>
      </c>
      <c r="E682" t="s">
        <v>14</v>
      </c>
      <c r="F682" t="s">
        <v>15</v>
      </c>
      <c r="G682" t="s">
        <v>20</v>
      </c>
      <c r="H682">
        <v>7</v>
      </c>
      <c r="I682">
        <v>119700</v>
      </c>
      <c r="J682">
        <v>0.05</v>
      </c>
      <c r="K682">
        <v>23846.73</v>
      </c>
    </row>
    <row r="683" spans="1:11" x14ac:dyDescent="0.3">
      <c r="A683" t="s">
        <v>1193</v>
      </c>
      <c r="B683" s="1">
        <v>45918</v>
      </c>
      <c r="C683" t="s">
        <v>839</v>
      </c>
      <c r="D683" t="s">
        <v>840</v>
      </c>
      <c r="E683" t="s">
        <v>87</v>
      </c>
      <c r="F683" t="s">
        <v>15</v>
      </c>
      <c r="G683" t="s">
        <v>20</v>
      </c>
      <c r="H683">
        <v>6</v>
      </c>
      <c r="I683">
        <v>6480</v>
      </c>
      <c r="J683">
        <v>0.1</v>
      </c>
      <c r="K683">
        <v>1819.21</v>
      </c>
    </row>
    <row r="684" spans="1:11" x14ac:dyDescent="0.3">
      <c r="A684" t="s">
        <v>1194</v>
      </c>
      <c r="B684" s="1">
        <v>45700</v>
      </c>
      <c r="C684" t="s">
        <v>1043</v>
      </c>
      <c r="D684" t="s">
        <v>1044</v>
      </c>
      <c r="E684" t="s">
        <v>51</v>
      </c>
      <c r="F684" t="s">
        <v>15</v>
      </c>
      <c r="G684" t="s">
        <v>16</v>
      </c>
      <c r="H684">
        <v>6</v>
      </c>
      <c r="I684">
        <v>4860</v>
      </c>
      <c r="J684">
        <v>0.1</v>
      </c>
      <c r="K684">
        <v>1704.09</v>
      </c>
    </row>
    <row r="685" spans="1:11" x14ac:dyDescent="0.3">
      <c r="A685" t="s">
        <v>1195</v>
      </c>
      <c r="B685" s="1">
        <v>45691</v>
      </c>
      <c r="C685" t="s">
        <v>612</v>
      </c>
      <c r="D685" t="s">
        <v>613</v>
      </c>
      <c r="E685" t="s">
        <v>47</v>
      </c>
      <c r="F685" t="s">
        <v>15</v>
      </c>
      <c r="G685" t="s">
        <v>16</v>
      </c>
      <c r="H685">
        <v>1</v>
      </c>
      <c r="I685">
        <v>5525</v>
      </c>
      <c r="J685">
        <v>0.15</v>
      </c>
      <c r="K685">
        <v>996.09</v>
      </c>
    </row>
    <row r="686" spans="1:11" x14ac:dyDescent="0.3">
      <c r="A686" t="s">
        <v>1196</v>
      </c>
      <c r="B686" s="1">
        <v>45933</v>
      </c>
      <c r="C686" t="s">
        <v>393</v>
      </c>
      <c r="D686" t="s">
        <v>394</v>
      </c>
      <c r="E686" t="s">
        <v>200</v>
      </c>
      <c r="F686" t="s">
        <v>57</v>
      </c>
      <c r="G686" t="s">
        <v>43</v>
      </c>
      <c r="H686">
        <v>2</v>
      </c>
      <c r="I686">
        <v>3528</v>
      </c>
      <c r="J686">
        <v>0.02</v>
      </c>
      <c r="K686">
        <v>1027.5999999999999</v>
      </c>
    </row>
    <row r="687" spans="1:11" x14ac:dyDescent="0.3">
      <c r="A687" t="s">
        <v>1197</v>
      </c>
      <c r="B687" s="1">
        <v>45893</v>
      </c>
      <c r="C687" t="s">
        <v>404</v>
      </c>
      <c r="D687" t="s">
        <v>405</v>
      </c>
      <c r="E687" t="s">
        <v>38</v>
      </c>
      <c r="F687" t="s">
        <v>15</v>
      </c>
      <c r="G687" t="s">
        <v>20</v>
      </c>
      <c r="H687">
        <v>3</v>
      </c>
      <c r="I687">
        <v>84000</v>
      </c>
      <c r="J687">
        <v>0</v>
      </c>
      <c r="K687">
        <v>13968.44</v>
      </c>
    </row>
    <row r="688" spans="1:11" x14ac:dyDescent="0.3">
      <c r="A688" t="s">
        <v>1198</v>
      </c>
      <c r="B688" s="1">
        <v>45786</v>
      </c>
      <c r="C688" t="s">
        <v>1051</v>
      </c>
      <c r="D688" t="s">
        <v>1052</v>
      </c>
      <c r="E688" t="s">
        <v>38</v>
      </c>
      <c r="F688" t="s">
        <v>15</v>
      </c>
      <c r="G688" t="s">
        <v>26</v>
      </c>
      <c r="H688">
        <v>1</v>
      </c>
      <c r="I688">
        <v>27440</v>
      </c>
      <c r="J688">
        <v>0.02</v>
      </c>
      <c r="K688">
        <v>4429.32</v>
      </c>
    </row>
    <row r="689" spans="1:11" x14ac:dyDescent="0.3">
      <c r="A689" t="s">
        <v>1199</v>
      </c>
      <c r="B689" s="1">
        <v>45856</v>
      </c>
      <c r="C689" t="s">
        <v>693</v>
      </c>
      <c r="D689" t="s">
        <v>694</v>
      </c>
      <c r="E689" t="s">
        <v>24</v>
      </c>
      <c r="F689" t="s">
        <v>25</v>
      </c>
      <c r="G689" t="s">
        <v>43</v>
      </c>
      <c r="H689">
        <v>5</v>
      </c>
      <c r="I689">
        <v>55200</v>
      </c>
      <c r="J689">
        <v>0.08</v>
      </c>
      <c r="K689">
        <v>11152.25</v>
      </c>
    </row>
    <row r="690" spans="1:11" x14ac:dyDescent="0.3">
      <c r="A690" t="s">
        <v>1200</v>
      </c>
      <c r="B690" s="1">
        <v>46002</v>
      </c>
      <c r="C690" t="s">
        <v>535</v>
      </c>
      <c r="D690" t="s">
        <v>536</v>
      </c>
      <c r="E690" t="s">
        <v>64</v>
      </c>
      <c r="F690" t="s">
        <v>57</v>
      </c>
      <c r="G690" t="s">
        <v>20</v>
      </c>
      <c r="H690">
        <v>1</v>
      </c>
      <c r="I690">
        <v>7360</v>
      </c>
      <c r="J690">
        <v>0.08</v>
      </c>
      <c r="K690">
        <v>1510.07</v>
      </c>
    </row>
    <row r="691" spans="1:11" x14ac:dyDescent="0.3">
      <c r="A691" t="s">
        <v>1201</v>
      </c>
      <c r="B691" s="1">
        <v>45957</v>
      </c>
      <c r="C691" t="s">
        <v>289</v>
      </c>
      <c r="D691" t="s">
        <v>290</v>
      </c>
      <c r="E691" t="s">
        <v>158</v>
      </c>
      <c r="F691" t="s">
        <v>25</v>
      </c>
      <c r="G691" t="s">
        <v>20</v>
      </c>
      <c r="H691">
        <v>2</v>
      </c>
      <c r="I691">
        <v>1280</v>
      </c>
      <c r="J691">
        <v>0.2</v>
      </c>
      <c r="K691">
        <v>338.64</v>
      </c>
    </row>
    <row r="692" spans="1:11" x14ac:dyDescent="0.3">
      <c r="A692" t="s">
        <v>1202</v>
      </c>
      <c r="B692" s="1">
        <v>46009</v>
      </c>
      <c r="C692" t="s">
        <v>1115</v>
      </c>
      <c r="D692" t="s">
        <v>1116</v>
      </c>
      <c r="E692" t="s">
        <v>87</v>
      </c>
      <c r="F692" t="s">
        <v>15</v>
      </c>
      <c r="G692" t="s">
        <v>20</v>
      </c>
      <c r="H692">
        <v>2</v>
      </c>
      <c r="I692">
        <v>2280</v>
      </c>
      <c r="J692">
        <v>0.05</v>
      </c>
      <c r="K692">
        <v>634</v>
      </c>
    </row>
    <row r="693" spans="1:11" x14ac:dyDescent="0.3">
      <c r="A693" t="s">
        <v>1203</v>
      </c>
      <c r="B693" s="1">
        <v>45996</v>
      </c>
      <c r="C693" t="s">
        <v>715</v>
      </c>
      <c r="D693" t="s">
        <v>716</v>
      </c>
      <c r="E693" t="s">
        <v>71</v>
      </c>
      <c r="F693" t="s">
        <v>72</v>
      </c>
      <c r="G693" t="s">
        <v>16</v>
      </c>
      <c r="H693">
        <v>7</v>
      </c>
      <c r="I693">
        <v>14168</v>
      </c>
      <c r="J693">
        <v>0.08</v>
      </c>
      <c r="K693">
        <v>4042.16</v>
      </c>
    </row>
    <row r="694" spans="1:11" x14ac:dyDescent="0.3">
      <c r="A694" t="s">
        <v>1204</v>
      </c>
      <c r="B694" s="1">
        <v>45858</v>
      </c>
      <c r="C694" t="s">
        <v>286</v>
      </c>
      <c r="D694" t="s">
        <v>287</v>
      </c>
      <c r="E694" t="s">
        <v>24</v>
      </c>
      <c r="F694" t="s">
        <v>25</v>
      </c>
      <c r="G694" t="s">
        <v>26</v>
      </c>
      <c r="H694">
        <v>3</v>
      </c>
      <c r="I694">
        <v>30600</v>
      </c>
      <c r="J694">
        <v>0.15</v>
      </c>
      <c r="K694">
        <v>6449.87</v>
      </c>
    </row>
    <row r="695" spans="1:11" x14ac:dyDescent="0.3">
      <c r="A695" t="s">
        <v>1205</v>
      </c>
      <c r="B695" s="1">
        <v>45989</v>
      </c>
      <c r="C695" t="s">
        <v>1043</v>
      </c>
      <c r="D695" t="s">
        <v>1044</v>
      </c>
      <c r="E695" t="s">
        <v>180</v>
      </c>
      <c r="F695" t="s">
        <v>15</v>
      </c>
      <c r="G695" t="s">
        <v>20</v>
      </c>
      <c r="H695">
        <v>5</v>
      </c>
      <c r="I695">
        <v>12750</v>
      </c>
      <c r="J695">
        <v>0.15</v>
      </c>
      <c r="K695">
        <v>3961</v>
      </c>
    </row>
    <row r="696" spans="1:11" x14ac:dyDescent="0.3">
      <c r="A696" t="s">
        <v>1206</v>
      </c>
      <c r="B696" s="1">
        <v>45679</v>
      </c>
      <c r="C696" t="s">
        <v>120</v>
      </c>
      <c r="D696" t="s">
        <v>121</v>
      </c>
      <c r="E696" t="s">
        <v>47</v>
      </c>
      <c r="F696" t="s">
        <v>15</v>
      </c>
      <c r="G696" t="s">
        <v>26</v>
      </c>
      <c r="H696">
        <v>3</v>
      </c>
      <c r="I696">
        <v>19500</v>
      </c>
      <c r="J696">
        <v>0</v>
      </c>
      <c r="K696">
        <v>3591.14</v>
      </c>
    </row>
    <row r="697" spans="1:11" x14ac:dyDescent="0.3">
      <c r="A697" t="s">
        <v>1207</v>
      </c>
      <c r="B697" s="1">
        <v>45765</v>
      </c>
      <c r="C697" t="s">
        <v>802</v>
      </c>
      <c r="D697" t="s">
        <v>803</v>
      </c>
      <c r="E697" t="s">
        <v>47</v>
      </c>
      <c r="F697" t="s">
        <v>15</v>
      </c>
      <c r="G697" t="s">
        <v>34</v>
      </c>
      <c r="H697">
        <v>2</v>
      </c>
      <c r="I697">
        <v>12350</v>
      </c>
      <c r="J697">
        <v>0.05</v>
      </c>
      <c r="K697">
        <v>2540.79</v>
      </c>
    </row>
    <row r="698" spans="1:11" x14ac:dyDescent="0.3">
      <c r="A698" t="s">
        <v>1208</v>
      </c>
      <c r="B698" s="1">
        <v>45752</v>
      </c>
      <c r="C698" t="s">
        <v>1209</v>
      </c>
      <c r="D698" t="s">
        <v>1210</v>
      </c>
      <c r="E698" t="s">
        <v>200</v>
      </c>
      <c r="F698" t="s">
        <v>57</v>
      </c>
      <c r="G698" t="s">
        <v>34</v>
      </c>
      <c r="H698">
        <v>3</v>
      </c>
      <c r="I698">
        <v>5292</v>
      </c>
      <c r="J698">
        <v>0.02</v>
      </c>
      <c r="K698">
        <v>1395.49</v>
      </c>
    </row>
    <row r="699" spans="1:11" x14ac:dyDescent="0.3">
      <c r="A699" t="s">
        <v>1211</v>
      </c>
      <c r="B699" s="1">
        <v>45948</v>
      </c>
      <c r="C699" t="s">
        <v>250</v>
      </c>
      <c r="D699" t="s">
        <v>251</v>
      </c>
      <c r="E699" t="s">
        <v>14</v>
      </c>
      <c r="F699" t="s">
        <v>15</v>
      </c>
      <c r="G699" t="s">
        <v>26</v>
      </c>
      <c r="H699">
        <v>3</v>
      </c>
      <c r="I699">
        <v>45900</v>
      </c>
      <c r="J699">
        <v>0.15</v>
      </c>
      <c r="K699">
        <v>9123.0300000000007</v>
      </c>
    </row>
    <row r="700" spans="1:11" x14ac:dyDescent="0.3">
      <c r="A700" t="s">
        <v>1212</v>
      </c>
      <c r="B700" s="1">
        <v>46001</v>
      </c>
      <c r="C700" t="s">
        <v>256</v>
      </c>
      <c r="D700" t="s">
        <v>257</v>
      </c>
      <c r="E700" t="s">
        <v>47</v>
      </c>
      <c r="F700" t="s">
        <v>15</v>
      </c>
      <c r="G700" t="s">
        <v>20</v>
      </c>
      <c r="H700">
        <v>2</v>
      </c>
      <c r="I700">
        <v>12350</v>
      </c>
      <c r="J700">
        <v>0.05</v>
      </c>
      <c r="K700">
        <v>2257.52</v>
      </c>
    </row>
    <row r="701" spans="1:11" x14ac:dyDescent="0.3">
      <c r="A701" t="s">
        <v>1213</v>
      </c>
      <c r="B701" s="1">
        <v>45840</v>
      </c>
      <c r="C701" t="s">
        <v>872</v>
      </c>
      <c r="D701" t="s">
        <v>873</v>
      </c>
      <c r="E701" t="s">
        <v>160</v>
      </c>
      <c r="F701" t="s">
        <v>25</v>
      </c>
      <c r="G701" t="s">
        <v>16</v>
      </c>
      <c r="H701">
        <v>8</v>
      </c>
      <c r="I701">
        <v>5320</v>
      </c>
      <c r="J701">
        <v>0.05</v>
      </c>
      <c r="K701">
        <v>1545.31</v>
      </c>
    </row>
    <row r="702" spans="1:11" x14ac:dyDescent="0.3">
      <c r="A702" t="s">
        <v>1214</v>
      </c>
      <c r="B702" s="1">
        <v>45820</v>
      </c>
      <c r="C702" t="s">
        <v>140</v>
      </c>
      <c r="D702" t="s">
        <v>141</v>
      </c>
      <c r="E702" t="s">
        <v>115</v>
      </c>
      <c r="F702" t="s">
        <v>25</v>
      </c>
      <c r="G702" t="s">
        <v>34</v>
      </c>
      <c r="H702">
        <v>2</v>
      </c>
      <c r="I702">
        <v>588</v>
      </c>
      <c r="J702">
        <v>0.02</v>
      </c>
      <c r="K702">
        <v>194.55</v>
      </c>
    </row>
    <row r="703" spans="1:11" x14ac:dyDescent="0.3">
      <c r="A703" t="s">
        <v>1215</v>
      </c>
      <c r="B703" s="1">
        <v>45948</v>
      </c>
      <c r="C703" t="s">
        <v>320</v>
      </c>
      <c r="D703" t="s">
        <v>321</v>
      </c>
      <c r="E703" t="s">
        <v>115</v>
      </c>
      <c r="F703" t="s">
        <v>25</v>
      </c>
      <c r="G703" t="s">
        <v>34</v>
      </c>
      <c r="H703">
        <v>3</v>
      </c>
      <c r="I703">
        <v>810</v>
      </c>
      <c r="J703">
        <v>0.1</v>
      </c>
      <c r="K703">
        <v>256</v>
      </c>
    </row>
    <row r="704" spans="1:11" x14ac:dyDescent="0.3">
      <c r="A704" t="s">
        <v>1216</v>
      </c>
      <c r="B704" s="1">
        <v>45818</v>
      </c>
      <c r="C704" t="s">
        <v>366</v>
      </c>
      <c r="D704" t="s">
        <v>367</v>
      </c>
      <c r="E704" t="s">
        <v>200</v>
      </c>
      <c r="F704" t="s">
        <v>57</v>
      </c>
      <c r="G704" t="s">
        <v>16</v>
      </c>
      <c r="H704">
        <v>3</v>
      </c>
      <c r="I704">
        <v>5400</v>
      </c>
      <c r="J704">
        <v>0</v>
      </c>
      <c r="K704">
        <v>1439.08</v>
      </c>
    </row>
    <row r="705" spans="1:11" x14ac:dyDescent="0.3">
      <c r="A705" t="s">
        <v>1217</v>
      </c>
      <c r="B705" s="1">
        <v>45842</v>
      </c>
      <c r="C705" t="s">
        <v>113</v>
      </c>
      <c r="D705" t="s">
        <v>114</v>
      </c>
      <c r="E705" t="s">
        <v>200</v>
      </c>
      <c r="F705" t="s">
        <v>57</v>
      </c>
      <c r="G705" t="s">
        <v>34</v>
      </c>
      <c r="H705">
        <v>5</v>
      </c>
      <c r="I705">
        <v>7200</v>
      </c>
      <c r="J705">
        <v>0.2</v>
      </c>
      <c r="K705">
        <v>1728.72</v>
      </c>
    </row>
    <row r="706" spans="1:11" x14ac:dyDescent="0.3">
      <c r="A706" t="s">
        <v>1218</v>
      </c>
      <c r="B706" s="1">
        <v>45841</v>
      </c>
      <c r="C706" t="s">
        <v>1219</v>
      </c>
      <c r="D706" t="s">
        <v>1220</v>
      </c>
      <c r="E706" t="s">
        <v>80</v>
      </c>
      <c r="F706" t="s">
        <v>15</v>
      </c>
      <c r="G706" t="s">
        <v>43</v>
      </c>
      <c r="H706">
        <v>8</v>
      </c>
      <c r="I706">
        <v>25760</v>
      </c>
      <c r="J706">
        <v>0.08</v>
      </c>
      <c r="K706">
        <v>6796.53</v>
      </c>
    </row>
    <row r="707" spans="1:11" x14ac:dyDescent="0.3">
      <c r="A707" t="s">
        <v>1221</v>
      </c>
      <c r="B707" s="1">
        <v>45968</v>
      </c>
      <c r="C707" t="s">
        <v>120</v>
      </c>
      <c r="D707" t="s">
        <v>121</v>
      </c>
      <c r="E707" t="s">
        <v>14</v>
      </c>
      <c r="F707" t="s">
        <v>15</v>
      </c>
      <c r="G707" t="s">
        <v>34</v>
      </c>
      <c r="H707">
        <v>3</v>
      </c>
      <c r="I707">
        <v>45900</v>
      </c>
      <c r="J707">
        <v>0.15</v>
      </c>
      <c r="K707">
        <v>7828.97</v>
      </c>
    </row>
    <row r="708" spans="1:11" x14ac:dyDescent="0.3">
      <c r="A708" t="s">
        <v>1222</v>
      </c>
      <c r="B708" s="1">
        <v>45978</v>
      </c>
      <c r="C708" t="s">
        <v>205</v>
      </c>
      <c r="D708" t="s">
        <v>206</v>
      </c>
      <c r="E708" t="s">
        <v>180</v>
      </c>
      <c r="F708" t="s">
        <v>15</v>
      </c>
      <c r="G708" t="s">
        <v>20</v>
      </c>
      <c r="H708">
        <v>4</v>
      </c>
      <c r="I708">
        <v>11400</v>
      </c>
      <c r="J708">
        <v>0.05</v>
      </c>
      <c r="K708">
        <v>3478.94</v>
      </c>
    </row>
    <row r="709" spans="1:11" x14ac:dyDescent="0.3">
      <c r="A709" t="s">
        <v>1223</v>
      </c>
      <c r="B709" s="1">
        <v>45955</v>
      </c>
      <c r="C709" t="s">
        <v>253</v>
      </c>
      <c r="D709" t="s">
        <v>254</v>
      </c>
      <c r="E709" t="s">
        <v>210</v>
      </c>
      <c r="F709" t="s">
        <v>15</v>
      </c>
      <c r="G709" t="s">
        <v>26</v>
      </c>
      <c r="H709">
        <v>1</v>
      </c>
      <c r="I709">
        <v>44000</v>
      </c>
      <c r="J709">
        <v>0.2</v>
      </c>
      <c r="K709">
        <v>6863.62</v>
      </c>
    </row>
    <row r="710" spans="1:11" x14ac:dyDescent="0.3">
      <c r="A710" t="s">
        <v>1224</v>
      </c>
      <c r="B710" s="1">
        <v>45934</v>
      </c>
      <c r="C710" t="s">
        <v>1209</v>
      </c>
      <c r="D710" t="s">
        <v>1210</v>
      </c>
      <c r="E710" t="s">
        <v>42</v>
      </c>
      <c r="F710" t="s">
        <v>15</v>
      </c>
      <c r="G710" t="s">
        <v>16</v>
      </c>
      <c r="H710">
        <v>5</v>
      </c>
      <c r="I710">
        <v>108000</v>
      </c>
      <c r="J710">
        <v>0.1</v>
      </c>
      <c r="K710">
        <v>21763.42</v>
      </c>
    </row>
    <row r="711" spans="1:11" x14ac:dyDescent="0.3">
      <c r="A711" t="s">
        <v>1225</v>
      </c>
      <c r="B711" s="1">
        <v>45959</v>
      </c>
      <c r="C711" t="s">
        <v>881</v>
      </c>
      <c r="D711" t="s">
        <v>882</v>
      </c>
      <c r="E711" t="s">
        <v>223</v>
      </c>
      <c r="F711" t="s">
        <v>57</v>
      </c>
      <c r="G711" t="s">
        <v>34</v>
      </c>
      <c r="H711">
        <v>4</v>
      </c>
      <c r="I711">
        <v>22400</v>
      </c>
      <c r="J711">
        <v>0.2</v>
      </c>
      <c r="K711">
        <v>5038.82</v>
      </c>
    </row>
    <row r="712" spans="1:11" x14ac:dyDescent="0.3">
      <c r="A712" t="s">
        <v>1226</v>
      </c>
      <c r="B712" s="1">
        <v>45844</v>
      </c>
      <c r="C712" t="s">
        <v>933</v>
      </c>
      <c r="D712" t="s">
        <v>934</v>
      </c>
      <c r="E712" t="s">
        <v>71</v>
      </c>
      <c r="F712" t="s">
        <v>72</v>
      </c>
      <c r="G712" t="s">
        <v>16</v>
      </c>
      <c r="H712">
        <v>2</v>
      </c>
      <c r="I712">
        <v>4048</v>
      </c>
      <c r="J712">
        <v>0.08</v>
      </c>
      <c r="K712">
        <v>1260.49</v>
      </c>
    </row>
    <row r="713" spans="1:11" x14ac:dyDescent="0.3">
      <c r="A713" t="s">
        <v>1227</v>
      </c>
      <c r="B713" s="1">
        <v>45921</v>
      </c>
      <c r="C713" t="s">
        <v>314</v>
      </c>
      <c r="D713" t="s">
        <v>315</v>
      </c>
      <c r="E713" t="s">
        <v>158</v>
      </c>
      <c r="F713" t="s">
        <v>25</v>
      </c>
      <c r="G713" t="s">
        <v>16</v>
      </c>
      <c r="H713">
        <v>3</v>
      </c>
      <c r="I713">
        <v>1920</v>
      </c>
      <c r="J713">
        <v>0.2</v>
      </c>
      <c r="K713">
        <v>519.34</v>
      </c>
    </row>
    <row r="714" spans="1:11" x14ac:dyDescent="0.3">
      <c r="A714" t="s">
        <v>1228</v>
      </c>
      <c r="B714" s="1">
        <v>45905</v>
      </c>
      <c r="C714" t="s">
        <v>350</v>
      </c>
      <c r="D714" t="s">
        <v>351</v>
      </c>
      <c r="E714" t="s">
        <v>160</v>
      </c>
      <c r="F714" t="s">
        <v>25</v>
      </c>
      <c r="G714" t="s">
        <v>20</v>
      </c>
      <c r="H714">
        <v>3</v>
      </c>
      <c r="I714">
        <v>1785</v>
      </c>
      <c r="J714">
        <v>0.15</v>
      </c>
      <c r="K714">
        <v>582.63</v>
      </c>
    </row>
    <row r="715" spans="1:11" x14ac:dyDescent="0.3">
      <c r="A715" t="s">
        <v>1229</v>
      </c>
      <c r="B715" s="1">
        <v>45793</v>
      </c>
      <c r="C715" t="s">
        <v>62</v>
      </c>
      <c r="D715" t="s">
        <v>63</v>
      </c>
      <c r="E715" t="s">
        <v>80</v>
      </c>
      <c r="F715" t="s">
        <v>15</v>
      </c>
      <c r="G715" t="s">
        <v>20</v>
      </c>
      <c r="H715">
        <v>4</v>
      </c>
      <c r="I715">
        <v>14000</v>
      </c>
      <c r="J715">
        <v>0</v>
      </c>
      <c r="K715">
        <v>3524.79</v>
      </c>
    </row>
    <row r="716" spans="1:11" x14ac:dyDescent="0.3">
      <c r="A716" t="s">
        <v>1230</v>
      </c>
      <c r="B716" s="1">
        <v>45898</v>
      </c>
      <c r="C716" t="s">
        <v>283</v>
      </c>
      <c r="D716" t="s">
        <v>284</v>
      </c>
      <c r="E716" t="s">
        <v>51</v>
      </c>
      <c r="F716" t="s">
        <v>15</v>
      </c>
      <c r="G716" t="s">
        <v>20</v>
      </c>
      <c r="H716">
        <v>6</v>
      </c>
      <c r="I716">
        <v>4968</v>
      </c>
      <c r="J716">
        <v>0.08</v>
      </c>
      <c r="K716">
        <v>1740.36</v>
      </c>
    </row>
    <row r="717" spans="1:11" x14ac:dyDescent="0.3">
      <c r="A717" t="s">
        <v>1231</v>
      </c>
      <c r="B717" s="1">
        <v>45924</v>
      </c>
      <c r="C717" t="s">
        <v>193</v>
      </c>
      <c r="D717" t="s">
        <v>194</v>
      </c>
      <c r="E717" t="s">
        <v>64</v>
      </c>
      <c r="F717" t="s">
        <v>57</v>
      </c>
      <c r="G717" t="s">
        <v>34</v>
      </c>
      <c r="H717">
        <v>2</v>
      </c>
      <c r="I717">
        <v>13600</v>
      </c>
      <c r="J717">
        <v>0.15</v>
      </c>
      <c r="K717">
        <v>3001.93</v>
      </c>
    </row>
    <row r="718" spans="1:11" x14ac:dyDescent="0.3">
      <c r="A718" t="s">
        <v>1232</v>
      </c>
      <c r="B718" s="1">
        <v>45992</v>
      </c>
      <c r="C718" t="s">
        <v>1233</v>
      </c>
      <c r="D718" t="s">
        <v>1234</v>
      </c>
      <c r="E718" t="s">
        <v>76</v>
      </c>
      <c r="F718" t="s">
        <v>25</v>
      </c>
      <c r="G718" t="s">
        <v>26</v>
      </c>
      <c r="H718">
        <v>3</v>
      </c>
      <c r="I718">
        <v>1380</v>
      </c>
      <c r="J718">
        <v>0.08</v>
      </c>
      <c r="K718">
        <v>396.25</v>
      </c>
    </row>
    <row r="719" spans="1:11" x14ac:dyDescent="0.3">
      <c r="A719" t="s">
        <v>1235</v>
      </c>
      <c r="B719" s="1">
        <v>45772</v>
      </c>
      <c r="C719" t="s">
        <v>749</v>
      </c>
      <c r="D719" t="s">
        <v>750</v>
      </c>
      <c r="E719" t="s">
        <v>38</v>
      </c>
      <c r="F719" t="s">
        <v>15</v>
      </c>
      <c r="G719" t="s">
        <v>34</v>
      </c>
      <c r="H719">
        <v>5</v>
      </c>
      <c r="I719">
        <v>128800</v>
      </c>
      <c r="J719">
        <v>0.08</v>
      </c>
      <c r="K719">
        <v>20308.939999999999</v>
      </c>
    </row>
    <row r="720" spans="1:11" x14ac:dyDescent="0.3">
      <c r="A720" t="s">
        <v>1236</v>
      </c>
      <c r="B720" s="1">
        <v>45904</v>
      </c>
      <c r="C720" t="s">
        <v>617</v>
      </c>
      <c r="D720" t="s">
        <v>618</v>
      </c>
      <c r="E720" t="s">
        <v>56</v>
      </c>
      <c r="F720" t="s">
        <v>57</v>
      </c>
      <c r="G720" t="s">
        <v>20</v>
      </c>
      <c r="H720">
        <v>8</v>
      </c>
      <c r="I720">
        <v>38400</v>
      </c>
      <c r="J720">
        <v>0.2</v>
      </c>
      <c r="K720">
        <v>9093.81</v>
      </c>
    </row>
    <row r="721" spans="1:11" x14ac:dyDescent="0.3">
      <c r="A721" t="s">
        <v>1237</v>
      </c>
      <c r="B721" s="1">
        <v>45775</v>
      </c>
      <c r="C721" t="s">
        <v>568</v>
      </c>
      <c r="D721" t="s">
        <v>569</v>
      </c>
      <c r="E721" t="s">
        <v>180</v>
      </c>
      <c r="F721" t="s">
        <v>15</v>
      </c>
      <c r="G721" t="s">
        <v>34</v>
      </c>
      <c r="H721">
        <v>8</v>
      </c>
      <c r="I721">
        <v>23520</v>
      </c>
      <c r="J721">
        <v>0.02</v>
      </c>
      <c r="K721">
        <v>7258.67</v>
      </c>
    </row>
    <row r="722" spans="1:11" x14ac:dyDescent="0.3">
      <c r="A722" t="s">
        <v>1238</v>
      </c>
      <c r="B722" s="1">
        <v>45843</v>
      </c>
      <c r="C722" t="s">
        <v>1209</v>
      </c>
      <c r="D722" t="s">
        <v>1210</v>
      </c>
      <c r="E722" t="s">
        <v>180</v>
      </c>
      <c r="F722" t="s">
        <v>15</v>
      </c>
      <c r="G722" t="s">
        <v>20</v>
      </c>
      <c r="H722">
        <v>3</v>
      </c>
      <c r="I722">
        <v>8820</v>
      </c>
      <c r="J722">
        <v>0.02</v>
      </c>
      <c r="K722">
        <v>2973.97</v>
      </c>
    </row>
    <row r="723" spans="1:11" x14ac:dyDescent="0.3">
      <c r="A723" t="s">
        <v>1239</v>
      </c>
      <c r="B723" s="1">
        <v>45827</v>
      </c>
      <c r="C723" t="s">
        <v>147</v>
      </c>
      <c r="D723" t="s">
        <v>148</v>
      </c>
      <c r="E723" t="s">
        <v>24</v>
      </c>
      <c r="F723" t="s">
        <v>25</v>
      </c>
      <c r="G723" t="s">
        <v>43</v>
      </c>
      <c r="H723">
        <v>7</v>
      </c>
      <c r="I723">
        <v>67200</v>
      </c>
      <c r="J723">
        <v>0.2</v>
      </c>
      <c r="K723">
        <v>13741.72</v>
      </c>
    </row>
    <row r="724" spans="1:11" x14ac:dyDescent="0.3">
      <c r="A724" t="s">
        <v>1240</v>
      </c>
      <c r="B724" s="1">
        <v>45960</v>
      </c>
      <c r="C724" t="s">
        <v>133</v>
      </c>
      <c r="D724" t="s">
        <v>134</v>
      </c>
      <c r="E724" t="s">
        <v>80</v>
      </c>
      <c r="F724" t="s">
        <v>15</v>
      </c>
      <c r="G724" t="s">
        <v>43</v>
      </c>
      <c r="H724">
        <v>8</v>
      </c>
      <c r="I724">
        <v>27440</v>
      </c>
      <c r="J724">
        <v>0.02</v>
      </c>
      <c r="K724">
        <v>6629.76</v>
      </c>
    </row>
    <row r="725" spans="1:11" x14ac:dyDescent="0.3">
      <c r="A725" t="s">
        <v>1241</v>
      </c>
      <c r="B725" s="1">
        <v>45951</v>
      </c>
      <c r="C725" t="s">
        <v>1073</v>
      </c>
      <c r="D725" t="s">
        <v>1074</v>
      </c>
      <c r="E725" t="s">
        <v>24</v>
      </c>
      <c r="F725" t="s">
        <v>25</v>
      </c>
      <c r="G725" t="s">
        <v>16</v>
      </c>
      <c r="H725">
        <v>1</v>
      </c>
      <c r="I725">
        <v>11760</v>
      </c>
      <c r="J725">
        <v>0.02</v>
      </c>
      <c r="K725">
        <v>2474.44</v>
      </c>
    </row>
    <row r="726" spans="1:11" x14ac:dyDescent="0.3">
      <c r="A726" t="s">
        <v>1242</v>
      </c>
      <c r="B726" s="1">
        <v>45733</v>
      </c>
      <c r="C726" t="s">
        <v>1243</v>
      </c>
      <c r="D726" t="s">
        <v>1244</v>
      </c>
      <c r="E726" t="s">
        <v>87</v>
      </c>
      <c r="F726" t="s">
        <v>15</v>
      </c>
      <c r="G726" t="s">
        <v>34</v>
      </c>
      <c r="H726">
        <v>1</v>
      </c>
      <c r="I726">
        <v>1080</v>
      </c>
      <c r="J726">
        <v>0.1</v>
      </c>
      <c r="K726">
        <v>281.38</v>
      </c>
    </row>
    <row r="727" spans="1:11" x14ac:dyDescent="0.3">
      <c r="A727" t="s">
        <v>1245</v>
      </c>
      <c r="B727" s="1">
        <v>45946</v>
      </c>
      <c r="C727" t="s">
        <v>1246</v>
      </c>
      <c r="D727" t="s">
        <v>1247</v>
      </c>
      <c r="E727" t="s">
        <v>33</v>
      </c>
      <c r="F727" t="s">
        <v>15</v>
      </c>
      <c r="G727" t="s">
        <v>34</v>
      </c>
      <c r="H727">
        <v>7</v>
      </c>
      <c r="I727">
        <v>11340</v>
      </c>
      <c r="J727">
        <v>0.1</v>
      </c>
      <c r="K727">
        <v>3767.48</v>
      </c>
    </row>
    <row r="728" spans="1:11" x14ac:dyDescent="0.3">
      <c r="A728" t="s">
        <v>1248</v>
      </c>
      <c r="B728" s="1">
        <v>45968</v>
      </c>
      <c r="C728" t="s">
        <v>734</v>
      </c>
      <c r="D728" t="s">
        <v>735</v>
      </c>
      <c r="E728" t="s">
        <v>38</v>
      </c>
      <c r="F728" t="s">
        <v>15</v>
      </c>
      <c r="G728" t="s">
        <v>43</v>
      </c>
      <c r="H728">
        <v>4</v>
      </c>
      <c r="I728">
        <v>103040</v>
      </c>
      <c r="J728">
        <v>0.08</v>
      </c>
      <c r="K728">
        <v>17619.189999999999</v>
      </c>
    </row>
    <row r="729" spans="1:11" x14ac:dyDescent="0.3">
      <c r="A729" t="s">
        <v>1249</v>
      </c>
      <c r="B729" s="1">
        <v>45731</v>
      </c>
      <c r="C729" t="s">
        <v>575</v>
      </c>
      <c r="D729" t="s">
        <v>576</v>
      </c>
      <c r="E729" t="s">
        <v>24</v>
      </c>
      <c r="F729" t="s">
        <v>25</v>
      </c>
      <c r="G729" t="s">
        <v>16</v>
      </c>
      <c r="H729">
        <v>7</v>
      </c>
      <c r="I729">
        <v>75600</v>
      </c>
      <c r="J729">
        <v>0.1</v>
      </c>
      <c r="K729">
        <v>16137.42</v>
      </c>
    </row>
    <row r="730" spans="1:11" x14ac:dyDescent="0.3">
      <c r="A730" t="s">
        <v>1250</v>
      </c>
      <c r="B730" s="1">
        <v>46009</v>
      </c>
      <c r="C730" t="s">
        <v>228</v>
      </c>
      <c r="D730" t="s">
        <v>229</v>
      </c>
      <c r="E730" t="s">
        <v>87</v>
      </c>
      <c r="F730" t="s">
        <v>15</v>
      </c>
      <c r="G730" t="s">
        <v>43</v>
      </c>
      <c r="H730">
        <v>5</v>
      </c>
      <c r="I730">
        <v>5880</v>
      </c>
      <c r="J730">
        <v>0.02</v>
      </c>
      <c r="K730">
        <v>1662.2</v>
      </c>
    </row>
    <row r="731" spans="1:11" x14ac:dyDescent="0.3">
      <c r="A731" t="s">
        <v>1251</v>
      </c>
      <c r="B731" s="1">
        <v>45851</v>
      </c>
      <c r="C731" t="s">
        <v>378</v>
      </c>
      <c r="D731" t="s">
        <v>379</v>
      </c>
      <c r="E731" t="s">
        <v>160</v>
      </c>
      <c r="F731" t="s">
        <v>25</v>
      </c>
      <c r="G731" t="s">
        <v>20</v>
      </c>
      <c r="H731">
        <v>2</v>
      </c>
      <c r="I731">
        <v>1372</v>
      </c>
      <c r="J731">
        <v>0.02</v>
      </c>
      <c r="K731">
        <v>420.94</v>
      </c>
    </row>
    <row r="732" spans="1:11" x14ac:dyDescent="0.3">
      <c r="A732" t="s">
        <v>1252</v>
      </c>
      <c r="B732" s="1">
        <v>45734</v>
      </c>
      <c r="C732" t="s">
        <v>968</v>
      </c>
      <c r="D732" t="s">
        <v>969</v>
      </c>
      <c r="E732" t="s">
        <v>51</v>
      </c>
      <c r="F732" t="s">
        <v>15</v>
      </c>
      <c r="G732" t="s">
        <v>16</v>
      </c>
      <c r="H732">
        <v>7</v>
      </c>
      <c r="I732">
        <v>5040</v>
      </c>
      <c r="J732">
        <v>0.2</v>
      </c>
      <c r="K732">
        <v>1610.45</v>
      </c>
    </row>
    <row r="733" spans="1:11" x14ac:dyDescent="0.3">
      <c r="A733" t="s">
        <v>1253</v>
      </c>
      <c r="B733" s="1">
        <v>45930</v>
      </c>
      <c r="C733" t="s">
        <v>654</v>
      </c>
      <c r="D733" t="s">
        <v>655</v>
      </c>
      <c r="E733" t="s">
        <v>158</v>
      </c>
      <c r="F733" t="s">
        <v>25</v>
      </c>
      <c r="G733" t="s">
        <v>20</v>
      </c>
      <c r="H733">
        <v>1</v>
      </c>
      <c r="I733">
        <v>640</v>
      </c>
      <c r="J733">
        <v>0.2</v>
      </c>
      <c r="K733">
        <v>187.63</v>
      </c>
    </row>
    <row r="734" spans="1:11" x14ac:dyDescent="0.3">
      <c r="A734" t="s">
        <v>1254</v>
      </c>
      <c r="B734" s="1">
        <v>45934</v>
      </c>
      <c r="C734" t="s">
        <v>244</v>
      </c>
      <c r="D734" t="s">
        <v>245</v>
      </c>
      <c r="E734" t="s">
        <v>80</v>
      </c>
      <c r="F734" t="s">
        <v>15</v>
      </c>
      <c r="G734" t="s">
        <v>43</v>
      </c>
      <c r="H734">
        <v>3</v>
      </c>
      <c r="I734">
        <v>9450</v>
      </c>
      <c r="J734">
        <v>0.1</v>
      </c>
      <c r="K734">
        <v>2503.9899999999998</v>
      </c>
    </row>
    <row r="735" spans="1:11" x14ac:dyDescent="0.3">
      <c r="A735" t="s">
        <v>1255</v>
      </c>
      <c r="B735" s="1">
        <v>45680</v>
      </c>
      <c r="C735" t="s">
        <v>225</v>
      </c>
      <c r="D735" t="s">
        <v>226</v>
      </c>
      <c r="E735" t="s">
        <v>200</v>
      </c>
      <c r="F735" t="s">
        <v>57</v>
      </c>
      <c r="G735" t="s">
        <v>43</v>
      </c>
      <c r="H735">
        <v>6</v>
      </c>
      <c r="I735">
        <v>8640</v>
      </c>
      <c r="J735">
        <v>0.2</v>
      </c>
      <c r="K735">
        <v>2344.87</v>
      </c>
    </row>
    <row r="736" spans="1:11" x14ac:dyDescent="0.3">
      <c r="A736" t="s">
        <v>1256</v>
      </c>
      <c r="B736" s="1">
        <v>45959</v>
      </c>
      <c r="C736" t="s">
        <v>123</v>
      </c>
      <c r="D736" t="s">
        <v>124</v>
      </c>
      <c r="E736" t="s">
        <v>80</v>
      </c>
      <c r="F736" t="s">
        <v>15</v>
      </c>
      <c r="G736" t="s">
        <v>26</v>
      </c>
      <c r="H736">
        <v>7</v>
      </c>
      <c r="I736">
        <v>23275</v>
      </c>
      <c r="J736">
        <v>0.05</v>
      </c>
      <c r="K736">
        <v>6213.31</v>
      </c>
    </row>
    <row r="737" spans="1:11" x14ac:dyDescent="0.3">
      <c r="A737" t="s">
        <v>1257</v>
      </c>
      <c r="B737" s="1">
        <v>45902</v>
      </c>
      <c r="C737" t="s">
        <v>140</v>
      </c>
      <c r="D737" t="s">
        <v>141</v>
      </c>
      <c r="E737" t="s">
        <v>200</v>
      </c>
      <c r="F737" t="s">
        <v>57</v>
      </c>
      <c r="G737" t="s">
        <v>20</v>
      </c>
      <c r="H737">
        <v>3</v>
      </c>
      <c r="I737">
        <v>5130</v>
      </c>
      <c r="J737">
        <v>0.05</v>
      </c>
      <c r="K737">
        <v>1470.06</v>
      </c>
    </row>
    <row r="738" spans="1:11" x14ac:dyDescent="0.3">
      <c r="A738" t="s">
        <v>1258</v>
      </c>
      <c r="B738" s="1">
        <v>45754</v>
      </c>
      <c r="C738" t="s">
        <v>715</v>
      </c>
      <c r="D738" t="s">
        <v>716</v>
      </c>
      <c r="E738" t="s">
        <v>158</v>
      </c>
      <c r="F738" t="s">
        <v>25</v>
      </c>
      <c r="G738" t="s">
        <v>20</v>
      </c>
      <c r="H738">
        <v>7</v>
      </c>
      <c r="I738">
        <v>5320</v>
      </c>
      <c r="J738">
        <v>0.05</v>
      </c>
      <c r="K738">
        <v>1502.16</v>
      </c>
    </row>
    <row r="739" spans="1:11" x14ac:dyDescent="0.3">
      <c r="A739" t="s">
        <v>1259</v>
      </c>
      <c r="B739" s="1">
        <v>45661</v>
      </c>
      <c r="C739" t="s">
        <v>49</v>
      </c>
      <c r="D739" t="s">
        <v>50</v>
      </c>
      <c r="E739" t="s">
        <v>87</v>
      </c>
      <c r="F739" t="s">
        <v>15</v>
      </c>
      <c r="G739" t="s">
        <v>16</v>
      </c>
      <c r="H739">
        <v>2</v>
      </c>
      <c r="I739">
        <v>2160</v>
      </c>
      <c r="J739">
        <v>0.1</v>
      </c>
      <c r="K739">
        <v>598.5</v>
      </c>
    </row>
    <row r="740" spans="1:11" x14ac:dyDescent="0.3">
      <c r="A740" t="s">
        <v>1260</v>
      </c>
      <c r="B740" s="1">
        <v>45712</v>
      </c>
      <c r="C740" t="s">
        <v>744</v>
      </c>
      <c r="D740" t="s">
        <v>745</v>
      </c>
      <c r="E740" t="s">
        <v>64</v>
      </c>
      <c r="F740" t="s">
        <v>57</v>
      </c>
      <c r="G740" t="s">
        <v>26</v>
      </c>
      <c r="H740">
        <v>7</v>
      </c>
      <c r="I740">
        <v>53200</v>
      </c>
      <c r="J740">
        <v>0.05</v>
      </c>
      <c r="K740">
        <v>11116.53</v>
      </c>
    </row>
    <row r="741" spans="1:11" x14ac:dyDescent="0.3">
      <c r="A741" t="s">
        <v>1261</v>
      </c>
      <c r="B741" s="1">
        <v>45845</v>
      </c>
      <c r="C741" t="s">
        <v>343</v>
      </c>
      <c r="D741" t="s">
        <v>344</v>
      </c>
      <c r="E741" t="s">
        <v>76</v>
      </c>
      <c r="F741" t="s">
        <v>25</v>
      </c>
      <c r="G741" t="s">
        <v>43</v>
      </c>
      <c r="H741">
        <v>7</v>
      </c>
      <c r="I741">
        <v>3150</v>
      </c>
      <c r="J741">
        <v>0.1</v>
      </c>
      <c r="K741">
        <v>937.55</v>
      </c>
    </row>
    <row r="742" spans="1:11" x14ac:dyDescent="0.3">
      <c r="A742" t="s">
        <v>1262</v>
      </c>
      <c r="B742" s="1">
        <v>45943</v>
      </c>
      <c r="C742" t="s">
        <v>299</v>
      </c>
      <c r="D742" t="s">
        <v>300</v>
      </c>
      <c r="E742" t="s">
        <v>51</v>
      </c>
      <c r="F742" t="s">
        <v>15</v>
      </c>
      <c r="G742" t="s">
        <v>34</v>
      </c>
      <c r="H742">
        <v>7</v>
      </c>
      <c r="I742">
        <v>5670</v>
      </c>
      <c r="J742">
        <v>0.1</v>
      </c>
      <c r="K742">
        <v>1831.61</v>
      </c>
    </row>
    <row r="743" spans="1:11" x14ac:dyDescent="0.3">
      <c r="A743" t="s">
        <v>1263</v>
      </c>
      <c r="B743" s="1">
        <v>45815</v>
      </c>
      <c r="C743" t="s">
        <v>600</v>
      </c>
      <c r="D743" t="s">
        <v>601</v>
      </c>
      <c r="E743" t="s">
        <v>47</v>
      </c>
      <c r="F743" t="s">
        <v>15</v>
      </c>
      <c r="G743" t="s">
        <v>43</v>
      </c>
      <c r="H743">
        <v>8</v>
      </c>
      <c r="I743">
        <v>49400</v>
      </c>
      <c r="J743">
        <v>0.05</v>
      </c>
      <c r="K743">
        <v>9879.2099999999991</v>
      </c>
    </row>
    <row r="744" spans="1:11" x14ac:dyDescent="0.3">
      <c r="A744" t="s">
        <v>1264</v>
      </c>
      <c r="B744" s="1">
        <v>45775</v>
      </c>
      <c r="C744" t="s">
        <v>18</v>
      </c>
      <c r="D744" t="s">
        <v>19</v>
      </c>
      <c r="E744" t="s">
        <v>180</v>
      </c>
      <c r="F744" t="s">
        <v>15</v>
      </c>
      <c r="G744" t="s">
        <v>16</v>
      </c>
      <c r="H744">
        <v>2</v>
      </c>
      <c r="I744">
        <v>5100</v>
      </c>
      <c r="J744">
        <v>0.15</v>
      </c>
      <c r="K744">
        <v>1607.91</v>
      </c>
    </row>
    <row r="745" spans="1:11" x14ac:dyDescent="0.3">
      <c r="A745" t="s">
        <v>1265</v>
      </c>
      <c r="B745" s="1">
        <v>45831</v>
      </c>
      <c r="C745" t="s">
        <v>140</v>
      </c>
      <c r="D745" t="s">
        <v>141</v>
      </c>
      <c r="E745" t="s">
        <v>51</v>
      </c>
      <c r="F745" t="s">
        <v>15</v>
      </c>
      <c r="G745" t="s">
        <v>26</v>
      </c>
      <c r="H745">
        <v>7</v>
      </c>
      <c r="I745">
        <v>5040</v>
      </c>
      <c r="J745">
        <v>0.2</v>
      </c>
      <c r="K745">
        <v>1676.09</v>
      </c>
    </row>
    <row r="746" spans="1:11" x14ac:dyDescent="0.3">
      <c r="A746" t="s">
        <v>1266</v>
      </c>
      <c r="B746" s="1">
        <v>45983</v>
      </c>
      <c r="C746" t="s">
        <v>1267</v>
      </c>
      <c r="D746" t="s">
        <v>1268</v>
      </c>
      <c r="E746" t="s">
        <v>42</v>
      </c>
      <c r="F746" t="s">
        <v>15</v>
      </c>
      <c r="G746" t="s">
        <v>20</v>
      </c>
      <c r="H746">
        <v>3</v>
      </c>
      <c r="I746">
        <v>66240</v>
      </c>
      <c r="J746">
        <v>0.08</v>
      </c>
      <c r="K746">
        <v>12312.7</v>
      </c>
    </row>
    <row r="747" spans="1:11" x14ac:dyDescent="0.3">
      <c r="A747" t="s">
        <v>1269</v>
      </c>
      <c r="B747" s="1">
        <v>45880</v>
      </c>
      <c r="C747" t="s">
        <v>693</v>
      </c>
      <c r="D747" t="s">
        <v>694</v>
      </c>
      <c r="E747" t="s">
        <v>180</v>
      </c>
      <c r="F747" t="s">
        <v>15</v>
      </c>
      <c r="G747" t="s">
        <v>34</v>
      </c>
      <c r="H747">
        <v>8</v>
      </c>
      <c r="I747">
        <v>21600</v>
      </c>
      <c r="J747">
        <v>0.1</v>
      </c>
      <c r="K747">
        <v>6472.82</v>
      </c>
    </row>
    <row r="748" spans="1:11" x14ac:dyDescent="0.3">
      <c r="A748" t="s">
        <v>1270</v>
      </c>
      <c r="B748" s="1">
        <v>45677</v>
      </c>
      <c r="C748" t="s">
        <v>62</v>
      </c>
      <c r="D748" t="s">
        <v>63</v>
      </c>
      <c r="E748" t="s">
        <v>56</v>
      </c>
      <c r="F748" t="s">
        <v>57</v>
      </c>
      <c r="G748" t="s">
        <v>43</v>
      </c>
      <c r="H748">
        <v>2</v>
      </c>
      <c r="I748">
        <v>10800</v>
      </c>
      <c r="J748">
        <v>0.1</v>
      </c>
      <c r="K748">
        <v>2550.5700000000002</v>
      </c>
    </row>
    <row r="749" spans="1:11" x14ac:dyDescent="0.3">
      <c r="A749" t="s">
        <v>1271</v>
      </c>
      <c r="B749" s="1">
        <v>45963</v>
      </c>
      <c r="C749" t="s">
        <v>320</v>
      </c>
      <c r="D749" t="s">
        <v>321</v>
      </c>
      <c r="E749" t="s">
        <v>87</v>
      </c>
      <c r="F749" t="s">
        <v>15</v>
      </c>
      <c r="G749" t="s">
        <v>16</v>
      </c>
      <c r="H749">
        <v>5</v>
      </c>
      <c r="I749">
        <v>5100</v>
      </c>
      <c r="J749">
        <v>0.15</v>
      </c>
      <c r="K749">
        <v>1297.96</v>
      </c>
    </row>
    <row r="750" spans="1:11" x14ac:dyDescent="0.3">
      <c r="A750" t="s">
        <v>1272</v>
      </c>
      <c r="B750" s="1">
        <v>45761</v>
      </c>
      <c r="C750" t="s">
        <v>12</v>
      </c>
      <c r="D750" t="s">
        <v>13</v>
      </c>
      <c r="E750" t="s">
        <v>80</v>
      </c>
      <c r="F750" t="s">
        <v>15</v>
      </c>
      <c r="G750" t="s">
        <v>26</v>
      </c>
      <c r="H750">
        <v>8</v>
      </c>
      <c r="I750">
        <v>28000</v>
      </c>
      <c r="J750">
        <v>0</v>
      </c>
      <c r="K750">
        <v>7603.85</v>
      </c>
    </row>
    <row r="751" spans="1:11" x14ac:dyDescent="0.3">
      <c r="A751" t="s">
        <v>1273</v>
      </c>
      <c r="B751" s="1">
        <v>45964</v>
      </c>
      <c r="C751" t="s">
        <v>237</v>
      </c>
      <c r="D751" t="s">
        <v>238</v>
      </c>
      <c r="E751" t="s">
        <v>51</v>
      </c>
      <c r="F751" t="s">
        <v>15</v>
      </c>
      <c r="G751" t="s">
        <v>16</v>
      </c>
      <c r="H751">
        <v>1</v>
      </c>
      <c r="I751">
        <v>720</v>
      </c>
      <c r="J751">
        <v>0.2</v>
      </c>
      <c r="K751">
        <v>225.51</v>
      </c>
    </row>
    <row r="752" spans="1:11" x14ac:dyDescent="0.3">
      <c r="A752" t="s">
        <v>1274</v>
      </c>
      <c r="B752" s="1">
        <v>45780</v>
      </c>
      <c r="C752" t="s">
        <v>320</v>
      </c>
      <c r="D752" t="s">
        <v>321</v>
      </c>
      <c r="E752" t="s">
        <v>33</v>
      </c>
      <c r="F752" t="s">
        <v>15</v>
      </c>
      <c r="G752" t="s">
        <v>16</v>
      </c>
      <c r="H752">
        <v>1</v>
      </c>
      <c r="I752">
        <v>1710</v>
      </c>
      <c r="J752">
        <v>0.05</v>
      </c>
      <c r="K752">
        <v>577.38</v>
      </c>
    </row>
    <row r="753" spans="1:11" x14ac:dyDescent="0.3">
      <c r="A753" t="s">
        <v>1275</v>
      </c>
      <c r="B753" s="1">
        <v>46000</v>
      </c>
      <c r="C753" t="s">
        <v>1051</v>
      </c>
      <c r="D753" t="s">
        <v>1052</v>
      </c>
      <c r="E753" t="s">
        <v>76</v>
      </c>
      <c r="F753" t="s">
        <v>25</v>
      </c>
      <c r="G753" t="s">
        <v>26</v>
      </c>
      <c r="H753">
        <v>7</v>
      </c>
      <c r="I753">
        <v>3325</v>
      </c>
      <c r="J753">
        <v>0.05</v>
      </c>
      <c r="K753">
        <v>966.76</v>
      </c>
    </row>
    <row r="754" spans="1:11" x14ac:dyDescent="0.3">
      <c r="A754" t="s">
        <v>1276</v>
      </c>
      <c r="B754" s="1">
        <v>46018</v>
      </c>
      <c r="C754" t="s">
        <v>688</v>
      </c>
      <c r="D754" t="s">
        <v>689</v>
      </c>
      <c r="E754" t="s">
        <v>87</v>
      </c>
      <c r="F754" t="s">
        <v>15</v>
      </c>
      <c r="G754" t="s">
        <v>20</v>
      </c>
      <c r="H754">
        <v>1</v>
      </c>
      <c r="I754">
        <v>1020</v>
      </c>
      <c r="J754">
        <v>0.15</v>
      </c>
      <c r="K754">
        <v>260.22000000000003</v>
      </c>
    </row>
    <row r="755" spans="1:11" x14ac:dyDescent="0.3">
      <c r="A755" t="s">
        <v>1277</v>
      </c>
      <c r="B755" s="1">
        <v>45799</v>
      </c>
      <c r="C755" t="s">
        <v>1156</v>
      </c>
      <c r="D755" t="s">
        <v>1157</v>
      </c>
      <c r="E755" t="s">
        <v>115</v>
      </c>
      <c r="F755" t="s">
        <v>25</v>
      </c>
      <c r="G755" t="s">
        <v>16</v>
      </c>
      <c r="H755">
        <v>6</v>
      </c>
      <c r="I755">
        <v>1710</v>
      </c>
      <c r="J755">
        <v>0.05</v>
      </c>
      <c r="K755">
        <v>536.22</v>
      </c>
    </row>
    <row r="756" spans="1:11" x14ac:dyDescent="0.3">
      <c r="A756" t="s">
        <v>1278</v>
      </c>
      <c r="B756" s="1">
        <v>45747</v>
      </c>
      <c r="C756" t="s">
        <v>554</v>
      </c>
      <c r="D756" t="s">
        <v>555</v>
      </c>
      <c r="E756" t="s">
        <v>223</v>
      </c>
      <c r="F756" t="s">
        <v>57</v>
      </c>
      <c r="G756" t="s">
        <v>20</v>
      </c>
      <c r="H756">
        <v>1</v>
      </c>
      <c r="I756">
        <v>6650</v>
      </c>
      <c r="J756">
        <v>0.05</v>
      </c>
      <c r="K756">
        <v>1476.23</v>
      </c>
    </row>
    <row r="757" spans="1:11" x14ac:dyDescent="0.3">
      <c r="A757" t="s">
        <v>1279</v>
      </c>
      <c r="B757" s="1">
        <v>45717</v>
      </c>
      <c r="C757" t="s">
        <v>600</v>
      </c>
      <c r="D757" t="s">
        <v>601</v>
      </c>
      <c r="E757" t="s">
        <v>38</v>
      </c>
      <c r="F757" t="s">
        <v>15</v>
      </c>
      <c r="G757" t="s">
        <v>34</v>
      </c>
      <c r="H757">
        <v>5</v>
      </c>
      <c r="I757">
        <v>133000</v>
      </c>
      <c r="J757">
        <v>0.05</v>
      </c>
      <c r="K757">
        <v>22184.34</v>
      </c>
    </row>
    <row r="758" spans="1:11" x14ac:dyDescent="0.3">
      <c r="A758" t="s">
        <v>1280</v>
      </c>
      <c r="B758" s="1">
        <v>45884</v>
      </c>
      <c r="C758" t="s">
        <v>1219</v>
      </c>
      <c r="D758" t="s">
        <v>1220</v>
      </c>
      <c r="E758" t="s">
        <v>47</v>
      </c>
      <c r="F758" t="s">
        <v>15</v>
      </c>
      <c r="G758" t="s">
        <v>26</v>
      </c>
      <c r="H758">
        <v>5</v>
      </c>
      <c r="I758">
        <v>27625</v>
      </c>
      <c r="J758">
        <v>0.15</v>
      </c>
      <c r="K758">
        <v>5765.95</v>
      </c>
    </row>
    <row r="759" spans="1:11" x14ac:dyDescent="0.3">
      <c r="A759" t="s">
        <v>1281</v>
      </c>
      <c r="B759" s="1">
        <v>45892</v>
      </c>
      <c r="C759" t="s">
        <v>143</v>
      </c>
      <c r="D759" t="s">
        <v>144</v>
      </c>
      <c r="E759" t="s">
        <v>24</v>
      </c>
      <c r="F759" t="s">
        <v>25</v>
      </c>
      <c r="G759" t="s">
        <v>26</v>
      </c>
      <c r="H759">
        <v>6</v>
      </c>
      <c r="I759">
        <v>57600</v>
      </c>
      <c r="J759">
        <v>0.2</v>
      </c>
      <c r="K759">
        <v>11685.83</v>
      </c>
    </row>
    <row r="760" spans="1:11" x14ac:dyDescent="0.3">
      <c r="A760" t="s">
        <v>1282</v>
      </c>
      <c r="B760" s="1">
        <v>45790</v>
      </c>
      <c r="C760" t="s">
        <v>657</v>
      </c>
      <c r="D760" t="s">
        <v>658</v>
      </c>
      <c r="E760" t="s">
        <v>210</v>
      </c>
      <c r="F760" t="s">
        <v>15</v>
      </c>
      <c r="G760" t="s">
        <v>16</v>
      </c>
      <c r="H760">
        <v>8</v>
      </c>
      <c r="I760">
        <v>440000</v>
      </c>
      <c r="J760">
        <v>0</v>
      </c>
      <c r="K760">
        <v>67018.23</v>
      </c>
    </row>
    <row r="761" spans="1:11" x14ac:dyDescent="0.3">
      <c r="A761" t="s">
        <v>1283</v>
      </c>
      <c r="B761" s="1">
        <v>45838</v>
      </c>
      <c r="C761" t="s">
        <v>234</v>
      </c>
      <c r="D761" t="s">
        <v>235</v>
      </c>
      <c r="E761" t="s">
        <v>24</v>
      </c>
      <c r="F761" t="s">
        <v>25</v>
      </c>
      <c r="G761" t="s">
        <v>20</v>
      </c>
      <c r="H761">
        <v>6</v>
      </c>
      <c r="I761">
        <v>66240</v>
      </c>
      <c r="J761">
        <v>0.08</v>
      </c>
      <c r="K761">
        <v>13539.61</v>
      </c>
    </row>
    <row r="762" spans="1:11" x14ac:dyDescent="0.3">
      <c r="A762" t="s">
        <v>1284</v>
      </c>
      <c r="B762" s="1">
        <v>45705</v>
      </c>
      <c r="C762" t="s">
        <v>328</v>
      </c>
      <c r="D762" t="s">
        <v>329</v>
      </c>
      <c r="E762" t="s">
        <v>76</v>
      </c>
      <c r="F762" t="s">
        <v>25</v>
      </c>
      <c r="G762" t="s">
        <v>34</v>
      </c>
      <c r="H762">
        <v>4</v>
      </c>
      <c r="I762">
        <v>1900</v>
      </c>
      <c r="J762">
        <v>0.05</v>
      </c>
      <c r="K762">
        <v>552.79999999999995</v>
      </c>
    </row>
    <row r="763" spans="1:11" x14ac:dyDescent="0.3">
      <c r="A763" t="s">
        <v>1285</v>
      </c>
      <c r="B763" s="1">
        <v>45818</v>
      </c>
      <c r="C763" t="s">
        <v>670</v>
      </c>
      <c r="D763" t="s">
        <v>671</v>
      </c>
      <c r="E763" t="s">
        <v>47</v>
      </c>
      <c r="F763" t="s">
        <v>15</v>
      </c>
      <c r="G763" t="s">
        <v>26</v>
      </c>
      <c r="H763">
        <v>3</v>
      </c>
      <c r="I763">
        <v>17940</v>
      </c>
      <c r="J763">
        <v>0.08</v>
      </c>
      <c r="K763">
        <v>3418.61</v>
      </c>
    </row>
    <row r="764" spans="1:11" x14ac:dyDescent="0.3">
      <c r="A764" t="s">
        <v>1286</v>
      </c>
      <c r="B764" s="1">
        <v>45760</v>
      </c>
      <c r="C764" t="s">
        <v>66</v>
      </c>
      <c r="D764" t="s">
        <v>67</v>
      </c>
      <c r="E764" t="s">
        <v>33</v>
      </c>
      <c r="F764" t="s">
        <v>15</v>
      </c>
      <c r="G764" t="s">
        <v>16</v>
      </c>
      <c r="H764">
        <v>4</v>
      </c>
      <c r="I764">
        <v>6624</v>
      </c>
      <c r="J764">
        <v>0.08</v>
      </c>
      <c r="K764">
        <v>2058.19</v>
      </c>
    </row>
    <row r="765" spans="1:11" x14ac:dyDescent="0.3">
      <c r="A765" t="s">
        <v>1287</v>
      </c>
      <c r="B765" s="1">
        <v>45761</v>
      </c>
      <c r="C765" t="s">
        <v>427</v>
      </c>
      <c r="D765" t="s">
        <v>428</v>
      </c>
      <c r="E765" t="s">
        <v>76</v>
      </c>
      <c r="F765" t="s">
        <v>25</v>
      </c>
      <c r="G765" t="s">
        <v>26</v>
      </c>
      <c r="H765">
        <v>4</v>
      </c>
      <c r="I765">
        <v>1960</v>
      </c>
      <c r="J765">
        <v>0.02</v>
      </c>
      <c r="K765">
        <v>617.15</v>
      </c>
    </row>
    <row r="766" spans="1:11" x14ac:dyDescent="0.3">
      <c r="A766" t="s">
        <v>1288</v>
      </c>
      <c r="B766" s="1">
        <v>45698</v>
      </c>
      <c r="C766" t="s">
        <v>1115</v>
      </c>
      <c r="D766" t="s">
        <v>1116</v>
      </c>
      <c r="E766" t="s">
        <v>180</v>
      </c>
      <c r="F766" t="s">
        <v>15</v>
      </c>
      <c r="G766" t="s">
        <v>43</v>
      </c>
      <c r="H766">
        <v>2</v>
      </c>
      <c r="I766">
        <v>6000</v>
      </c>
      <c r="J766">
        <v>0</v>
      </c>
      <c r="K766">
        <v>2056.2600000000002</v>
      </c>
    </row>
    <row r="767" spans="1:11" x14ac:dyDescent="0.3">
      <c r="A767" t="s">
        <v>1289</v>
      </c>
      <c r="B767" s="1">
        <v>45904</v>
      </c>
      <c r="C767" t="s">
        <v>320</v>
      </c>
      <c r="D767" t="s">
        <v>321</v>
      </c>
      <c r="E767" t="s">
        <v>210</v>
      </c>
      <c r="F767" t="s">
        <v>15</v>
      </c>
      <c r="G767" t="s">
        <v>34</v>
      </c>
      <c r="H767">
        <v>1</v>
      </c>
      <c r="I767">
        <v>44000</v>
      </c>
      <c r="J767">
        <v>0.2</v>
      </c>
      <c r="K767">
        <v>6564.52</v>
      </c>
    </row>
    <row r="768" spans="1:11" x14ac:dyDescent="0.3">
      <c r="A768" t="s">
        <v>1290</v>
      </c>
      <c r="B768" s="1">
        <v>45751</v>
      </c>
      <c r="C768" t="s">
        <v>963</v>
      </c>
      <c r="D768" t="s">
        <v>964</v>
      </c>
      <c r="E768" t="s">
        <v>160</v>
      </c>
      <c r="F768" t="s">
        <v>25</v>
      </c>
      <c r="G768" t="s">
        <v>26</v>
      </c>
      <c r="H768">
        <v>5</v>
      </c>
      <c r="I768">
        <v>3220</v>
      </c>
      <c r="J768">
        <v>0.08</v>
      </c>
      <c r="K768">
        <v>1075.25</v>
      </c>
    </row>
    <row r="769" spans="1:11" x14ac:dyDescent="0.3">
      <c r="A769" t="s">
        <v>1291</v>
      </c>
      <c r="B769" s="1">
        <v>45953</v>
      </c>
      <c r="C769" t="s">
        <v>126</v>
      </c>
      <c r="D769" t="s">
        <v>127</v>
      </c>
      <c r="E769" t="s">
        <v>223</v>
      </c>
      <c r="F769" t="s">
        <v>57</v>
      </c>
      <c r="G769" t="s">
        <v>26</v>
      </c>
      <c r="H769">
        <v>4</v>
      </c>
      <c r="I769">
        <v>22400</v>
      </c>
      <c r="J769">
        <v>0.2</v>
      </c>
      <c r="K769">
        <v>4419.32</v>
      </c>
    </row>
    <row r="770" spans="1:11" x14ac:dyDescent="0.3">
      <c r="A770" t="s">
        <v>1292</v>
      </c>
      <c r="B770" s="1">
        <v>45674</v>
      </c>
      <c r="C770" t="s">
        <v>1137</v>
      </c>
      <c r="D770" t="s">
        <v>1138</v>
      </c>
      <c r="E770" t="s">
        <v>200</v>
      </c>
      <c r="F770" t="s">
        <v>57</v>
      </c>
      <c r="G770" t="s">
        <v>43</v>
      </c>
      <c r="H770">
        <v>8</v>
      </c>
      <c r="I770">
        <v>12960</v>
      </c>
      <c r="J770">
        <v>0.1</v>
      </c>
      <c r="K770">
        <v>3501.58</v>
      </c>
    </row>
    <row r="771" spans="1:11" x14ac:dyDescent="0.3">
      <c r="A771" t="s">
        <v>1293</v>
      </c>
      <c r="B771" s="1">
        <v>46015</v>
      </c>
      <c r="C771" t="s">
        <v>657</v>
      </c>
      <c r="D771" t="s">
        <v>658</v>
      </c>
      <c r="E771" t="s">
        <v>33</v>
      </c>
      <c r="F771" t="s">
        <v>15</v>
      </c>
      <c r="G771" t="s">
        <v>34</v>
      </c>
      <c r="H771">
        <v>8</v>
      </c>
      <c r="I771">
        <v>14400</v>
      </c>
      <c r="J771">
        <v>0</v>
      </c>
      <c r="K771">
        <v>4813.9799999999996</v>
      </c>
    </row>
    <row r="772" spans="1:11" x14ac:dyDescent="0.3">
      <c r="A772" t="s">
        <v>1294</v>
      </c>
      <c r="B772" s="1">
        <v>45765</v>
      </c>
      <c r="C772" t="s">
        <v>744</v>
      </c>
      <c r="D772" t="s">
        <v>745</v>
      </c>
      <c r="E772" t="s">
        <v>210</v>
      </c>
      <c r="F772" t="s">
        <v>15</v>
      </c>
      <c r="G772" t="s">
        <v>20</v>
      </c>
      <c r="H772">
        <v>1</v>
      </c>
      <c r="I772">
        <v>46750</v>
      </c>
      <c r="J772">
        <v>0.15</v>
      </c>
      <c r="K772">
        <v>7138.88</v>
      </c>
    </row>
    <row r="773" spans="1:11" x14ac:dyDescent="0.3">
      <c r="A773" t="s">
        <v>1295</v>
      </c>
      <c r="B773" s="1">
        <v>45938</v>
      </c>
      <c r="C773" t="s">
        <v>231</v>
      </c>
      <c r="D773" t="s">
        <v>232</v>
      </c>
      <c r="E773" t="s">
        <v>56</v>
      </c>
      <c r="F773" t="s">
        <v>57</v>
      </c>
      <c r="G773" t="s">
        <v>34</v>
      </c>
      <c r="H773">
        <v>5</v>
      </c>
      <c r="I773">
        <v>29400</v>
      </c>
      <c r="J773">
        <v>0.02</v>
      </c>
      <c r="K773">
        <v>6559.39</v>
      </c>
    </row>
    <row r="774" spans="1:11" x14ac:dyDescent="0.3">
      <c r="A774" t="s">
        <v>1296</v>
      </c>
      <c r="B774" s="1">
        <v>45752</v>
      </c>
      <c r="C774" t="s">
        <v>1055</v>
      </c>
      <c r="D774" t="s">
        <v>1056</v>
      </c>
      <c r="E774" t="s">
        <v>158</v>
      </c>
      <c r="F774" t="s">
        <v>25</v>
      </c>
      <c r="G774" t="s">
        <v>16</v>
      </c>
      <c r="H774">
        <v>6</v>
      </c>
      <c r="I774">
        <v>4560</v>
      </c>
      <c r="J774">
        <v>0.05</v>
      </c>
      <c r="K774">
        <v>1405.95</v>
      </c>
    </row>
    <row r="775" spans="1:11" x14ac:dyDescent="0.3">
      <c r="A775" t="s">
        <v>1297</v>
      </c>
      <c r="B775" s="1">
        <v>45863</v>
      </c>
      <c r="C775" t="s">
        <v>28</v>
      </c>
      <c r="D775" t="s">
        <v>29</v>
      </c>
      <c r="E775" t="s">
        <v>56</v>
      </c>
      <c r="F775" t="s">
        <v>57</v>
      </c>
      <c r="G775" t="s">
        <v>16</v>
      </c>
      <c r="H775">
        <v>6</v>
      </c>
      <c r="I775">
        <v>28800</v>
      </c>
      <c r="J775">
        <v>0.2</v>
      </c>
      <c r="K775">
        <v>6003.82</v>
      </c>
    </row>
    <row r="776" spans="1:11" x14ac:dyDescent="0.3">
      <c r="A776" t="s">
        <v>1298</v>
      </c>
      <c r="B776" s="1">
        <v>45709</v>
      </c>
      <c r="C776" t="s">
        <v>420</v>
      </c>
      <c r="D776" t="s">
        <v>421</v>
      </c>
      <c r="E776" t="s">
        <v>180</v>
      </c>
      <c r="F776" t="s">
        <v>15</v>
      </c>
      <c r="G776" t="s">
        <v>16</v>
      </c>
      <c r="H776">
        <v>4</v>
      </c>
      <c r="I776">
        <v>9600</v>
      </c>
      <c r="J776">
        <v>0.2</v>
      </c>
      <c r="K776">
        <v>3141.32</v>
      </c>
    </row>
    <row r="777" spans="1:11" x14ac:dyDescent="0.3">
      <c r="A777" t="s">
        <v>1299</v>
      </c>
      <c r="B777" s="1">
        <v>45732</v>
      </c>
      <c r="C777" t="s">
        <v>724</v>
      </c>
      <c r="D777" t="s">
        <v>725</v>
      </c>
      <c r="E777" t="s">
        <v>200</v>
      </c>
      <c r="F777" t="s">
        <v>57</v>
      </c>
      <c r="G777" t="s">
        <v>16</v>
      </c>
      <c r="H777">
        <v>7</v>
      </c>
      <c r="I777">
        <v>12348</v>
      </c>
      <c r="J777">
        <v>0.02</v>
      </c>
      <c r="K777">
        <v>3580.52</v>
      </c>
    </row>
    <row r="778" spans="1:11" x14ac:dyDescent="0.3">
      <c r="A778" t="s">
        <v>1300</v>
      </c>
      <c r="B778" s="1">
        <v>45913</v>
      </c>
      <c r="C778" t="s">
        <v>654</v>
      </c>
      <c r="D778" t="s">
        <v>655</v>
      </c>
      <c r="E778" t="s">
        <v>210</v>
      </c>
      <c r="F778" t="s">
        <v>15</v>
      </c>
      <c r="G778" t="s">
        <v>26</v>
      </c>
      <c r="H778">
        <v>3</v>
      </c>
      <c r="I778">
        <v>151800</v>
      </c>
      <c r="J778">
        <v>0.08</v>
      </c>
      <c r="K778">
        <v>22720.92</v>
      </c>
    </row>
    <row r="779" spans="1:11" x14ac:dyDescent="0.3">
      <c r="A779" t="s">
        <v>1301</v>
      </c>
      <c r="B779" s="1">
        <v>45786</v>
      </c>
      <c r="C779" t="s">
        <v>286</v>
      </c>
      <c r="D779" t="s">
        <v>287</v>
      </c>
      <c r="E779" t="s">
        <v>64</v>
      </c>
      <c r="F779" t="s">
        <v>57</v>
      </c>
      <c r="G779" t="s">
        <v>26</v>
      </c>
      <c r="H779">
        <v>8</v>
      </c>
      <c r="I779">
        <v>60800</v>
      </c>
      <c r="J779">
        <v>0.05</v>
      </c>
      <c r="K779">
        <v>13643.17</v>
      </c>
    </row>
    <row r="780" spans="1:11" x14ac:dyDescent="0.3">
      <c r="A780" t="s">
        <v>1302</v>
      </c>
      <c r="B780" s="1">
        <v>45741</v>
      </c>
      <c r="C780" t="s">
        <v>634</v>
      </c>
      <c r="D780" t="s">
        <v>635</v>
      </c>
      <c r="E780" t="s">
        <v>223</v>
      </c>
      <c r="F780" t="s">
        <v>57</v>
      </c>
      <c r="G780" t="s">
        <v>34</v>
      </c>
      <c r="H780">
        <v>2</v>
      </c>
      <c r="I780">
        <v>11900</v>
      </c>
      <c r="J780">
        <v>0.15</v>
      </c>
      <c r="K780">
        <v>2374.7399999999998</v>
      </c>
    </row>
    <row r="781" spans="1:11" x14ac:dyDescent="0.3">
      <c r="A781" t="s">
        <v>1303</v>
      </c>
      <c r="B781" s="1">
        <v>45829</v>
      </c>
      <c r="C781" t="s">
        <v>654</v>
      </c>
      <c r="D781" t="s">
        <v>655</v>
      </c>
      <c r="E781" t="s">
        <v>14</v>
      </c>
      <c r="F781" t="s">
        <v>15</v>
      </c>
      <c r="G781" t="s">
        <v>34</v>
      </c>
      <c r="H781">
        <v>8</v>
      </c>
      <c r="I781">
        <v>122400</v>
      </c>
      <c r="J781">
        <v>0.15</v>
      </c>
      <c r="K781">
        <v>21673.77</v>
      </c>
    </row>
    <row r="782" spans="1:11" x14ac:dyDescent="0.3">
      <c r="A782" t="s">
        <v>1304</v>
      </c>
      <c r="B782" s="1">
        <v>45668</v>
      </c>
      <c r="C782" t="s">
        <v>600</v>
      </c>
      <c r="D782" t="s">
        <v>601</v>
      </c>
      <c r="E782" t="s">
        <v>47</v>
      </c>
      <c r="F782" t="s">
        <v>15</v>
      </c>
      <c r="G782" t="s">
        <v>34</v>
      </c>
      <c r="H782">
        <v>5</v>
      </c>
      <c r="I782">
        <v>30875</v>
      </c>
      <c r="J782">
        <v>0.05</v>
      </c>
      <c r="K782">
        <v>6001.98</v>
      </c>
    </row>
    <row r="783" spans="1:11" x14ac:dyDescent="0.3">
      <c r="A783" t="s">
        <v>1305</v>
      </c>
      <c r="B783" s="1">
        <v>45952</v>
      </c>
      <c r="C783" t="s">
        <v>539</v>
      </c>
      <c r="D783" t="s">
        <v>540</v>
      </c>
      <c r="E783" t="s">
        <v>158</v>
      </c>
      <c r="F783" t="s">
        <v>25</v>
      </c>
      <c r="G783" t="s">
        <v>26</v>
      </c>
      <c r="H783">
        <v>4</v>
      </c>
      <c r="I783">
        <v>2880</v>
      </c>
      <c r="J783">
        <v>0.1</v>
      </c>
      <c r="K783">
        <v>898.98</v>
      </c>
    </row>
    <row r="784" spans="1:11" x14ac:dyDescent="0.3">
      <c r="A784" t="s">
        <v>1306</v>
      </c>
      <c r="B784" s="1">
        <v>46002</v>
      </c>
      <c r="C784" t="s">
        <v>447</v>
      </c>
      <c r="D784" t="s">
        <v>448</v>
      </c>
      <c r="E784" t="s">
        <v>115</v>
      </c>
      <c r="F784" t="s">
        <v>25</v>
      </c>
      <c r="G784" t="s">
        <v>43</v>
      </c>
      <c r="H784">
        <v>6</v>
      </c>
      <c r="I784">
        <v>1710</v>
      </c>
      <c r="J784">
        <v>0.05</v>
      </c>
      <c r="K784">
        <v>563.5</v>
      </c>
    </row>
    <row r="785" spans="1:11" x14ac:dyDescent="0.3">
      <c r="A785" t="s">
        <v>1307</v>
      </c>
      <c r="B785" s="1">
        <v>45804</v>
      </c>
      <c r="C785" t="s">
        <v>660</v>
      </c>
      <c r="D785" t="s">
        <v>661</v>
      </c>
      <c r="E785" t="s">
        <v>38</v>
      </c>
      <c r="F785" t="s">
        <v>15</v>
      </c>
      <c r="G785" t="s">
        <v>16</v>
      </c>
      <c r="H785">
        <v>7</v>
      </c>
      <c r="I785">
        <v>176400</v>
      </c>
      <c r="J785">
        <v>0.1</v>
      </c>
      <c r="K785">
        <v>27379.81</v>
      </c>
    </row>
    <row r="786" spans="1:11" x14ac:dyDescent="0.3">
      <c r="A786" t="s">
        <v>1308</v>
      </c>
      <c r="B786" s="1">
        <v>45981</v>
      </c>
      <c r="C786" t="s">
        <v>539</v>
      </c>
      <c r="D786" t="s">
        <v>540</v>
      </c>
      <c r="E786" t="s">
        <v>33</v>
      </c>
      <c r="F786" t="s">
        <v>15</v>
      </c>
      <c r="G786" t="s">
        <v>43</v>
      </c>
      <c r="H786">
        <v>6</v>
      </c>
      <c r="I786">
        <v>9936</v>
      </c>
      <c r="J786">
        <v>0.08</v>
      </c>
      <c r="K786">
        <v>3304.69</v>
      </c>
    </row>
    <row r="787" spans="1:11" x14ac:dyDescent="0.3">
      <c r="A787" t="s">
        <v>1309</v>
      </c>
      <c r="B787" s="1">
        <v>45833</v>
      </c>
      <c r="C787" t="s">
        <v>314</v>
      </c>
      <c r="D787" t="s">
        <v>315</v>
      </c>
      <c r="E787" t="s">
        <v>38</v>
      </c>
      <c r="F787" t="s">
        <v>15</v>
      </c>
      <c r="G787" t="s">
        <v>34</v>
      </c>
      <c r="H787">
        <v>2</v>
      </c>
      <c r="I787">
        <v>54880</v>
      </c>
      <c r="J787">
        <v>0.02</v>
      </c>
      <c r="K787">
        <v>8383.6299999999992</v>
      </c>
    </row>
    <row r="788" spans="1:11" x14ac:dyDescent="0.3">
      <c r="A788" t="s">
        <v>1310</v>
      </c>
      <c r="B788" s="1">
        <v>45988</v>
      </c>
      <c r="C788" t="s">
        <v>749</v>
      </c>
      <c r="D788" t="s">
        <v>750</v>
      </c>
      <c r="E788" t="s">
        <v>115</v>
      </c>
      <c r="F788" t="s">
        <v>25</v>
      </c>
      <c r="G788" t="s">
        <v>43</v>
      </c>
      <c r="H788">
        <v>5</v>
      </c>
      <c r="I788">
        <v>1350</v>
      </c>
      <c r="J788">
        <v>0.1</v>
      </c>
      <c r="K788">
        <v>429.14</v>
      </c>
    </row>
    <row r="789" spans="1:11" x14ac:dyDescent="0.3">
      <c r="A789" t="s">
        <v>1311</v>
      </c>
      <c r="B789" s="1">
        <v>45743</v>
      </c>
      <c r="C789" t="s">
        <v>308</v>
      </c>
      <c r="D789" t="s">
        <v>309</v>
      </c>
      <c r="E789" t="s">
        <v>56</v>
      </c>
      <c r="F789" t="s">
        <v>57</v>
      </c>
      <c r="G789" t="s">
        <v>20</v>
      </c>
      <c r="H789">
        <v>8</v>
      </c>
      <c r="I789">
        <v>44160</v>
      </c>
      <c r="J789">
        <v>0.08</v>
      </c>
      <c r="K789">
        <v>9513.52</v>
      </c>
    </row>
    <row r="790" spans="1:11" x14ac:dyDescent="0.3">
      <c r="A790" t="s">
        <v>1312</v>
      </c>
      <c r="B790" s="1">
        <v>46016</v>
      </c>
      <c r="C790" t="s">
        <v>302</v>
      </c>
      <c r="D790" t="s">
        <v>303</v>
      </c>
      <c r="E790" t="s">
        <v>24</v>
      </c>
      <c r="F790" t="s">
        <v>25</v>
      </c>
      <c r="G790" t="s">
        <v>16</v>
      </c>
      <c r="H790">
        <v>5</v>
      </c>
      <c r="I790">
        <v>51000</v>
      </c>
      <c r="J790">
        <v>0.15</v>
      </c>
      <c r="K790">
        <v>10655.73</v>
      </c>
    </row>
    <row r="791" spans="1:11" x14ac:dyDescent="0.3">
      <c r="A791" t="s">
        <v>1313</v>
      </c>
      <c r="B791" s="1">
        <v>45690</v>
      </c>
      <c r="C791" t="s">
        <v>110</v>
      </c>
      <c r="D791" t="s">
        <v>111</v>
      </c>
      <c r="E791" t="s">
        <v>223</v>
      </c>
      <c r="F791" t="s">
        <v>57</v>
      </c>
      <c r="G791" t="s">
        <v>43</v>
      </c>
      <c r="H791">
        <v>2</v>
      </c>
      <c r="I791">
        <v>14000</v>
      </c>
      <c r="J791">
        <v>0</v>
      </c>
      <c r="K791">
        <v>3423.64</v>
      </c>
    </row>
    <row r="792" spans="1:11" x14ac:dyDescent="0.3">
      <c r="A792" t="s">
        <v>1314</v>
      </c>
      <c r="B792" s="1">
        <v>45861</v>
      </c>
      <c r="C792" t="s">
        <v>1156</v>
      </c>
      <c r="D792" t="s">
        <v>1157</v>
      </c>
      <c r="E792" t="s">
        <v>42</v>
      </c>
      <c r="F792" t="s">
        <v>15</v>
      </c>
      <c r="G792" t="s">
        <v>20</v>
      </c>
      <c r="H792">
        <v>1</v>
      </c>
      <c r="I792">
        <v>19200</v>
      </c>
      <c r="J792">
        <v>0.2</v>
      </c>
      <c r="K792">
        <v>3769.19</v>
      </c>
    </row>
    <row r="793" spans="1:11" x14ac:dyDescent="0.3">
      <c r="A793" t="s">
        <v>1315</v>
      </c>
      <c r="B793" s="1">
        <v>45993</v>
      </c>
      <c r="C793" t="s">
        <v>36</v>
      </c>
      <c r="D793" t="s">
        <v>37</v>
      </c>
      <c r="E793" t="s">
        <v>76</v>
      </c>
      <c r="F793" t="s">
        <v>25</v>
      </c>
      <c r="G793" t="s">
        <v>43</v>
      </c>
      <c r="H793">
        <v>3</v>
      </c>
      <c r="I793">
        <v>1500</v>
      </c>
      <c r="J793">
        <v>0</v>
      </c>
      <c r="K793">
        <v>481.07</v>
      </c>
    </row>
    <row r="794" spans="1:11" x14ac:dyDescent="0.3">
      <c r="A794" t="s">
        <v>1316</v>
      </c>
      <c r="B794" s="1">
        <v>45803</v>
      </c>
      <c r="C794" t="s">
        <v>597</v>
      </c>
      <c r="D794" t="s">
        <v>598</v>
      </c>
      <c r="E794" t="s">
        <v>24</v>
      </c>
      <c r="F794" t="s">
        <v>25</v>
      </c>
      <c r="G794" t="s">
        <v>16</v>
      </c>
      <c r="H794">
        <v>4</v>
      </c>
      <c r="I794">
        <v>40800</v>
      </c>
      <c r="J794">
        <v>0.15</v>
      </c>
      <c r="K794">
        <v>8034.06</v>
      </c>
    </row>
    <row r="795" spans="1:11" x14ac:dyDescent="0.3">
      <c r="A795" t="s">
        <v>1317</v>
      </c>
      <c r="B795" s="1">
        <v>45675</v>
      </c>
      <c r="C795" t="s">
        <v>606</v>
      </c>
      <c r="D795" t="s">
        <v>607</v>
      </c>
      <c r="E795" t="s">
        <v>87</v>
      </c>
      <c r="F795" t="s">
        <v>15</v>
      </c>
      <c r="G795" t="s">
        <v>34</v>
      </c>
      <c r="H795">
        <v>3</v>
      </c>
      <c r="I795">
        <v>3600</v>
      </c>
      <c r="J795">
        <v>0</v>
      </c>
      <c r="K795">
        <v>1077.48</v>
      </c>
    </row>
    <row r="796" spans="1:11" x14ac:dyDescent="0.3">
      <c r="A796" t="s">
        <v>1318</v>
      </c>
      <c r="B796" s="1">
        <v>45934</v>
      </c>
      <c r="C796" t="s">
        <v>393</v>
      </c>
      <c r="D796" t="s">
        <v>394</v>
      </c>
      <c r="E796" t="s">
        <v>80</v>
      </c>
      <c r="F796" t="s">
        <v>15</v>
      </c>
      <c r="G796" t="s">
        <v>26</v>
      </c>
      <c r="H796">
        <v>8</v>
      </c>
      <c r="I796">
        <v>22400</v>
      </c>
      <c r="J796">
        <v>0.2</v>
      </c>
      <c r="K796">
        <v>5900.96</v>
      </c>
    </row>
    <row r="797" spans="1:11" x14ac:dyDescent="0.3">
      <c r="A797" t="s">
        <v>1319</v>
      </c>
      <c r="B797" s="1">
        <v>45963</v>
      </c>
      <c r="C797" t="s">
        <v>559</v>
      </c>
      <c r="D797" t="s">
        <v>560</v>
      </c>
      <c r="E797" t="s">
        <v>180</v>
      </c>
      <c r="F797" t="s">
        <v>15</v>
      </c>
      <c r="G797" t="s">
        <v>26</v>
      </c>
      <c r="H797">
        <v>3</v>
      </c>
      <c r="I797">
        <v>8100</v>
      </c>
      <c r="J797">
        <v>0.1</v>
      </c>
      <c r="K797">
        <v>2604.14</v>
      </c>
    </row>
    <row r="798" spans="1:11" x14ac:dyDescent="0.3">
      <c r="A798" t="s">
        <v>1320</v>
      </c>
      <c r="B798" s="1">
        <v>45904</v>
      </c>
      <c r="C798" t="s">
        <v>92</v>
      </c>
      <c r="D798" t="s">
        <v>93</v>
      </c>
      <c r="E798" t="s">
        <v>87</v>
      </c>
      <c r="F798" t="s">
        <v>15</v>
      </c>
      <c r="G798" t="s">
        <v>20</v>
      </c>
      <c r="H798">
        <v>5</v>
      </c>
      <c r="I798">
        <v>5700</v>
      </c>
      <c r="J798">
        <v>0.05</v>
      </c>
      <c r="K798">
        <v>1651.73</v>
      </c>
    </row>
    <row r="799" spans="1:11" x14ac:dyDescent="0.3">
      <c r="A799" t="s">
        <v>1321</v>
      </c>
      <c r="B799" s="1">
        <v>45791</v>
      </c>
      <c r="C799" t="s">
        <v>559</v>
      </c>
      <c r="D799" t="s">
        <v>560</v>
      </c>
      <c r="E799" t="s">
        <v>115</v>
      </c>
      <c r="F799" t="s">
        <v>25</v>
      </c>
      <c r="G799" t="s">
        <v>20</v>
      </c>
      <c r="H799">
        <v>6</v>
      </c>
      <c r="I799">
        <v>1656</v>
      </c>
      <c r="J799">
        <v>0.08</v>
      </c>
      <c r="K799">
        <v>506.95</v>
      </c>
    </row>
    <row r="800" spans="1:11" x14ac:dyDescent="0.3">
      <c r="A800" t="s">
        <v>1322</v>
      </c>
      <c r="B800" s="1">
        <v>45804</v>
      </c>
      <c r="C800" t="s">
        <v>508</v>
      </c>
      <c r="D800" t="s">
        <v>509</v>
      </c>
      <c r="E800" t="s">
        <v>87</v>
      </c>
      <c r="F800" t="s">
        <v>15</v>
      </c>
      <c r="G800" t="s">
        <v>20</v>
      </c>
      <c r="H800">
        <v>3</v>
      </c>
      <c r="I800">
        <v>3420</v>
      </c>
      <c r="J800">
        <v>0.05</v>
      </c>
      <c r="K800">
        <v>979.2</v>
      </c>
    </row>
    <row r="801" spans="1:11" x14ac:dyDescent="0.3">
      <c r="A801" t="s">
        <v>1323</v>
      </c>
      <c r="B801" s="1">
        <v>45662</v>
      </c>
      <c r="C801" t="s">
        <v>744</v>
      </c>
      <c r="D801" t="s">
        <v>745</v>
      </c>
      <c r="E801" t="s">
        <v>80</v>
      </c>
      <c r="F801" t="s">
        <v>15</v>
      </c>
      <c r="G801" t="s">
        <v>34</v>
      </c>
      <c r="H801">
        <v>8</v>
      </c>
      <c r="I801">
        <v>26600</v>
      </c>
      <c r="J801">
        <v>0.05</v>
      </c>
      <c r="K801">
        <v>7056.28</v>
      </c>
    </row>
    <row r="802" spans="1:11" x14ac:dyDescent="0.3">
      <c r="A802" t="s">
        <v>1324</v>
      </c>
      <c r="B802" s="1">
        <v>45849</v>
      </c>
      <c r="C802" t="s">
        <v>378</v>
      </c>
      <c r="D802" t="s">
        <v>379</v>
      </c>
      <c r="E802" t="s">
        <v>24</v>
      </c>
      <c r="F802" t="s">
        <v>25</v>
      </c>
      <c r="G802" t="s">
        <v>26</v>
      </c>
      <c r="H802">
        <v>1</v>
      </c>
      <c r="I802">
        <v>10800</v>
      </c>
      <c r="J802">
        <v>0.1</v>
      </c>
      <c r="K802">
        <v>2062.9299999999998</v>
      </c>
    </row>
    <row r="803" spans="1:11" x14ac:dyDescent="0.3">
      <c r="A803" t="s">
        <v>1325</v>
      </c>
      <c r="B803" s="1">
        <v>45988</v>
      </c>
      <c r="C803" t="s">
        <v>92</v>
      </c>
      <c r="D803" t="s">
        <v>93</v>
      </c>
      <c r="E803" t="s">
        <v>223</v>
      </c>
      <c r="F803" t="s">
        <v>57</v>
      </c>
      <c r="G803" t="s">
        <v>43</v>
      </c>
      <c r="H803">
        <v>4</v>
      </c>
      <c r="I803">
        <v>27440</v>
      </c>
      <c r="J803">
        <v>0.02</v>
      </c>
      <c r="K803">
        <v>6127.08</v>
      </c>
    </row>
    <row r="804" spans="1:11" x14ac:dyDescent="0.3">
      <c r="A804" t="s">
        <v>1326</v>
      </c>
      <c r="B804" s="1">
        <v>45978</v>
      </c>
      <c r="C804" t="s">
        <v>62</v>
      </c>
      <c r="D804" t="s">
        <v>63</v>
      </c>
      <c r="E804" t="s">
        <v>76</v>
      </c>
      <c r="F804" t="s">
        <v>25</v>
      </c>
      <c r="G804" t="s">
        <v>26</v>
      </c>
      <c r="H804">
        <v>2</v>
      </c>
      <c r="I804">
        <v>920</v>
      </c>
      <c r="J804">
        <v>0.08</v>
      </c>
      <c r="K804">
        <v>257.5</v>
      </c>
    </row>
    <row r="805" spans="1:11" x14ac:dyDescent="0.3">
      <c r="A805" t="s">
        <v>1327</v>
      </c>
      <c r="B805" s="1">
        <v>45930</v>
      </c>
      <c r="C805" t="s">
        <v>843</v>
      </c>
      <c r="D805" t="s">
        <v>844</v>
      </c>
      <c r="E805" t="s">
        <v>76</v>
      </c>
      <c r="F805" t="s">
        <v>25</v>
      </c>
      <c r="G805" t="s">
        <v>43</v>
      </c>
      <c r="H805">
        <v>5</v>
      </c>
      <c r="I805">
        <v>2125</v>
      </c>
      <c r="J805">
        <v>0.15</v>
      </c>
      <c r="K805">
        <v>646.42999999999995</v>
      </c>
    </row>
    <row r="806" spans="1:11" x14ac:dyDescent="0.3">
      <c r="A806" t="s">
        <v>1328</v>
      </c>
      <c r="B806" s="1">
        <v>45806</v>
      </c>
      <c r="C806" t="s">
        <v>396</v>
      </c>
      <c r="D806" t="s">
        <v>397</v>
      </c>
      <c r="E806" t="s">
        <v>38</v>
      </c>
      <c r="F806" t="s">
        <v>15</v>
      </c>
      <c r="G806" t="s">
        <v>43</v>
      </c>
      <c r="H806">
        <v>3</v>
      </c>
      <c r="I806">
        <v>82320</v>
      </c>
      <c r="J806">
        <v>0.02</v>
      </c>
      <c r="K806">
        <v>12320.87</v>
      </c>
    </row>
    <row r="807" spans="1:11" x14ac:dyDescent="0.3">
      <c r="A807" t="s">
        <v>1329</v>
      </c>
      <c r="B807" s="1">
        <v>45976</v>
      </c>
      <c r="C807" t="s">
        <v>485</v>
      </c>
      <c r="D807" t="s">
        <v>486</v>
      </c>
      <c r="E807" t="s">
        <v>71</v>
      </c>
      <c r="F807" t="s">
        <v>72</v>
      </c>
      <c r="G807" t="s">
        <v>34</v>
      </c>
      <c r="H807">
        <v>5</v>
      </c>
      <c r="I807">
        <v>9350</v>
      </c>
      <c r="J807">
        <v>0.15</v>
      </c>
      <c r="K807">
        <v>2839.27</v>
      </c>
    </row>
    <row r="808" spans="1:11" x14ac:dyDescent="0.3">
      <c r="A808" t="s">
        <v>1330</v>
      </c>
      <c r="B808" s="1">
        <v>45669</v>
      </c>
      <c r="C808" t="s">
        <v>968</v>
      </c>
      <c r="D808" t="s">
        <v>969</v>
      </c>
      <c r="E808" t="s">
        <v>180</v>
      </c>
      <c r="F808" t="s">
        <v>15</v>
      </c>
      <c r="G808" t="s">
        <v>20</v>
      </c>
      <c r="H808">
        <v>1</v>
      </c>
      <c r="I808">
        <v>2700</v>
      </c>
      <c r="J808">
        <v>0.1</v>
      </c>
      <c r="K808">
        <v>824.75</v>
      </c>
    </row>
    <row r="809" spans="1:11" x14ac:dyDescent="0.3">
      <c r="A809" t="s">
        <v>1331</v>
      </c>
      <c r="B809" s="1">
        <v>45882</v>
      </c>
      <c r="C809" t="s">
        <v>715</v>
      </c>
      <c r="D809" t="s">
        <v>716</v>
      </c>
      <c r="E809" t="s">
        <v>76</v>
      </c>
      <c r="F809" t="s">
        <v>25</v>
      </c>
      <c r="G809" t="s">
        <v>16</v>
      </c>
      <c r="H809">
        <v>3</v>
      </c>
      <c r="I809">
        <v>1275</v>
      </c>
      <c r="J809">
        <v>0.15</v>
      </c>
      <c r="K809">
        <v>381.98</v>
      </c>
    </row>
    <row r="810" spans="1:11" x14ac:dyDescent="0.3">
      <c r="A810" t="s">
        <v>1332</v>
      </c>
      <c r="B810" s="1">
        <v>45769</v>
      </c>
      <c r="C810" t="s">
        <v>244</v>
      </c>
      <c r="D810" t="s">
        <v>245</v>
      </c>
      <c r="E810" t="s">
        <v>180</v>
      </c>
      <c r="F810" t="s">
        <v>15</v>
      </c>
      <c r="G810" t="s">
        <v>34</v>
      </c>
      <c r="H810">
        <v>1</v>
      </c>
      <c r="I810">
        <v>2760</v>
      </c>
      <c r="J810">
        <v>0.08</v>
      </c>
      <c r="K810">
        <v>874.71</v>
      </c>
    </row>
    <row r="811" spans="1:11" x14ac:dyDescent="0.3">
      <c r="A811" t="s">
        <v>1333</v>
      </c>
      <c r="B811" s="1">
        <v>46014</v>
      </c>
      <c r="C811" t="s">
        <v>504</v>
      </c>
      <c r="D811" t="s">
        <v>505</v>
      </c>
      <c r="E811" t="s">
        <v>80</v>
      </c>
      <c r="F811" t="s">
        <v>15</v>
      </c>
      <c r="G811" t="s">
        <v>34</v>
      </c>
      <c r="H811">
        <v>6</v>
      </c>
      <c r="I811">
        <v>19320</v>
      </c>
      <c r="J811">
        <v>0.08</v>
      </c>
      <c r="K811">
        <v>5111.79</v>
      </c>
    </row>
    <row r="812" spans="1:11" x14ac:dyDescent="0.3">
      <c r="A812" t="s">
        <v>1334</v>
      </c>
      <c r="B812" s="1">
        <v>45858</v>
      </c>
      <c r="C812" t="s">
        <v>45</v>
      </c>
      <c r="D812" t="s">
        <v>46</v>
      </c>
      <c r="E812" t="s">
        <v>180</v>
      </c>
      <c r="F812" t="s">
        <v>15</v>
      </c>
      <c r="G812" t="s">
        <v>43</v>
      </c>
      <c r="H812">
        <v>1</v>
      </c>
      <c r="I812">
        <v>2850</v>
      </c>
      <c r="J812">
        <v>0.05</v>
      </c>
      <c r="K812">
        <v>868.92</v>
      </c>
    </row>
    <row r="813" spans="1:11" x14ac:dyDescent="0.3">
      <c r="A813" t="s">
        <v>1335</v>
      </c>
      <c r="B813" s="1">
        <v>45853</v>
      </c>
      <c r="C813" t="s">
        <v>325</v>
      </c>
      <c r="D813" t="s">
        <v>326</v>
      </c>
      <c r="E813" t="s">
        <v>51</v>
      </c>
      <c r="F813" t="s">
        <v>15</v>
      </c>
      <c r="G813" t="s">
        <v>20</v>
      </c>
      <c r="H813">
        <v>5</v>
      </c>
      <c r="I813">
        <v>3600</v>
      </c>
      <c r="J813">
        <v>0.2</v>
      </c>
      <c r="K813">
        <v>1203.78</v>
      </c>
    </row>
    <row r="814" spans="1:11" x14ac:dyDescent="0.3">
      <c r="A814" t="s">
        <v>1336</v>
      </c>
      <c r="B814" s="1">
        <v>45884</v>
      </c>
      <c r="C814" t="s">
        <v>197</v>
      </c>
      <c r="D814" t="s">
        <v>198</v>
      </c>
      <c r="E814" t="s">
        <v>24</v>
      </c>
      <c r="F814" t="s">
        <v>25</v>
      </c>
      <c r="G814" t="s">
        <v>20</v>
      </c>
      <c r="H814">
        <v>7</v>
      </c>
      <c r="I814">
        <v>67200</v>
      </c>
      <c r="J814">
        <v>0.2</v>
      </c>
      <c r="K814">
        <v>12417.05</v>
      </c>
    </row>
    <row r="815" spans="1:11" x14ac:dyDescent="0.3">
      <c r="A815" t="s">
        <v>1337</v>
      </c>
      <c r="B815" s="1">
        <v>45998</v>
      </c>
      <c r="C815" t="s">
        <v>872</v>
      </c>
      <c r="D815" t="s">
        <v>873</v>
      </c>
      <c r="E815" t="s">
        <v>71</v>
      </c>
      <c r="F815" t="s">
        <v>72</v>
      </c>
      <c r="G815" t="s">
        <v>43</v>
      </c>
      <c r="H815">
        <v>2</v>
      </c>
      <c r="I815">
        <v>3960</v>
      </c>
      <c r="J815">
        <v>0.1</v>
      </c>
      <c r="K815">
        <v>1332.99</v>
      </c>
    </row>
    <row r="816" spans="1:11" x14ac:dyDescent="0.3">
      <c r="A816" t="s">
        <v>1338</v>
      </c>
      <c r="B816" s="1">
        <v>45980</v>
      </c>
      <c r="C816" t="s">
        <v>492</v>
      </c>
      <c r="D816" t="s">
        <v>493</v>
      </c>
      <c r="E816" t="s">
        <v>115</v>
      </c>
      <c r="F816" t="s">
        <v>25</v>
      </c>
      <c r="G816" t="s">
        <v>26</v>
      </c>
      <c r="H816">
        <v>6</v>
      </c>
      <c r="I816">
        <v>1764</v>
      </c>
      <c r="J816">
        <v>0.02</v>
      </c>
      <c r="K816">
        <v>606.91</v>
      </c>
    </row>
    <row r="817" spans="1:11" x14ac:dyDescent="0.3">
      <c r="A817" t="s">
        <v>1339</v>
      </c>
      <c r="B817" s="1">
        <v>45984</v>
      </c>
      <c r="C817" t="s">
        <v>225</v>
      </c>
      <c r="D817" t="s">
        <v>226</v>
      </c>
      <c r="E817" t="s">
        <v>14</v>
      </c>
      <c r="F817" t="s">
        <v>15</v>
      </c>
      <c r="G817" t="s">
        <v>34</v>
      </c>
      <c r="H817">
        <v>5</v>
      </c>
      <c r="I817">
        <v>82800</v>
      </c>
      <c r="J817">
        <v>0.08</v>
      </c>
      <c r="K817">
        <v>15186.68</v>
      </c>
    </row>
    <row r="818" spans="1:11" x14ac:dyDescent="0.3">
      <c r="A818" t="s">
        <v>1340</v>
      </c>
      <c r="B818" s="1">
        <v>45778</v>
      </c>
      <c r="C818" t="s">
        <v>660</v>
      </c>
      <c r="D818" t="s">
        <v>661</v>
      </c>
      <c r="E818" t="s">
        <v>42</v>
      </c>
      <c r="F818" t="s">
        <v>15</v>
      </c>
      <c r="G818" t="s">
        <v>34</v>
      </c>
      <c r="H818">
        <v>4</v>
      </c>
      <c r="I818">
        <v>96000</v>
      </c>
      <c r="J818">
        <v>0</v>
      </c>
      <c r="K818">
        <v>20425.310000000001</v>
      </c>
    </row>
    <row r="819" spans="1:11" x14ac:dyDescent="0.3">
      <c r="A819" t="s">
        <v>1341</v>
      </c>
      <c r="B819" s="1">
        <v>45719</v>
      </c>
      <c r="C819" t="s">
        <v>479</v>
      </c>
      <c r="D819" t="s">
        <v>480</v>
      </c>
      <c r="E819" t="s">
        <v>33</v>
      </c>
      <c r="F819" t="s">
        <v>15</v>
      </c>
      <c r="G819" t="s">
        <v>16</v>
      </c>
      <c r="H819">
        <v>5</v>
      </c>
      <c r="I819">
        <v>8100</v>
      </c>
      <c r="J819">
        <v>0.1</v>
      </c>
      <c r="K819">
        <v>2574.9899999999998</v>
      </c>
    </row>
    <row r="820" spans="1:11" x14ac:dyDescent="0.3">
      <c r="A820" t="s">
        <v>1342</v>
      </c>
      <c r="B820" s="1">
        <v>45963</v>
      </c>
      <c r="C820" t="s">
        <v>1132</v>
      </c>
      <c r="D820" t="s">
        <v>1133</v>
      </c>
      <c r="E820" t="s">
        <v>42</v>
      </c>
      <c r="F820" t="s">
        <v>15</v>
      </c>
      <c r="G820" t="s">
        <v>20</v>
      </c>
      <c r="H820">
        <v>8</v>
      </c>
      <c r="I820">
        <v>163200</v>
      </c>
      <c r="J820">
        <v>0.15</v>
      </c>
      <c r="K820">
        <v>30291.95</v>
      </c>
    </row>
    <row r="821" spans="1:11" x14ac:dyDescent="0.3">
      <c r="A821" t="s">
        <v>1343</v>
      </c>
      <c r="B821" s="1">
        <v>46009</v>
      </c>
      <c r="C821" t="s">
        <v>136</v>
      </c>
      <c r="D821" t="s">
        <v>137</v>
      </c>
      <c r="E821" t="s">
        <v>33</v>
      </c>
      <c r="F821" t="s">
        <v>15</v>
      </c>
      <c r="G821" t="s">
        <v>20</v>
      </c>
      <c r="H821">
        <v>8</v>
      </c>
      <c r="I821">
        <v>14400</v>
      </c>
      <c r="J821">
        <v>0</v>
      </c>
      <c r="K821">
        <v>4891.12</v>
      </c>
    </row>
    <row r="822" spans="1:11" x14ac:dyDescent="0.3">
      <c r="A822" t="s">
        <v>1344</v>
      </c>
      <c r="B822" s="1">
        <v>45932</v>
      </c>
      <c r="C822" t="s">
        <v>500</v>
      </c>
      <c r="D822" t="s">
        <v>501</v>
      </c>
      <c r="E822" t="s">
        <v>56</v>
      </c>
      <c r="F822" t="s">
        <v>57</v>
      </c>
      <c r="G822" t="s">
        <v>16</v>
      </c>
      <c r="H822">
        <v>3</v>
      </c>
      <c r="I822">
        <v>15300</v>
      </c>
      <c r="J822">
        <v>0.15</v>
      </c>
      <c r="K822">
        <v>3608.37</v>
      </c>
    </row>
    <row r="823" spans="1:11" x14ac:dyDescent="0.3">
      <c r="A823" t="s">
        <v>1345</v>
      </c>
      <c r="B823" s="1">
        <v>45988</v>
      </c>
      <c r="C823" t="s">
        <v>280</v>
      </c>
      <c r="D823" t="s">
        <v>281</v>
      </c>
      <c r="E823" t="s">
        <v>24</v>
      </c>
      <c r="F823" t="s">
        <v>25</v>
      </c>
      <c r="G823" t="s">
        <v>43</v>
      </c>
      <c r="H823">
        <v>6</v>
      </c>
      <c r="I823">
        <v>64800</v>
      </c>
      <c r="J823">
        <v>0.1</v>
      </c>
      <c r="K823">
        <v>13741.07</v>
      </c>
    </row>
    <row r="824" spans="1:11" x14ac:dyDescent="0.3">
      <c r="A824" t="s">
        <v>1346</v>
      </c>
      <c r="B824" s="1">
        <v>45851</v>
      </c>
      <c r="C824" t="s">
        <v>940</v>
      </c>
      <c r="D824" t="s">
        <v>941</v>
      </c>
      <c r="E824" t="s">
        <v>51</v>
      </c>
      <c r="F824" t="s">
        <v>15</v>
      </c>
      <c r="G824" t="s">
        <v>16</v>
      </c>
      <c r="H824">
        <v>1</v>
      </c>
      <c r="I824">
        <v>765</v>
      </c>
      <c r="J824">
        <v>0.15</v>
      </c>
      <c r="K824">
        <v>236.94</v>
      </c>
    </row>
    <row r="825" spans="1:11" x14ac:dyDescent="0.3">
      <c r="A825" t="s">
        <v>1347</v>
      </c>
      <c r="B825" s="1">
        <v>45882</v>
      </c>
      <c r="C825" t="s">
        <v>343</v>
      </c>
      <c r="D825" t="s">
        <v>344</v>
      </c>
      <c r="E825" t="s">
        <v>42</v>
      </c>
      <c r="F825" t="s">
        <v>15</v>
      </c>
      <c r="G825" t="s">
        <v>26</v>
      </c>
      <c r="H825">
        <v>8</v>
      </c>
      <c r="I825">
        <v>163200</v>
      </c>
      <c r="J825">
        <v>0.15</v>
      </c>
      <c r="K825">
        <v>32877.760000000002</v>
      </c>
    </row>
    <row r="826" spans="1:11" x14ac:dyDescent="0.3">
      <c r="A826" t="s">
        <v>1348</v>
      </c>
      <c r="B826" s="1">
        <v>45753</v>
      </c>
      <c r="C826" t="s">
        <v>1267</v>
      </c>
      <c r="D826" t="s">
        <v>1268</v>
      </c>
      <c r="E826" t="s">
        <v>80</v>
      </c>
      <c r="F826" t="s">
        <v>15</v>
      </c>
      <c r="G826" t="s">
        <v>34</v>
      </c>
      <c r="H826">
        <v>4</v>
      </c>
      <c r="I826">
        <v>12600</v>
      </c>
      <c r="J826">
        <v>0.1</v>
      </c>
      <c r="K826">
        <v>3175.13</v>
      </c>
    </row>
    <row r="827" spans="1:11" x14ac:dyDescent="0.3">
      <c r="A827" t="s">
        <v>1349</v>
      </c>
      <c r="B827" s="1">
        <v>45964</v>
      </c>
      <c r="C827" t="s">
        <v>940</v>
      </c>
      <c r="D827" t="s">
        <v>941</v>
      </c>
      <c r="E827" t="s">
        <v>71</v>
      </c>
      <c r="F827" t="s">
        <v>72</v>
      </c>
      <c r="G827" t="s">
        <v>26</v>
      </c>
      <c r="H827">
        <v>5</v>
      </c>
      <c r="I827">
        <v>8800</v>
      </c>
      <c r="J827">
        <v>0.2</v>
      </c>
      <c r="K827">
        <v>2857.11</v>
      </c>
    </row>
    <row r="828" spans="1:11" x14ac:dyDescent="0.3">
      <c r="A828" t="s">
        <v>1350</v>
      </c>
      <c r="B828" s="1">
        <v>45809</v>
      </c>
      <c r="C828" t="s">
        <v>54</v>
      </c>
      <c r="D828" t="s">
        <v>55</v>
      </c>
      <c r="E828" t="s">
        <v>38</v>
      </c>
      <c r="F828" t="s">
        <v>15</v>
      </c>
      <c r="G828" t="s">
        <v>26</v>
      </c>
      <c r="H828">
        <v>3</v>
      </c>
      <c r="I828">
        <v>77280</v>
      </c>
      <c r="J828">
        <v>0.08</v>
      </c>
      <c r="K828">
        <v>12839.94</v>
      </c>
    </row>
    <row r="829" spans="1:11" x14ac:dyDescent="0.3">
      <c r="A829" t="s">
        <v>1351</v>
      </c>
      <c r="B829" s="1">
        <v>45984</v>
      </c>
      <c r="C829" t="s">
        <v>881</v>
      </c>
      <c r="D829" t="s">
        <v>882</v>
      </c>
      <c r="E829" t="s">
        <v>71</v>
      </c>
      <c r="F829" t="s">
        <v>72</v>
      </c>
      <c r="G829" t="s">
        <v>16</v>
      </c>
      <c r="H829">
        <v>1</v>
      </c>
      <c r="I829">
        <v>1760</v>
      </c>
      <c r="J829">
        <v>0.2</v>
      </c>
      <c r="K829">
        <v>525.66999999999996</v>
      </c>
    </row>
    <row r="830" spans="1:11" x14ac:dyDescent="0.3">
      <c r="A830" t="s">
        <v>1352</v>
      </c>
      <c r="B830" s="1">
        <v>45975</v>
      </c>
      <c r="C830" t="s">
        <v>651</v>
      </c>
      <c r="D830" t="s">
        <v>652</v>
      </c>
      <c r="E830" t="s">
        <v>210</v>
      </c>
      <c r="F830" t="s">
        <v>15</v>
      </c>
      <c r="G830" t="s">
        <v>20</v>
      </c>
      <c r="H830">
        <v>6</v>
      </c>
      <c r="I830">
        <v>264000</v>
      </c>
      <c r="J830">
        <v>0.2</v>
      </c>
      <c r="K830">
        <v>38243.120000000003</v>
      </c>
    </row>
    <row r="831" spans="1:11" x14ac:dyDescent="0.3">
      <c r="A831" t="s">
        <v>1353</v>
      </c>
      <c r="B831" s="1">
        <v>45926</v>
      </c>
      <c r="C831" t="s">
        <v>241</v>
      </c>
      <c r="D831" t="s">
        <v>242</v>
      </c>
      <c r="E831" t="s">
        <v>47</v>
      </c>
      <c r="F831" t="s">
        <v>15</v>
      </c>
      <c r="G831" t="s">
        <v>26</v>
      </c>
      <c r="H831">
        <v>7</v>
      </c>
      <c r="I831">
        <v>44590</v>
      </c>
      <c r="J831">
        <v>0.02</v>
      </c>
      <c r="K831">
        <v>9139.27</v>
      </c>
    </row>
    <row r="832" spans="1:11" x14ac:dyDescent="0.3">
      <c r="A832" t="s">
        <v>1354</v>
      </c>
      <c r="B832" s="1">
        <v>45867</v>
      </c>
      <c r="C832" t="s">
        <v>98</v>
      </c>
      <c r="D832" t="s">
        <v>99</v>
      </c>
      <c r="E832" t="s">
        <v>158</v>
      </c>
      <c r="F832" t="s">
        <v>25</v>
      </c>
      <c r="G832" t="s">
        <v>20</v>
      </c>
      <c r="H832">
        <v>5</v>
      </c>
      <c r="I832">
        <v>3800</v>
      </c>
      <c r="J832">
        <v>0.05</v>
      </c>
      <c r="K832">
        <v>1200.06</v>
      </c>
    </row>
    <row r="833" spans="1:11" x14ac:dyDescent="0.3">
      <c r="A833" t="s">
        <v>1355</v>
      </c>
      <c r="B833" s="1">
        <v>45724</v>
      </c>
      <c r="C833" t="s">
        <v>130</v>
      </c>
      <c r="D833" t="s">
        <v>131</v>
      </c>
      <c r="E833" t="s">
        <v>87</v>
      </c>
      <c r="F833" t="s">
        <v>15</v>
      </c>
      <c r="G833" t="s">
        <v>20</v>
      </c>
      <c r="H833">
        <v>2</v>
      </c>
      <c r="I833">
        <v>2400</v>
      </c>
      <c r="J833">
        <v>0</v>
      </c>
      <c r="K833">
        <v>664.01</v>
      </c>
    </row>
    <row r="834" spans="1:11" x14ac:dyDescent="0.3">
      <c r="A834" t="s">
        <v>1356</v>
      </c>
      <c r="B834" s="1">
        <v>45708</v>
      </c>
      <c r="C834" t="s">
        <v>688</v>
      </c>
      <c r="D834" t="s">
        <v>689</v>
      </c>
      <c r="E834" t="s">
        <v>14</v>
      </c>
      <c r="F834" t="s">
        <v>15</v>
      </c>
      <c r="G834" t="s">
        <v>43</v>
      </c>
      <c r="H834">
        <v>8</v>
      </c>
      <c r="I834">
        <v>141120</v>
      </c>
      <c r="J834">
        <v>0.02</v>
      </c>
      <c r="K834">
        <v>25202.54</v>
      </c>
    </row>
    <row r="835" spans="1:11" x14ac:dyDescent="0.3">
      <c r="A835" t="s">
        <v>1357</v>
      </c>
      <c r="B835" s="1">
        <v>45845</v>
      </c>
      <c r="C835" t="s">
        <v>241</v>
      </c>
      <c r="D835" t="s">
        <v>242</v>
      </c>
      <c r="E835" t="s">
        <v>80</v>
      </c>
      <c r="F835" t="s">
        <v>15</v>
      </c>
      <c r="G835" t="s">
        <v>20</v>
      </c>
      <c r="H835">
        <v>5</v>
      </c>
      <c r="I835">
        <v>17500</v>
      </c>
      <c r="J835">
        <v>0</v>
      </c>
      <c r="K835">
        <v>4298.92</v>
      </c>
    </row>
    <row r="836" spans="1:11" x14ac:dyDescent="0.3">
      <c r="A836" t="s">
        <v>1358</v>
      </c>
      <c r="B836" s="1">
        <v>45698</v>
      </c>
      <c r="C836" t="s">
        <v>479</v>
      </c>
      <c r="D836" t="s">
        <v>480</v>
      </c>
      <c r="E836" t="s">
        <v>51</v>
      </c>
      <c r="F836" t="s">
        <v>15</v>
      </c>
      <c r="G836" t="s">
        <v>20</v>
      </c>
      <c r="H836">
        <v>8</v>
      </c>
      <c r="I836">
        <v>5760</v>
      </c>
      <c r="J836">
        <v>0.2</v>
      </c>
      <c r="K836">
        <v>1787.73</v>
      </c>
    </row>
    <row r="837" spans="1:11" x14ac:dyDescent="0.3">
      <c r="A837" t="s">
        <v>1359</v>
      </c>
      <c r="B837" s="1">
        <v>45846</v>
      </c>
      <c r="C837" t="s">
        <v>674</v>
      </c>
      <c r="D837" t="s">
        <v>675</v>
      </c>
      <c r="E837" t="s">
        <v>47</v>
      </c>
      <c r="F837" t="s">
        <v>15</v>
      </c>
      <c r="G837" t="s">
        <v>20</v>
      </c>
      <c r="H837">
        <v>7</v>
      </c>
      <c r="I837">
        <v>36400</v>
      </c>
      <c r="J837">
        <v>0.2</v>
      </c>
      <c r="K837">
        <v>7253.43</v>
      </c>
    </row>
    <row r="838" spans="1:11" x14ac:dyDescent="0.3">
      <c r="A838" t="s">
        <v>1360</v>
      </c>
      <c r="B838" s="1">
        <v>45678</v>
      </c>
      <c r="C838" t="s">
        <v>693</v>
      </c>
      <c r="D838" t="s">
        <v>694</v>
      </c>
      <c r="E838" t="s">
        <v>158</v>
      </c>
      <c r="F838" t="s">
        <v>25</v>
      </c>
      <c r="G838" t="s">
        <v>34</v>
      </c>
      <c r="H838">
        <v>5</v>
      </c>
      <c r="I838">
        <v>3600</v>
      </c>
      <c r="J838">
        <v>0.1</v>
      </c>
      <c r="K838">
        <v>1140.6099999999999</v>
      </c>
    </row>
    <row r="839" spans="1:11" x14ac:dyDescent="0.3">
      <c r="A839" t="s">
        <v>1361</v>
      </c>
      <c r="B839" s="1">
        <v>45776</v>
      </c>
      <c r="C839" t="s">
        <v>670</v>
      </c>
      <c r="D839" t="s">
        <v>671</v>
      </c>
      <c r="E839" t="s">
        <v>51</v>
      </c>
      <c r="F839" t="s">
        <v>15</v>
      </c>
      <c r="G839" t="s">
        <v>16</v>
      </c>
      <c r="H839">
        <v>2</v>
      </c>
      <c r="I839">
        <v>1800</v>
      </c>
      <c r="J839">
        <v>0</v>
      </c>
      <c r="K839">
        <v>603.04</v>
      </c>
    </row>
    <row r="840" spans="1:11" x14ac:dyDescent="0.3">
      <c r="A840" t="s">
        <v>1362</v>
      </c>
      <c r="B840" s="1">
        <v>45978</v>
      </c>
      <c r="C840" t="s">
        <v>250</v>
      </c>
      <c r="D840" t="s">
        <v>251</v>
      </c>
      <c r="E840" t="s">
        <v>87</v>
      </c>
      <c r="F840" t="s">
        <v>15</v>
      </c>
      <c r="G840" t="s">
        <v>26</v>
      </c>
      <c r="H840">
        <v>4</v>
      </c>
      <c r="I840">
        <v>4320</v>
      </c>
      <c r="J840">
        <v>0.1</v>
      </c>
      <c r="K840">
        <v>1325.24</v>
      </c>
    </row>
    <row r="841" spans="1:11" x14ac:dyDescent="0.3">
      <c r="A841" t="s">
        <v>1363</v>
      </c>
      <c r="B841" s="1">
        <v>45712</v>
      </c>
      <c r="C841" t="s">
        <v>565</v>
      </c>
      <c r="D841" t="s">
        <v>566</v>
      </c>
      <c r="E841" t="s">
        <v>47</v>
      </c>
      <c r="F841" t="s">
        <v>15</v>
      </c>
      <c r="G841" t="s">
        <v>26</v>
      </c>
      <c r="H841">
        <v>7</v>
      </c>
      <c r="I841">
        <v>38675</v>
      </c>
      <c r="J841">
        <v>0.15</v>
      </c>
      <c r="K841">
        <v>7781.46</v>
      </c>
    </row>
    <row r="842" spans="1:11" x14ac:dyDescent="0.3">
      <c r="A842" t="s">
        <v>1364</v>
      </c>
      <c r="B842" s="1">
        <v>45743</v>
      </c>
      <c r="C842" t="s">
        <v>1115</v>
      </c>
      <c r="D842" t="s">
        <v>1116</v>
      </c>
      <c r="E842" t="s">
        <v>71</v>
      </c>
      <c r="F842" t="s">
        <v>72</v>
      </c>
      <c r="G842" t="s">
        <v>26</v>
      </c>
      <c r="H842">
        <v>7</v>
      </c>
      <c r="I842">
        <v>15400</v>
      </c>
      <c r="J842">
        <v>0</v>
      </c>
      <c r="K842">
        <v>5129.29</v>
      </c>
    </row>
    <row r="843" spans="1:11" x14ac:dyDescent="0.3">
      <c r="A843" t="s">
        <v>1365</v>
      </c>
      <c r="B843" s="1">
        <v>45738</v>
      </c>
      <c r="C843" t="s">
        <v>356</v>
      </c>
      <c r="D843" t="s">
        <v>357</v>
      </c>
      <c r="E843" t="s">
        <v>87</v>
      </c>
      <c r="F843" t="s">
        <v>15</v>
      </c>
      <c r="G843" t="s">
        <v>26</v>
      </c>
      <c r="H843">
        <v>6</v>
      </c>
      <c r="I843">
        <v>6120</v>
      </c>
      <c r="J843">
        <v>0.15</v>
      </c>
      <c r="K843">
        <v>1717.64</v>
      </c>
    </row>
    <row r="844" spans="1:11" x14ac:dyDescent="0.3">
      <c r="A844" t="s">
        <v>1366</v>
      </c>
      <c r="B844" s="1">
        <v>45824</v>
      </c>
      <c r="C844" t="s">
        <v>559</v>
      </c>
      <c r="D844" t="s">
        <v>560</v>
      </c>
      <c r="E844" t="s">
        <v>56</v>
      </c>
      <c r="F844" t="s">
        <v>57</v>
      </c>
      <c r="G844" t="s">
        <v>43</v>
      </c>
      <c r="H844">
        <v>6</v>
      </c>
      <c r="I844">
        <v>32400</v>
      </c>
      <c r="J844">
        <v>0.1</v>
      </c>
      <c r="K844">
        <v>7813.48</v>
      </c>
    </row>
    <row r="845" spans="1:11" x14ac:dyDescent="0.3">
      <c r="A845" t="s">
        <v>1367</v>
      </c>
      <c r="B845" s="1">
        <v>45781</v>
      </c>
      <c r="C845" t="s">
        <v>1098</v>
      </c>
      <c r="D845" t="s">
        <v>1099</v>
      </c>
      <c r="E845" t="s">
        <v>200</v>
      </c>
      <c r="F845" t="s">
        <v>57</v>
      </c>
      <c r="G845" t="s">
        <v>16</v>
      </c>
      <c r="H845">
        <v>6</v>
      </c>
      <c r="I845">
        <v>9720</v>
      </c>
      <c r="J845">
        <v>0.1</v>
      </c>
      <c r="K845">
        <v>2655.31</v>
      </c>
    </row>
    <row r="846" spans="1:11" x14ac:dyDescent="0.3">
      <c r="A846" t="s">
        <v>1368</v>
      </c>
      <c r="B846" s="1">
        <v>45889</v>
      </c>
      <c r="C846" t="s">
        <v>799</v>
      </c>
      <c r="D846" t="s">
        <v>800</v>
      </c>
      <c r="E846" t="s">
        <v>47</v>
      </c>
      <c r="F846" t="s">
        <v>15</v>
      </c>
      <c r="G846" t="s">
        <v>43</v>
      </c>
      <c r="H846">
        <v>5</v>
      </c>
      <c r="I846">
        <v>30875</v>
      </c>
      <c r="J846">
        <v>0.05</v>
      </c>
      <c r="K846">
        <v>6039.15</v>
      </c>
    </row>
    <row r="847" spans="1:11" x14ac:dyDescent="0.3">
      <c r="A847" t="s">
        <v>1369</v>
      </c>
      <c r="B847" s="1">
        <v>45666</v>
      </c>
      <c r="C847" t="s">
        <v>508</v>
      </c>
      <c r="D847" t="s">
        <v>509</v>
      </c>
      <c r="E847" t="s">
        <v>42</v>
      </c>
      <c r="F847" t="s">
        <v>15</v>
      </c>
      <c r="G847" t="s">
        <v>34</v>
      </c>
      <c r="H847">
        <v>5</v>
      </c>
      <c r="I847">
        <v>108000</v>
      </c>
      <c r="J847">
        <v>0.1</v>
      </c>
      <c r="K847">
        <v>21945.439999999999</v>
      </c>
    </row>
    <row r="848" spans="1:11" x14ac:dyDescent="0.3">
      <c r="A848" t="s">
        <v>1370</v>
      </c>
      <c r="B848" s="1">
        <v>45819</v>
      </c>
      <c r="C848" t="s">
        <v>548</v>
      </c>
      <c r="D848" t="s">
        <v>549</v>
      </c>
      <c r="E848" t="s">
        <v>115</v>
      </c>
      <c r="F848" t="s">
        <v>25</v>
      </c>
      <c r="G848" t="s">
        <v>34</v>
      </c>
      <c r="H848">
        <v>4</v>
      </c>
      <c r="I848">
        <v>1176</v>
      </c>
      <c r="J848">
        <v>0.02</v>
      </c>
      <c r="K848">
        <v>359.39</v>
      </c>
    </row>
    <row r="849" spans="1:11" x14ac:dyDescent="0.3">
      <c r="A849" t="s">
        <v>1371</v>
      </c>
      <c r="B849" s="1">
        <v>45677</v>
      </c>
      <c r="C849" t="s">
        <v>910</v>
      </c>
      <c r="D849" t="s">
        <v>911</v>
      </c>
      <c r="E849" t="s">
        <v>47</v>
      </c>
      <c r="F849" t="s">
        <v>15</v>
      </c>
      <c r="G849" t="s">
        <v>16</v>
      </c>
      <c r="H849">
        <v>3</v>
      </c>
      <c r="I849">
        <v>19500</v>
      </c>
      <c r="J849">
        <v>0</v>
      </c>
      <c r="K849">
        <v>3875.27</v>
      </c>
    </row>
    <row r="850" spans="1:11" x14ac:dyDescent="0.3">
      <c r="A850" t="s">
        <v>1372</v>
      </c>
      <c r="B850" s="1">
        <v>45785</v>
      </c>
      <c r="C850" t="s">
        <v>773</v>
      </c>
      <c r="D850" t="s">
        <v>774</v>
      </c>
      <c r="E850" t="s">
        <v>76</v>
      </c>
      <c r="F850" t="s">
        <v>25</v>
      </c>
      <c r="G850" t="s">
        <v>34</v>
      </c>
      <c r="H850">
        <v>6</v>
      </c>
      <c r="I850">
        <v>2700</v>
      </c>
      <c r="J850">
        <v>0.1</v>
      </c>
      <c r="K850">
        <v>749.05</v>
      </c>
    </row>
    <row r="851" spans="1:11" x14ac:dyDescent="0.3">
      <c r="A851" t="s">
        <v>1373</v>
      </c>
      <c r="B851" s="1">
        <v>45769</v>
      </c>
      <c r="C851" t="s">
        <v>244</v>
      </c>
      <c r="D851" t="s">
        <v>245</v>
      </c>
      <c r="E851" t="s">
        <v>160</v>
      </c>
      <c r="F851" t="s">
        <v>25</v>
      </c>
      <c r="G851" t="s">
        <v>34</v>
      </c>
      <c r="H851">
        <v>7</v>
      </c>
      <c r="I851">
        <v>4410</v>
      </c>
      <c r="J851">
        <v>0.1</v>
      </c>
      <c r="K851">
        <v>1405.22</v>
      </c>
    </row>
    <row r="852" spans="1:11" x14ac:dyDescent="0.3">
      <c r="A852" t="s">
        <v>1374</v>
      </c>
      <c r="B852" s="1">
        <v>46011</v>
      </c>
      <c r="C852" t="s">
        <v>769</v>
      </c>
      <c r="D852" t="s">
        <v>770</v>
      </c>
      <c r="E852" t="s">
        <v>80</v>
      </c>
      <c r="F852" t="s">
        <v>15</v>
      </c>
      <c r="G852" t="s">
        <v>20</v>
      </c>
      <c r="H852">
        <v>3</v>
      </c>
      <c r="I852">
        <v>9660</v>
      </c>
      <c r="J852">
        <v>0.08</v>
      </c>
      <c r="K852">
        <v>2517.63</v>
      </c>
    </row>
    <row r="853" spans="1:11" x14ac:dyDescent="0.3">
      <c r="A853" t="s">
        <v>1375</v>
      </c>
      <c r="B853" s="1">
        <v>45953</v>
      </c>
      <c r="C853" t="s">
        <v>378</v>
      </c>
      <c r="D853" t="s">
        <v>379</v>
      </c>
      <c r="E853" t="s">
        <v>115</v>
      </c>
      <c r="F853" t="s">
        <v>25</v>
      </c>
      <c r="G853" t="s">
        <v>20</v>
      </c>
      <c r="H853">
        <v>1</v>
      </c>
      <c r="I853">
        <v>255</v>
      </c>
      <c r="J853">
        <v>0.15</v>
      </c>
      <c r="K853">
        <v>79.349999999999994</v>
      </c>
    </row>
    <row r="854" spans="1:11" x14ac:dyDescent="0.3">
      <c r="A854" t="s">
        <v>1376</v>
      </c>
      <c r="B854" s="1">
        <v>45880</v>
      </c>
      <c r="C854" t="s">
        <v>910</v>
      </c>
      <c r="D854" t="s">
        <v>911</v>
      </c>
      <c r="E854" t="s">
        <v>64</v>
      </c>
      <c r="F854" t="s">
        <v>57</v>
      </c>
      <c r="G854" t="s">
        <v>20</v>
      </c>
      <c r="H854">
        <v>6</v>
      </c>
      <c r="I854">
        <v>38400</v>
      </c>
      <c r="J854">
        <v>0.2</v>
      </c>
      <c r="K854">
        <v>7955.75</v>
      </c>
    </row>
    <row r="855" spans="1:11" x14ac:dyDescent="0.3">
      <c r="A855" t="s">
        <v>1377</v>
      </c>
      <c r="B855" s="1">
        <v>45981</v>
      </c>
      <c r="C855" t="s">
        <v>539</v>
      </c>
      <c r="D855" t="s">
        <v>540</v>
      </c>
      <c r="E855" t="s">
        <v>24</v>
      </c>
      <c r="F855" t="s">
        <v>25</v>
      </c>
      <c r="G855" t="s">
        <v>34</v>
      </c>
      <c r="H855">
        <v>1</v>
      </c>
      <c r="I855">
        <v>10200</v>
      </c>
      <c r="J855">
        <v>0.15</v>
      </c>
      <c r="K855">
        <v>1984.24</v>
      </c>
    </row>
    <row r="856" spans="1:11" x14ac:dyDescent="0.3">
      <c r="A856" t="s">
        <v>1378</v>
      </c>
      <c r="B856" s="1">
        <v>45947</v>
      </c>
      <c r="C856" t="s">
        <v>515</v>
      </c>
      <c r="D856" t="s">
        <v>516</v>
      </c>
      <c r="E856" t="s">
        <v>42</v>
      </c>
      <c r="F856" t="s">
        <v>15</v>
      </c>
      <c r="G856" t="s">
        <v>26</v>
      </c>
      <c r="H856">
        <v>6</v>
      </c>
      <c r="I856">
        <v>129600</v>
      </c>
      <c r="J856">
        <v>0.1</v>
      </c>
      <c r="K856">
        <v>24567.98</v>
      </c>
    </row>
    <row r="857" spans="1:11" x14ac:dyDescent="0.3">
      <c r="A857" t="s">
        <v>1379</v>
      </c>
      <c r="B857" s="1">
        <v>46002</v>
      </c>
      <c r="C857" t="s">
        <v>1267</v>
      </c>
      <c r="D857" t="s">
        <v>1268</v>
      </c>
      <c r="E857" t="s">
        <v>24</v>
      </c>
      <c r="F857" t="s">
        <v>25</v>
      </c>
      <c r="G857" t="s">
        <v>43</v>
      </c>
      <c r="H857">
        <v>3</v>
      </c>
      <c r="I857">
        <v>36000</v>
      </c>
      <c r="J857">
        <v>0</v>
      </c>
      <c r="K857">
        <v>7777.89</v>
      </c>
    </row>
    <row r="858" spans="1:11" x14ac:dyDescent="0.3">
      <c r="A858" t="s">
        <v>1380</v>
      </c>
      <c r="B858" s="1">
        <v>45879</v>
      </c>
      <c r="C858" t="s">
        <v>612</v>
      </c>
      <c r="D858" t="s">
        <v>613</v>
      </c>
      <c r="E858" t="s">
        <v>71</v>
      </c>
      <c r="F858" t="s">
        <v>72</v>
      </c>
      <c r="G858" t="s">
        <v>43</v>
      </c>
      <c r="H858">
        <v>2</v>
      </c>
      <c r="I858">
        <v>4312</v>
      </c>
      <c r="J858">
        <v>0.02</v>
      </c>
      <c r="K858">
        <v>1317.91</v>
      </c>
    </row>
    <row r="859" spans="1:11" x14ac:dyDescent="0.3">
      <c r="A859" t="s">
        <v>1381</v>
      </c>
      <c r="B859" s="1">
        <v>45901</v>
      </c>
      <c r="C859" t="s">
        <v>1382</v>
      </c>
      <c r="D859" t="s">
        <v>1383</v>
      </c>
      <c r="E859" t="s">
        <v>180</v>
      </c>
      <c r="F859" t="s">
        <v>15</v>
      </c>
      <c r="G859" t="s">
        <v>20</v>
      </c>
      <c r="H859">
        <v>6</v>
      </c>
      <c r="I859">
        <v>18000</v>
      </c>
      <c r="J859">
        <v>0</v>
      </c>
      <c r="K859">
        <v>6068.58</v>
      </c>
    </row>
    <row r="860" spans="1:11" x14ac:dyDescent="0.3">
      <c r="A860" t="s">
        <v>1384</v>
      </c>
      <c r="B860" s="1">
        <v>45862</v>
      </c>
      <c r="C860" t="s">
        <v>1156</v>
      </c>
      <c r="D860" t="s">
        <v>1157</v>
      </c>
      <c r="E860" t="s">
        <v>223</v>
      </c>
      <c r="F860" t="s">
        <v>57</v>
      </c>
      <c r="G860" t="s">
        <v>16</v>
      </c>
      <c r="H860">
        <v>5</v>
      </c>
      <c r="I860">
        <v>35000</v>
      </c>
      <c r="J860">
        <v>0</v>
      </c>
      <c r="K860">
        <v>8002.33</v>
      </c>
    </row>
    <row r="861" spans="1:11" x14ac:dyDescent="0.3">
      <c r="A861" t="s">
        <v>1385</v>
      </c>
      <c r="B861" s="1">
        <v>45759</v>
      </c>
      <c r="C861" t="s">
        <v>1098</v>
      </c>
      <c r="D861" t="s">
        <v>1099</v>
      </c>
      <c r="E861" t="s">
        <v>180</v>
      </c>
      <c r="F861" t="s">
        <v>15</v>
      </c>
      <c r="G861" t="s">
        <v>26</v>
      </c>
      <c r="H861">
        <v>8</v>
      </c>
      <c r="I861">
        <v>21600</v>
      </c>
      <c r="J861">
        <v>0.1</v>
      </c>
      <c r="K861">
        <v>6984.46</v>
      </c>
    </row>
    <row r="862" spans="1:11" x14ac:dyDescent="0.3">
      <c r="A862" t="s">
        <v>1386</v>
      </c>
      <c r="B862" s="1">
        <v>45694</v>
      </c>
      <c r="C862" t="s">
        <v>872</v>
      </c>
      <c r="D862" t="s">
        <v>873</v>
      </c>
      <c r="E862" t="s">
        <v>47</v>
      </c>
      <c r="F862" t="s">
        <v>15</v>
      </c>
      <c r="G862" t="s">
        <v>43</v>
      </c>
      <c r="H862">
        <v>4</v>
      </c>
      <c r="I862">
        <v>25480</v>
      </c>
      <c r="J862">
        <v>0.02</v>
      </c>
      <c r="K862">
        <v>4875.53</v>
      </c>
    </row>
    <row r="863" spans="1:11" x14ac:dyDescent="0.3">
      <c r="A863" t="s">
        <v>1387</v>
      </c>
      <c r="B863" s="1">
        <v>46001</v>
      </c>
      <c r="C863" t="s">
        <v>101</v>
      </c>
      <c r="D863" t="s">
        <v>102</v>
      </c>
      <c r="E863" t="s">
        <v>160</v>
      </c>
      <c r="F863" t="s">
        <v>25</v>
      </c>
      <c r="G863" t="s">
        <v>34</v>
      </c>
      <c r="H863">
        <v>2</v>
      </c>
      <c r="I863">
        <v>1400</v>
      </c>
      <c r="J863">
        <v>0</v>
      </c>
      <c r="K863">
        <v>433.92</v>
      </c>
    </row>
    <row r="864" spans="1:11" x14ac:dyDescent="0.3">
      <c r="A864" t="s">
        <v>1388</v>
      </c>
      <c r="B864" s="1">
        <v>45962</v>
      </c>
      <c r="C864" t="s">
        <v>388</v>
      </c>
      <c r="D864" t="s">
        <v>389</v>
      </c>
      <c r="E864" t="s">
        <v>51</v>
      </c>
      <c r="F864" t="s">
        <v>15</v>
      </c>
      <c r="G864" t="s">
        <v>34</v>
      </c>
      <c r="H864">
        <v>6</v>
      </c>
      <c r="I864">
        <v>5130</v>
      </c>
      <c r="J864">
        <v>0.05</v>
      </c>
      <c r="K864">
        <v>1732.26</v>
      </c>
    </row>
    <row r="865" spans="1:11" x14ac:dyDescent="0.3">
      <c r="A865" t="s">
        <v>1389</v>
      </c>
      <c r="B865" s="1">
        <v>45732</v>
      </c>
      <c r="C865" t="s">
        <v>575</v>
      </c>
      <c r="D865" t="s">
        <v>576</v>
      </c>
      <c r="E865" t="s">
        <v>56</v>
      </c>
      <c r="F865" t="s">
        <v>57</v>
      </c>
      <c r="G865" t="s">
        <v>16</v>
      </c>
      <c r="H865">
        <v>8</v>
      </c>
      <c r="I865">
        <v>43200</v>
      </c>
      <c r="J865">
        <v>0.1</v>
      </c>
      <c r="K865">
        <v>9693.31</v>
      </c>
    </row>
    <row r="866" spans="1:11" x14ac:dyDescent="0.3">
      <c r="A866" t="s">
        <v>1390</v>
      </c>
      <c r="B866" s="1">
        <v>45701</v>
      </c>
      <c r="C866" t="s">
        <v>688</v>
      </c>
      <c r="D866" t="s">
        <v>689</v>
      </c>
      <c r="E866" t="s">
        <v>56</v>
      </c>
      <c r="F866" t="s">
        <v>57</v>
      </c>
      <c r="G866" t="s">
        <v>20</v>
      </c>
      <c r="H866">
        <v>3</v>
      </c>
      <c r="I866">
        <v>14400</v>
      </c>
      <c r="J866">
        <v>0.2</v>
      </c>
      <c r="K866">
        <v>2889.51</v>
      </c>
    </row>
    <row r="867" spans="1:11" x14ac:dyDescent="0.3">
      <c r="A867" t="s">
        <v>1391</v>
      </c>
      <c r="B867" s="1">
        <v>45805</v>
      </c>
      <c r="C867" t="s">
        <v>247</v>
      </c>
      <c r="D867" t="s">
        <v>248</v>
      </c>
      <c r="E867" t="s">
        <v>158</v>
      </c>
      <c r="F867" t="s">
        <v>25</v>
      </c>
      <c r="G867" t="s">
        <v>20</v>
      </c>
      <c r="H867">
        <v>3</v>
      </c>
      <c r="I867">
        <v>1920</v>
      </c>
      <c r="J867">
        <v>0.2</v>
      </c>
      <c r="K867">
        <v>504.15</v>
      </c>
    </row>
    <row r="868" spans="1:11" x14ac:dyDescent="0.3">
      <c r="A868" t="s">
        <v>1392</v>
      </c>
      <c r="B868" s="1">
        <v>45827</v>
      </c>
      <c r="C868" t="s">
        <v>337</v>
      </c>
      <c r="D868" t="s">
        <v>338</v>
      </c>
      <c r="E868" t="s">
        <v>71</v>
      </c>
      <c r="F868" t="s">
        <v>72</v>
      </c>
      <c r="G868" t="s">
        <v>26</v>
      </c>
      <c r="H868">
        <v>8</v>
      </c>
      <c r="I868">
        <v>17600</v>
      </c>
      <c r="J868">
        <v>0</v>
      </c>
      <c r="K868">
        <v>5339.27</v>
      </c>
    </row>
    <row r="869" spans="1:11" x14ac:dyDescent="0.3">
      <c r="A869" t="s">
        <v>1393</v>
      </c>
      <c r="B869" s="1">
        <v>45905</v>
      </c>
      <c r="C869" t="s">
        <v>1209</v>
      </c>
      <c r="D869" t="s">
        <v>1210</v>
      </c>
      <c r="E869" t="s">
        <v>51</v>
      </c>
      <c r="F869" t="s">
        <v>15</v>
      </c>
      <c r="G869" t="s">
        <v>16</v>
      </c>
      <c r="H869">
        <v>5</v>
      </c>
      <c r="I869">
        <v>4050</v>
      </c>
      <c r="J869">
        <v>0.1</v>
      </c>
      <c r="K869">
        <v>1342.03</v>
      </c>
    </row>
    <row r="870" spans="1:11" x14ac:dyDescent="0.3">
      <c r="A870" t="s">
        <v>1394</v>
      </c>
      <c r="B870" s="1">
        <v>45997</v>
      </c>
      <c r="C870" t="s">
        <v>663</v>
      </c>
      <c r="D870" t="s">
        <v>664</v>
      </c>
      <c r="E870" t="s">
        <v>210</v>
      </c>
      <c r="F870" t="s">
        <v>15</v>
      </c>
      <c r="G870" t="s">
        <v>34</v>
      </c>
      <c r="H870">
        <v>7</v>
      </c>
      <c r="I870">
        <v>346500</v>
      </c>
      <c r="J870">
        <v>0.1</v>
      </c>
      <c r="K870">
        <v>55395.13</v>
      </c>
    </row>
    <row r="871" spans="1:11" x14ac:dyDescent="0.3">
      <c r="A871" t="s">
        <v>1395</v>
      </c>
      <c r="B871" s="1">
        <v>46014</v>
      </c>
      <c r="C871" t="s">
        <v>575</v>
      </c>
      <c r="D871" t="s">
        <v>576</v>
      </c>
      <c r="E871" t="s">
        <v>42</v>
      </c>
      <c r="F871" t="s">
        <v>15</v>
      </c>
      <c r="G871" t="s">
        <v>20</v>
      </c>
      <c r="H871">
        <v>5</v>
      </c>
      <c r="I871">
        <v>117600</v>
      </c>
      <c r="J871">
        <v>0.02</v>
      </c>
      <c r="K871">
        <v>24846.86</v>
      </c>
    </row>
    <row r="872" spans="1:11" x14ac:dyDescent="0.3">
      <c r="A872" t="s">
        <v>1396</v>
      </c>
      <c r="B872" s="1">
        <v>45996</v>
      </c>
      <c r="C872" t="s">
        <v>85</v>
      </c>
      <c r="D872" t="s">
        <v>86</v>
      </c>
      <c r="E872" t="s">
        <v>210</v>
      </c>
      <c r="F872" t="s">
        <v>15</v>
      </c>
      <c r="G872" t="s">
        <v>34</v>
      </c>
      <c r="H872">
        <v>2</v>
      </c>
      <c r="I872">
        <v>101200</v>
      </c>
      <c r="J872">
        <v>0.08</v>
      </c>
      <c r="K872">
        <v>15541.37</v>
      </c>
    </row>
    <row r="873" spans="1:11" x14ac:dyDescent="0.3">
      <c r="A873" t="s">
        <v>1397</v>
      </c>
      <c r="B873" s="1">
        <v>45990</v>
      </c>
      <c r="C873" t="s">
        <v>393</v>
      </c>
      <c r="D873" t="s">
        <v>394</v>
      </c>
      <c r="E873" t="s">
        <v>14</v>
      </c>
      <c r="F873" t="s">
        <v>15</v>
      </c>
      <c r="G873" t="s">
        <v>43</v>
      </c>
      <c r="H873">
        <v>1</v>
      </c>
      <c r="I873">
        <v>17100</v>
      </c>
      <c r="J873">
        <v>0.05</v>
      </c>
      <c r="K873">
        <v>3217.7</v>
      </c>
    </row>
    <row r="874" spans="1:11" x14ac:dyDescent="0.3">
      <c r="A874" t="s">
        <v>1398</v>
      </c>
      <c r="B874" s="1">
        <v>45963</v>
      </c>
      <c r="C874" t="s">
        <v>78</v>
      </c>
      <c r="D874" t="s">
        <v>79</v>
      </c>
      <c r="E874" t="s">
        <v>14</v>
      </c>
      <c r="F874" t="s">
        <v>15</v>
      </c>
      <c r="G874" t="s">
        <v>16</v>
      </c>
      <c r="H874">
        <v>6</v>
      </c>
      <c r="I874">
        <v>99360</v>
      </c>
      <c r="J874">
        <v>0.08</v>
      </c>
      <c r="K874">
        <v>19006.04</v>
      </c>
    </row>
    <row r="875" spans="1:11" x14ac:dyDescent="0.3">
      <c r="A875" t="s">
        <v>1399</v>
      </c>
      <c r="B875" s="1">
        <v>46022</v>
      </c>
      <c r="C875" t="s">
        <v>872</v>
      </c>
      <c r="D875" t="s">
        <v>873</v>
      </c>
      <c r="E875" t="s">
        <v>87</v>
      </c>
      <c r="F875" t="s">
        <v>15</v>
      </c>
      <c r="G875" t="s">
        <v>16</v>
      </c>
      <c r="H875">
        <v>8</v>
      </c>
      <c r="I875">
        <v>8640</v>
      </c>
      <c r="J875">
        <v>0.1</v>
      </c>
      <c r="K875">
        <v>2235.63</v>
      </c>
    </row>
    <row r="876" spans="1:11" x14ac:dyDescent="0.3">
      <c r="A876" t="s">
        <v>1400</v>
      </c>
      <c r="B876" s="1">
        <v>45908</v>
      </c>
      <c r="C876" t="s">
        <v>1246</v>
      </c>
      <c r="D876" t="s">
        <v>1247</v>
      </c>
      <c r="E876" t="s">
        <v>87</v>
      </c>
      <c r="F876" t="s">
        <v>15</v>
      </c>
      <c r="G876" t="s">
        <v>16</v>
      </c>
      <c r="H876">
        <v>5</v>
      </c>
      <c r="I876">
        <v>5700</v>
      </c>
      <c r="J876">
        <v>0.05</v>
      </c>
      <c r="K876">
        <v>1610.78</v>
      </c>
    </row>
    <row r="877" spans="1:11" x14ac:dyDescent="0.3">
      <c r="A877" t="s">
        <v>1401</v>
      </c>
      <c r="B877" s="1">
        <v>45978</v>
      </c>
      <c r="C877" t="s">
        <v>968</v>
      </c>
      <c r="D877" t="s">
        <v>969</v>
      </c>
      <c r="E877" t="s">
        <v>56</v>
      </c>
      <c r="F877" t="s">
        <v>57</v>
      </c>
      <c r="G877" t="s">
        <v>26</v>
      </c>
      <c r="H877">
        <v>6</v>
      </c>
      <c r="I877">
        <v>34200</v>
      </c>
      <c r="J877">
        <v>0.05</v>
      </c>
      <c r="K877">
        <v>7609.33</v>
      </c>
    </row>
    <row r="878" spans="1:11" x14ac:dyDescent="0.3">
      <c r="A878" t="s">
        <v>1402</v>
      </c>
      <c r="B878" s="1">
        <v>45673</v>
      </c>
      <c r="C878" t="s">
        <v>463</v>
      </c>
      <c r="D878" t="s">
        <v>464</v>
      </c>
      <c r="E878" t="s">
        <v>42</v>
      </c>
      <c r="F878" t="s">
        <v>15</v>
      </c>
      <c r="G878" t="s">
        <v>34</v>
      </c>
      <c r="H878">
        <v>5</v>
      </c>
      <c r="I878">
        <v>110400</v>
      </c>
      <c r="J878">
        <v>0.08</v>
      </c>
      <c r="K878">
        <v>24276.55</v>
      </c>
    </row>
    <row r="879" spans="1:11" x14ac:dyDescent="0.3">
      <c r="A879" t="s">
        <v>1403</v>
      </c>
      <c r="B879" s="1">
        <v>45994</v>
      </c>
      <c r="C879" t="s">
        <v>208</v>
      </c>
      <c r="D879" t="s">
        <v>209</v>
      </c>
      <c r="E879" t="s">
        <v>180</v>
      </c>
      <c r="F879" t="s">
        <v>15</v>
      </c>
      <c r="G879" t="s">
        <v>43</v>
      </c>
      <c r="H879">
        <v>6</v>
      </c>
      <c r="I879">
        <v>16560</v>
      </c>
      <c r="J879">
        <v>0.08</v>
      </c>
      <c r="K879">
        <v>5051.7700000000004</v>
      </c>
    </row>
    <row r="880" spans="1:11" x14ac:dyDescent="0.3">
      <c r="A880" t="s">
        <v>1404</v>
      </c>
      <c r="B880" s="1">
        <v>45781</v>
      </c>
      <c r="C880" t="s">
        <v>225</v>
      </c>
      <c r="D880" t="s">
        <v>226</v>
      </c>
      <c r="E880" t="s">
        <v>158</v>
      </c>
      <c r="F880" t="s">
        <v>25</v>
      </c>
      <c r="G880" t="s">
        <v>43</v>
      </c>
      <c r="H880">
        <v>4</v>
      </c>
      <c r="I880">
        <v>2944</v>
      </c>
      <c r="J880">
        <v>0.08</v>
      </c>
      <c r="K880">
        <v>911.66</v>
      </c>
    </row>
    <row r="881" spans="1:11" x14ac:dyDescent="0.3">
      <c r="A881" t="s">
        <v>1405</v>
      </c>
      <c r="B881" s="1">
        <v>45935</v>
      </c>
      <c r="C881" t="s">
        <v>612</v>
      </c>
      <c r="D881" t="s">
        <v>613</v>
      </c>
      <c r="E881" t="s">
        <v>115</v>
      </c>
      <c r="F881" t="s">
        <v>25</v>
      </c>
      <c r="G881" t="s">
        <v>16</v>
      </c>
      <c r="H881">
        <v>6</v>
      </c>
      <c r="I881">
        <v>1656</v>
      </c>
      <c r="J881">
        <v>0.08</v>
      </c>
      <c r="K881">
        <v>504.65</v>
      </c>
    </row>
    <row r="882" spans="1:11" x14ac:dyDescent="0.3">
      <c r="A882" t="s">
        <v>1406</v>
      </c>
      <c r="B882" s="1">
        <v>45728</v>
      </c>
      <c r="C882" t="s">
        <v>150</v>
      </c>
      <c r="D882" t="s">
        <v>151</v>
      </c>
      <c r="E882" t="s">
        <v>47</v>
      </c>
      <c r="F882" t="s">
        <v>15</v>
      </c>
      <c r="G882" t="s">
        <v>26</v>
      </c>
      <c r="H882">
        <v>4</v>
      </c>
      <c r="I882">
        <v>20800</v>
      </c>
      <c r="J882">
        <v>0.2</v>
      </c>
      <c r="K882">
        <v>3741.09</v>
      </c>
    </row>
    <row r="883" spans="1:11" x14ac:dyDescent="0.3">
      <c r="A883" t="s">
        <v>1407</v>
      </c>
      <c r="B883" s="1">
        <v>45732</v>
      </c>
      <c r="C883" t="s">
        <v>375</v>
      </c>
      <c r="D883" t="s">
        <v>376</v>
      </c>
      <c r="E883" t="s">
        <v>180</v>
      </c>
      <c r="F883" t="s">
        <v>15</v>
      </c>
      <c r="G883" t="s">
        <v>26</v>
      </c>
      <c r="H883">
        <v>7</v>
      </c>
      <c r="I883">
        <v>16800</v>
      </c>
      <c r="J883">
        <v>0.2</v>
      </c>
      <c r="K883">
        <v>5424.98</v>
      </c>
    </row>
    <row r="884" spans="1:11" x14ac:dyDescent="0.3">
      <c r="A884" t="s">
        <v>1408</v>
      </c>
      <c r="B884" s="1">
        <v>45943</v>
      </c>
      <c r="C884" t="s">
        <v>629</v>
      </c>
      <c r="D884" t="s">
        <v>630</v>
      </c>
      <c r="E884" t="s">
        <v>33</v>
      </c>
      <c r="F884" t="s">
        <v>15</v>
      </c>
      <c r="G884" t="s">
        <v>20</v>
      </c>
      <c r="H884">
        <v>6</v>
      </c>
      <c r="I884">
        <v>10800</v>
      </c>
      <c r="J884">
        <v>0</v>
      </c>
      <c r="K884">
        <v>3618.99</v>
      </c>
    </row>
    <row r="885" spans="1:11" x14ac:dyDescent="0.3">
      <c r="A885" t="s">
        <v>1409</v>
      </c>
      <c r="B885" s="1">
        <v>45673</v>
      </c>
      <c r="C885" t="s">
        <v>641</v>
      </c>
      <c r="D885" t="s">
        <v>642</v>
      </c>
      <c r="E885" t="s">
        <v>64</v>
      </c>
      <c r="F885" t="s">
        <v>57</v>
      </c>
      <c r="G885" t="s">
        <v>43</v>
      </c>
      <c r="H885">
        <v>3</v>
      </c>
      <c r="I885">
        <v>20400</v>
      </c>
      <c r="J885">
        <v>0.15</v>
      </c>
      <c r="K885">
        <v>4616.84</v>
      </c>
    </row>
    <row r="886" spans="1:11" x14ac:dyDescent="0.3">
      <c r="A886" t="s">
        <v>1410</v>
      </c>
      <c r="B886" s="1">
        <v>45984</v>
      </c>
      <c r="C886" t="s">
        <v>424</v>
      </c>
      <c r="D886" t="s">
        <v>425</v>
      </c>
      <c r="E886" t="s">
        <v>200</v>
      </c>
      <c r="F886" t="s">
        <v>57</v>
      </c>
      <c r="G886" t="s">
        <v>34</v>
      </c>
      <c r="H886">
        <v>5</v>
      </c>
      <c r="I886">
        <v>8280</v>
      </c>
      <c r="J886">
        <v>0.08</v>
      </c>
      <c r="K886">
        <v>2423.3000000000002</v>
      </c>
    </row>
    <row r="887" spans="1:11" x14ac:dyDescent="0.3">
      <c r="A887" t="s">
        <v>1411</v>
      </c>
      <c r="B887" s="1">
        <v>45752</v>
      </c>
      <c r="C887" t="s">
        <v>359</v>
      </c>
      <c r="D887" t="s">
        <v>360</v>
      </c>
      <c r="E887" t="s">
        <v>51</v>
      </c>
      <c r="F887" t="s">
        <v>15</v>
      </c>
      <c r="G887" t="s">
        <v>26</v>
      </c>
      <c r="H887">
        <v>2</v>
      </c>
      <c r="I887">
        <v>1764</v>
      </c>
      <c r="J887">
        <v>0.02</v>
      </c>
      <c r="K887">
        <v>539.52</v>
      </c>
    </row>
    <row r="888" spans="1:11" x14ac:dyDescent="0.3">
      <c r="A888" t="s">
        <v>1412</v>
      </c>
      <c r="B888" s="1">
        <v>45776</v>
      </c>
      <c r="C888" t="s">
        <v>320</v>
      </c>
      <c r="D888" t="s">
        <v>321</v>
      </c>
      <c r="E888" t="s">
        <v>76</v>
      </c>
      <c r="F888" t="s">
        <v>25</v>
      </c>
      <c r="G888" t="s">
        <v>20</v>
      </c>
      <c r="H888">
        <v>4</v>
      </c>
      <c r="I888">
        <v>1800</v>
      </c>
      <c r="J888">
        <v>0.1</v>
      </c>
      <c r="K888">
        <v>499.17</v>
      </c>
    </row>
    <row r="889" spans="1:11" x14ac:dyDescent="0.3">
      <c r="A889" t="s">
        <v>1413</v>
      </c>
      <c r="B889" s="1">
        <v>45915</v>
      </c>
      <c r="C889" t="s">
        <v>1115</v>
      </c>
      <c r="D889" t="s">
        <v>1116</v>
      </c>
      <c r="E889" t="s">
        <v>38</v>
      </c>
      <c r="F889" t="s">
        <v>15</v>
      </c>
      <c r="G889" t="s">
        <v>43</v>
      </c>
      <c r="H889">
        <v>8</v>
      </c>
      <c r="I889">
        <v>219520</v>
      </c>
      <c r="J889">
        <v>0.02</v>
      </c>
      <c r="K889">
        <v>37093.760000000002</v>
      </c>
    </row>
    <row r="890" spans="1:11" x14ac:dyDescent="0.3">
      <c r="A890" t="s">
        <v>1414</v>
      </c>
      <c r="B890" s="1">
        <v>45856</v>
      </c>
      <c r="C890" t="s">
        <v>113</v>
      </c>
      <c r="D890" t="s">
        <v>114</v>
      </c>
      <c r="E890" t="s">
        <v>56</v>
      </c>
      <c r="F890" t="s">
        <v>57</v>
      </c>
      <c r="G890" t="s">
        <v>16</v>
      </c>
      <c r="H890">
        <v>3</v>
      </c>
      <c r="I890">
        <v>14400</v>
      </c>
      <c r="J890">
        <v>0.2</v>
      </c>
      <c r="K890">
        <v>3144.25</v>
      </c>
    </row>
    <row r="891" spans="1:11" x14ac:dyDescent="0.3">
      <c r="A891" t="s">
        <v>1415</v>
      </c>
      <c r="B891" s="1">
        <v>45867</v>
      </c>
      <c r="C891" t="s">
        <v>54</v>
      </c>
      <c r="D891" t="s">
        <v>55</v>
      </c>
      <c r="E891" t="s">
        <v>51</v>
      </c>
      <c r="F891" t="s">
        <v>15</v>
      </c>
      <c r="G891" t="s">
        <v>20</v>
      </c>
      <c r="H891">
        <v>4</v>
      </c>
      <c r="I891">
        <v>3600</v>
      </c>
      <c r="J891">
        <v>0</v>
      </c>
      <c r="K891">
        <v>1250.79</v>
      </c>
    </row>
    <row r="892" spans="1:11" x14ac:dyDescent="0.3">
      <c r="A892" t="s">
        <v>1416</v>
      </c>
      <c r="B892" s="1">
        <v>46001</v>
      </c>
      <c r="C892" t="s">
        <v>1246</v>
      </c>
      <c r="D892" t="s">
        <v>1247</v>
      </c>
      <c r="E892" t="s">
        <v>76</v>
      </c>
      <c r="F892" t="s">
        <v>25</v>
      </c>
      <c r="G892" t="s">
        <v>16</v>
      </c>
      <c r="H892">
        <v>7</v>
      </c>
      <c r="I892">
        <v>3430</v>
      </c>
      <c r="J892">
        <v>0.02</v>
      </c>
      <c r="K892">
        <v>1105.77</v>
      </c>
    </row>
    <row r="893" spans="1:11" x14ac:dyDescent="0.3">
      <c r="A893" t="s">
        <v>1417</v>
      </c>
      <c r="B893" s="1">
        <v>45973</v>
      </c>
      <c r="C893" t="s">
        <v>270</v>
      </c>
      <c r="D893" t="s">
        <v>271</v>
      </c>
      <c r="E893" t="s">
        <v>33</v>
      </c>
      <c r="F893" t="s">
        <v>15</v>
      </c>
      <c r="G893" t="s">
        <v>34</v>
      </c>
      <c r="H893">
        <v>8</v>
      </c>
      <c r="I893">
        <v>11520</v>
      </c>
      <c r="J893">
        <v>0.2</v>
      </c>
      <c r="K893">
        <v>3592.28</v>
      </c>
    </row>
    <row r="894" spans="1:11" x14ac:dyDescent="0.3">
      <c r="A894" t="s">
        <v>1418</v>
      </c>
      <c r="B894" s="1">
        <v>45865</v>
      </c>
      <c r="C894" t="s">
        <v>393</v>
      </c>
      <c r="D894" t="s">
        <v>394</v>
      </c>
      <c r="E894" t="s">
        <v>71</v>
      </c>
      <c r="F894" t="s">
        <v>72</v>
      </c>
      <c r="G894" t="s">
        <v>26</v>
      </c>
      <c r="H894">
        <v>4</v>
      </c>
      <c r="I894">
        <v>8096</v>
      </c>
      <c r="J894">
        <v>0.08</v>
      </c>
      <c r="K894">
        <v>2643.74</v>
      </c>
    </row>
    <row r="895" spans="1:11" x14ac:dyDescent="0.3">
      <c r="A895" t="s">
        <v>1419</v>
      </c>
      <c r="B895" s="1">
        <v>45971</v>
      </c>
      <c r="C895" t="s">
        <v>18</v>
      </c>
      <c r="D895" t="s">
        <v>19</v>
      </c>
      <c r="E895" t="s">
        <v>223</v>
      </c>
      <c r="F895" t="s">
        <v>57</v>
      </c>
      <c r="G895" t="s">
        <v>26</v>
      </c>
      <c r="H895">
        <v>6</v>
      </c>
      <c r="I895">
        <v>38640</v>
      </c>
      <c r="J895">
        <v>0.08</v>
      </c>
      <c r="K895">
        <v>9314.52</v>
      </c>
    </row>
    <row r="896" spans="1:11" x14ac:dyDescent="0.3">
      <c r="A896" t="s">
        <v>1420</v>
      </c>
      <c r="B896" s="1">
        <v>45713</v>
      </c>
      <c r="C896" t="s">
        <v>378</v>
      </c>
      <c r="D896" t="s">
        <v>379</v>
      </c>
      <c r="E896" t="s">
        <v>47</v>
      </c>
      <c r="F896" t="s">
        <v>15</v>
      </c>
      <c r="G896" t="s">
        <v>20</v>
      </c>
      <c r="H896">
        <v>1</v>
      </c>
      <c r="I896">
        <v>5850</v>
      </c>
      <c r="J896">
        <v>0.1</v>
      </c>
      <c r="K896">
        <v>1127.43</v>
      </c>
    </row>
    <row r="897" spans="1:11" x14ac:dyDescent="0.3">
      <c r="A897" t="s">
        <v>1421</v>
      </c>
      <c r="B897" s="1">
        <v>45678</v>
      </c>
      <c r="C897" t="s">
        <v>1219</v>
      </c>
      <c r="D897" t="s">
        <v>1220</v>
      </c>
      <c r="E897" t="s">
        <v>24</v>
      </c>
      <c r="F897" t="s">
        <v>25</v>
      </c>
      <c r="G897" t="s">
        <v>26</v>
      </c>
      <c r="H897">
        <v>7</v>
      </c>
      <c r="I897">
        <v>71400</v>
      </c>
      <c r="J897">
        <v>0.15</v>
      </c>
      <c r="K897">
        <v>14380.31</v>
      </c>
    </row>
    <row r="898" spans="1:11" x14ac:dyDescent="0.3">
      <c r="A898" t="s">
        <v>1422</v>
      </c>
      <c r="B898" s="1">
        <v>45883</v>
      </c>
      <c r="C898" t="s">
        <v>1098</v>
      </c>
      <c r="D898" t="s">
        <v>1099</v>
      </c>
      <c r="E898" t="s">
        <v>42</v>
      </c>
      <c r="F898" t="s">
        <v>15</v>
      </c>
      <c r="G898" t="s">
        <v>34</v>
      </c>
      <c r="H898">
        <v>4</v>
      </c>
      <c r="I898">
        <v>91200</v>
      </c>
      <c r="J898">
        <v>0.05</v>
      </c>
      <c r="K898">
        <v>18423.73</v>
      </c>
    </row>
    <row r="899" spans="1:11" x14ac:dyDescent="0.3">
      <c r="A899" t="s">
        <v>1423</v>
      </c>
      <c r="B899" s="1">
        <v>45874</v>
      </c>
      <c r="C899" t="s">
        <v>466</v>
      </c>
      <c r="D899" t="s">
        <v>467</v>
      </c>
      <c r="E899" t="s">
        <v>115</v>
      </c>
      <c r="F899" t="s">
        <v>25</v>
      </c>
      <c r="G899" t="s">
        <v>20</v>
      </c>
      <c r="H899">
        <v>8</v>
      </c>
      <c r="I899">
        <v>2352</v>
      </c>
      <c r="J899">
        <v>0.02</v>
      </c>
      <c r="K899">
        <v>753.69</v>
      </c>
    </row>
    <row r="900" spans="1:11" x14ac:dyDescent="0.3">
      <c r="A900" t="s">
        <v>1424</v>
      </c>
      <c r="B900" s="1">
        <v>45988</v>
      </c>
      <c r="C900" t="s">
        <v>744</v>
      </c>
      <c r="D900" t="s">
        <v>745</v>
      </c>
      <c r="E900" t="s">
        <v>87</v>
      </c>
      <c r="F900" t="s">
        <v>15</v>
      </c>
      <c r="G900" t="s">
        <v>26</v>
      </c>
      <c r="H900">
        <v>3</v>
      </c>
      <c r="I900">
        <v>3312</v>
      </c>
      <c r="J900">
        <v>0.08</v>
      </c>
      <c r="K900">
        <v>936.89</v>
      </c>
    </row>
    <row r="901" spans="1:11" x14ac:dyDescent="0.3">
      <c r="A901" t="s">
        <v>1425</v>
      </c>
      <c r="B901" s="1">
        <v>45869</v>
      </c>
      <c r="C901" t="s">
        <v>511</v>
      </c>
      <c r="D901" t="s">
        <v>512</v>
      </c>
      <c r="E901" t="s">
        <v>33</v>
      </c>
      <c r="F901" t="s">
        <v>15</v>
      </c>
      <c r="G901" t="s">
        <v>20</v>
      </c>
      <c r="H901">
        <v>3</v>
      </c>
      <c r="I901">
        <v>4968</v>
      </c>
      <c r="J901">
        <v>0.08</v>
      </c>
      <c r="K901">
        <v>1569.16</v>
      </c>
    </row>
    <row r="902" spans="1:11" x14ac:dyDescent="0.3">
      <c r="A902" t="s">
        <v>1426</v>
      </c>
      <c r="B902" s="1">
        <v>45704</v>
      </c>
      <c r="C902" t="s">
        <v>350</v>
      </c>
      <c r="D902" t="s">
        <v>351</v>
      </c>
      <c r="E902" t="s">
        <v>71</v>
      </c>
      <c r="F902" t="s">
        <v>72</v>
      </c>
      <c r="G902" t="s">
        <v>16</v>
      </c>
      <c r="H902">
        <v>4</v>
      </c>
      <c r="I902">
        <v>8096</v>
      </c>
      <c r="J902">
        <v>0.08</v>
      </c>
      <c r="K902">
        <v>2408.04</v>
      </c>
    </row>
    <row r="903" spans="1:11" x14ac:dyDescent="0.3">
      <c r="A903" t="s">
        <v>1427</v>
      </c>
      <c r="B903" s="1">
        <v>46019</v>
      </c>
      <c r="C903" t="s">
        <v>1428</v>
      </c>
      <c r="D903" t="s">
        <v>1429</v>
      </c>
      <c r="E903" t="s">
        <v>14</v>
      </c>
      <c r="F903" t="s">
        <v>15</v>
      </c>
      <c r="G903" t="s">
        <v>34</v>
      </c>
      <c r="H903">
        <v>2</v>
      </c>
      <c r="I903">
        <v>36000</v>
      </c>
      <c r="J903">
        <v>0</v>
      </c>
      <c r="K903">
        <v>6943.33</v>
      </c>
    </row>
    <row r="904" spans="1:11" x14ac:dyDescent="0.3">
      <c r="A904" t="s">
        <v>1430</v>
      </c>
      <c r="B904" s="1">
        <v>45919</v>
      </c>
      <c r="C904" t="s">
        <v>621</v>
      </c>
      <c r="D904" t="s">
        <v>622</v>
      </c>
      <c r="E904" t="s">
        <v>87</v>
      </c>
      <c r="F904" t="s">
        <v>15</v>
      </c>
      <c r="G904" t="s">
        <v>16</v>
      </c>
      <c r="H904">
        <v>7</v>
      </c>
      <c r="I904">
        <v>7140</v>
      </c>
      <c r="J904">
        <v>0.15</v>
      </c>
      <c r="K904">
        <v>2034.56</v>
      </c>
    </row>
    <row r="905" spans="1:11" x14ac:dyDescent="0.3">
      <c r="A905" t="s">
        <v>1431</v>
      </c>
      <c r="B905" s="1">
        <v>45745</v>
      </c>
      <c r="C905" t="s">
        <v>799</v>
      </c>
      <c r="D905" t="s">
        <v>800</v>
      </c>
      <c r="E905" t="s">
        <v>47</v>
      </c>
      <c r="F905" t="s">
        <v>15</v>
      </c>
      <c r="G905" t="s">
        <v>26</v>
      </c>
      <c r="H905">
        <v>7</v>
      </c>
      <c r="I905">
        <v>45500</v>
      </c>
      <c r="J905">
        <v>0</v>
      </c>
      <c r="K905">
        <v>9700.24</v>
      </c>
    </row>
    <row r="906" spans="1:11" x14ac:dyDescent="0.3">
      <c r="A906" t="s">
        <v>1432</v>
      </c>
      <c r="B906" s="1">
        <v>45732</v>
      </c>
      <c r="C906" t="s">
        <v>427</v>
      </c>
      <c r="D906" t="s">
        <v>428</v>
      </c>
      <c r="E906" t="s">
        <v>180</v>
      </c>
      <c r="F906" t="s">
        <v>15</v>
      </c>
      <c r="G906" t="s">
        <v>20</v>
      </c>
      <c r="H906">
        <v>3</v>
      </c>
      <c r="I906">
        <v>7200</v>
      </c>
      <c r="J906">
        <v>0.2</v>
      </c>
      <c r="K906">
        <v>2095.86</v>
      </c>
    </row>
    <row r="907" spans="1:11" x14ac:dyDescent="0.3">
      <c r="A907" t="s">
        <v>1433</v>
      </c>
      <c r="B907" s="1">
        <v>45886</v>
      </c>
      <c r="C907" t="s">
        <v>28</v>
      </c>
      <c r="D907" t="s">
        <v>29</v>
      </c>
      <c r="E907" t="s">
        <v>115</v>
      </c>
      <c r="F907" t="s">
        <v>25</v>
      </c>
      <c r="G907" t="s">
        <v>16</v>
      </c>
      <c r="H907">
        <v>5</v>
      </c>
      <c r="I907">
        <v>1275</v>
      </c>
      <c r="J907">
        <v>0.15</v>
      </c>
      <c r="K907">
        <v>389.35</v>
      </c>
    </row>
    <row r="908" spans="1:11" x14ac:dyDescent="0.3">
      <c r="A908" t="s">
        <v>1434</v>
      </c>
      <c r="B908" s="1">
        <v>45976</v>
      </c>
      <c r="C908" t="s">
        <v>979</v>
      </c>
      <c r="D908" t="s">
        <v>980</v>
      </c>
      <c r="E908" t="s">
        <v>180</v>
      </c>
      <c r="F908" t="s">
        <v>15</v>
      </c>
      <c r="G908" t="s">
        <v>20</v>
      </c>
      <c r="H908">
        <v>4</v>
      </c>
      <c r="I908">
        <v>12000</v>
      </c>
      <c r="J908">
        <v>0</v>
      </c>
      <c r="K908">
        <v>4169.8500000000004</v>
      </c>
    </row>
    <row r="909" spans="1:11" x14ac:dyDescent="0.3">
      <c r="A909" t="s">
        <v>1435</v>
      </c>
      <c r="B909" s="1">
        <v>45660</v>
      </c>
      <c r="C909" t="s">
        <v>806</v>
      </c>
      <c r="D909" t="s">
        <v>807</v>
      </c>
      <c r="E909" t="s">
        <v>80</v>
      </c>
      <c r="F909" t="s">
        <v>15</v>
      </c>
      <c r="G909" t="s">
        <v>43</v>
      </c>
      <c r="H909">
        <v>8</v>
      </c>
      <c r="I909">
        <v>25200</v>
      </c>
      <c r="J909">
        <v>0.1</v>
      </c>
      <c r="K909">
        <v>6424.4</v>
      </c>
    </row>
    <row r="910" spans="1:11" x14ac:dyDescent="0.3">
      <c r="A910" t="s">
        <v>1436</v>
      </c>
      <c r="B910" s="1">
        <v>45867</v>
      </c>
      <c r="C910" t="s">
        <v>439</v>
      </c>
      <c r="D910" t="s">
        <v>440</v>
      </c>
      <c r="E910" t="s">
        <v>51</v>
      </c>
      <c r="F910" t="s">
        <v>15</v>
      </c>
      <c r="G910" t="s">
        <v>26</v>
      </c>
      <c r="H910">
        <v>8</v>
      </c>
      <c r="I910">
        <v>6624</v>
      </c>
      <c r="J910">
        <v>0.08</v>
      </c>
      <c r="K910">
        <v>2137.6799999999998</v>
      </c>
    </row>
    <row r="911" spans="1:11" x14ac:dyDescent="0.3">
      <c r="A911" t="s">
        <v>1437</v>
      </c>
      <c r="B911" s="1">
        <v>45800</v>
      </c>
      <c r="C911" t="s">
        <v>382</v>
      </c>
      <c r="D911" t="s">
        <v>383</v>
      </c>
      <c r="E911" t="s">
        <v>210</v>
      </c>
      <c r="F911" t="s">
        <v>15</v>
      </c>
      <c r="G911" t="s">
        <v>26</v>
      </c>
      <c r="H911">
        <v>4</v>
      </c>
      <c r="I911">
        <v>198000</v>
      </c>
      <c r="J911">
        <v>0.1</v>
      </c>
      <c r="K911">
        <v>32189.85</v>
      </c>
    </row>
    <row r="912" spans="1:11" x14ac:dyDescent="0.3">
      <c r="A912" t="s">
        <v>1438</v>
      </c>
      <c r="B912" s="1">
        <v>45733</v>
      </c>
      <c r="C912" t="s">
        <v>617</v>
      </c>
      <c r="D912" t="s">
        <v>618</v>
      </c>
      <c r="E912" t="s">
        <v>51</v>
      </c>
      <c r="F912" t="s">
        <v>15</v>
      </c>
      <c r="G912" t="s">
        <v>34</v>
      </c>
      <c r="H912">
        <v>1</v>
      </c>
      <c r="I912">
        <v>882</v>
      </c>
      <c r="J912">
        <v>0.02</v>
      </c>
      <c r="K912">
        <v>271.14</v>
      </c>
    </row>
    <row r="913" spans="1:11" x14ac:dyDescent="0.3">
      <c r="A913" t="s">
        <v>1439</v>
      </c>
      <c r="B913" s="1">
        <v>45953</v>
      </c>
      <c r="C913" t="s">
        <v>218</v>
      </c>
      <c r="D913" t="s">
        <v>219</v>
      </c>
      <c r="E913" t="s">
        <v>180</v>
      </c>
      <c r="F913" t="s">
        <v>15</v>
      </c>
      <c r="G913" t="s">
        <v>34</v>
      </c>
      <c r="H913">
        <v>1</v>
      </c>
      <c r="I913">
        <v>2550</v>
      </c>
      <c r="J913">
        <v>0.15</v>
      </c>
      <c r="K913">
        <v>866.58</v>
      </c>
    </row>
    <row r="914" spans="1:11" x14ac:dyDescent="0.3">
      <c r="A914" t="s">
        <v>1440</v>
      </c>
      <c r="B914" s="1">
        <v>45871</v>
      </c>
      <c r="C914" t="s">
        <v>215</v>
      </c>
      <c r="D914" t="s">
        <v>216</v>
      </c>
      <c r="E914" t="s">
        <v>38</v>
      </c>
      <c r="F914" t="s">
        <v>15</v>
      </c>
      <c r="G914" t="s">
        <v>16</v>
      </c>
      <c r="H914">
        <v>1</v>
      </c>
      <c r="I914">
        <v>28000</v>
      </c>
      <c r="J914">
        <v>0</v>
      </c>
      <c r="K914">
        <v>4855.49</v>
      </c>
    </row>
    <row r="915" spans="1:11" x14ac:dyDescent="0.3">
      <c r="A915" t="s">
        <v>1441</v>
      </c>
      <c r="B915" s="1">
        <v>45954</v>
      </c>
      <c r="C915" t="s">
        <v>133</v>
      </c>
      <c r="D915" t="s">
        <v>134</v>
      </c>
      <c r="E915" t="s">
        <v>115</v>
      </c>
      <c r="F915" t="s">
        <v>25</v>
      </c>
      <c r="G915" t="s">
        <v>20</v>
      </c>
      <c r="H915">
        <v>3</v>
      </c>
      <c r="I915">
        <v>828</v>
      </c>
      <c r="J915">
        <v>0.08</v>
      </c>
      <c r="K915">
        <v>263.29000000000002</v>
      </c>
    </row>
    <row r="916" spans="1:11" x14ac:dyDescent="0.3">
      <c r="A916" t="s">
        <v>1442</v>
      </c>
      <c r="B916" s="1">
        <v>45852</v>
      </c>
      <c r="C916" t="s">
        <v>244</v>
      </c>
      <c r="D916" t="s">
        <v>245</v>
      </c>
      <c r="E916" t="s">
        <v>115</v>
      </c>
      <c r="F916" t="s">
        <v>25</v>
      </c>
      <c r="G916" t="s">
        <v>43</v>
      </c>
      <c r="H916">
        <v>6</v>
      </c>
      <c r="I916">
        <v>1710</v>
      </c>
      <c r="J916">
        <v>0.05</v>
      </c>
      <c r="K916">
        <v>593.25</v>
      </c>
    </row>
    <row r="917" spans="1:11" x14ac:dyDescent="0.3">
      <c r="A917" t="s">
        <v>1443</v>
      </c>
      <c r="B917" s="1">
        <v>45899</v>
      </c>
      <c r="C917" t="s">
        <v>265</v>
      </c>
      <c r="D917" t="s">
        <v>266</v>
      </c>
      <c r="E917" t="s">
        <v>47</v>
      </c>
      <c r="F917" t="s">
        <v>15</v>
      </c>
      <c r="G917" t="s">
        <v>34</v>
      </c>
      <c r="H917">
        <v>2</v>
      </c>
      <c r="I917">
        <v>12350</v>
      </c>
      <c r="J917">
        <v>0.05</v>
      </c>
      <c r="K917">
        <v>2285.4699999999998</v>
      </c>
    </row>
    <row r="918" spans="1:11" x14ac:dyDescent="0.3">
      <c r="A918" t="s">
        <v>1444</v>
      </c>
      <c r="B918" s="1">
        <v>45765</v>
      </c>
      <c r="C918" t="s">
        <v>215</v>
      </c>
      <c r="D918" t="s">
        <v>216</v>
      </c>
      <c r="E918" t="s">
        <v>87</v>
      </c>
      <c r="F918" t="s">
        <v>15</v>
      </c>
      <c r="G918" t="s">
        <v>26</v>
      </c>
      <c r="H918">
        <v>7</v>
      </c>
      <c r="I918">
        <v>7560</v>
      </c>
      <c r="J918">
        <v>0.1</v>
      </c>
      <c r="K918">
        <v>2220.52</v>
      </c>
    </row>
    <row r="919" spans="1:11" x14ac:dyDescent="0.3">
      <c r="A919" t="s">
        <v>1445</v>
      </c>
      <c r="B919" s="1">
        <v>46010</v>
      </c>
      <c r="C919" t="s">
        <v>1446</v>
      </c>
      <c r="D919" t="s">
        <v>1447</v>
      </c>
      <c r="E919" t="s">
        <v>14</v>
      </c>
      <c r="F919" t="s">
        <v>15</v>
      </c>
      <c r="G919" t="s">
        <v>34</v>
      </c>
      <c r="H919">
        <v>2</v>
      </c>
      <c r="I919">
        <v>33120</v>
      </c>
      <c r="J919">
        <v>0.08</v>
      </c>
      <c r="K919">
        <v>6417.35</v>
      </c>
    </row>
    <row r="920" spans="1:11" x14ac:dyDescent="0.3">
      <c r="A920" t="s">
        <v>1448</v>
      </c>
      <c r="B920" s="1">
        <v>45927</v>
      </c>
      <c r="C920" t="s">
        <v>262</v>
      </c>
      <c r="D920" t="s">
        <v>263</v>
      </c>
      <c r="E920" t="s">
        <v>158</v>
      </c>
      <c r="F920" t="s">
        <v>25</v>
      </c>
      <c r="G920" t="s">
        <v>26</v>
      </c>
      <c r="H920">
        <v>6</v>
      </c>
      <c r="I920">
        <v>4560</v>
      </c>
      <c r="J920">
        <v>0.05</v>
      </c>
      <c r="K920">
        <v>1424.28</v>
      </c>
    </row>
    <row r="921" spans="1:11" x14ac:dyDescent="0.3">
      <c r="A921" t="s">
        <v>1449</v>
      </c>
      <c r="B921" s="1">
        <v>45981</v>
      </c>
      <c r="C921" t="s">
        <v>907</v>
      </c>
      <c r="D921" t="s">
        <v>908</v>
      </c>
      <c r="E921" t="s">
        <v>180</v>
      </c>
      <c r="F921" t="s">
        <v>15</v>
      </c>
      <c r="G921" t="s">
        <v>16</v>
      </c>
      <c r="H921">
        <v>8</v>
      </c>
      <c r="I921">
        <v>21600</v>
      </c>
      <c r="J921">
        <v>0.1</v>
      </c>
      <c r="K921">
        <v>6997.11</v>
      </c>
    </row>
    <row r="922" spans="1:11" x14ac:dyDescent="0.3">
      <c r="A922" t="s">
        <v>1450</v>
      </c>
      <c r="B922" s="1">
        <v>45806</v>
      </c>
      <c r="C922" t="s">
        <v>651</v>
      </c>
      <c r="D922" t="s">
        <v>652</v>
      </c>
      <c r="E922" t="s">
        <v>158</v>
      </c>
      <c r="F922" t="s">
        <v>25</v>
      </c>
      <c r="G922" t="s">
        <v>20</v>
      </c>
      <c r="H922">
        <v>4</v>
      </c>
      <c r="I922">
        <v>2720</v>
      </c>
      <c r="J922">
        <v>0.15</v>
      </c>
      <c r="K922">
        <v>889.18</v>
      </c>
    </row>
    <row r="923" spans="1:11" x14ac:dyDescent="0.3">
      <c r="A923" t="s">
        <v>1451</v>
      </c>
      <c r="B923" s="1">
        <v>45718</v>
      </c>
      <c r="C923" t="s">
        <v>979</v>
      </c>
      <c r="D923" t="s">
        <v>980</v>
      </c>
      <c r="E923" t="s">
        <v>210</v>
      </c>
      <c r="F923" t="s">
        <v>15</v>
      </c>
      <c r="G923" t="s">
        <v>16</v>
      </c>
      <c r="H923">
        <v>8</v>
      </c>
      <c r="I923">
        <v>374000</v>
      </c>
      <c r="J923">
        <v>0.15</v>
      </c>
      <c r="K923">
        <v>61235.64</v>
      </c>
    </row>
    <row r="924" spans="1:11" x14ac:dyDescent="0.3">
      <c r="A924" t="s">
        <v>1452</v>
      </c>
      <c r="B924" s="1">
        <v>45681</v>
      </c>
      <c r="C924" t="s">
        <v>1137</v>
      </c>
      <c r="D924" t="s">
        <v>1138</v>
      </c>
      <c r="E924" t="s">
        <v>158</v>
      </c>
      <c r="F924" t="s">
        <v>25</v>
      </c>
      <c r="G924" t="s">
        <v>26</v>
      </c>
      <c r="H924">
        <v>7</v>
      </c>
      <c r="I924">
        <v>5152</v>
      </c>
      <c r="J924">
        <v>0.08</v>
      </c>
      <c r="K924">
        <v>1528.46</v>
      </c>
    </row>
    <row r="925" spans="1:11" x14ac:dyDescent="0.3">
      <c r="A925" t="s">
        <v>1453</v>
      </c>
      <c r="B925" s="1">
        <v>45761</v>
      </c>
      <c r="C925" t="s">
        <v>843</v>
      </c>
      <c r="D925" t="s">
        <v>844</v>
      </c>
      <c r="E925" t="s">
        <v>51</v>
      </c>
      <c r="F925" t="s">
        <v>15</v>
      </c>
      <c r="G925" t="s">
        <v>34</v>
      </c>
      <c r="H925">
        <v>1</v>
      </c>
      <c r="I925">
        <v>765</v>
      </c>
      <c r="J925">
        <v>0.15</v>
      </c>
      <c r="K925">
        <v>252.87</v>
      </c>
    </row>
    <row r="926" spans="1:11" x14ac:dyDescent="0.3">
      <c r="A926" t="s">
        <v>1454</v>
      </c>
      <c r="B926" s="1">
        <v>45917</v>
      </c>
      <c r="C926" t="s">
        <v>769</v>
      </c>
      <c r="D926" t="s">
        <v>770</v>
      </c>
      <c r="E926" t="s">
        <v>38</v>
      </c>
      <c r="F926" t="s">
        <v>15</v>
      </c>
      <c r="G926" t="s">
        <v>20</v>
      </c>
      <c r="H926">
        <v>5</v>
      </c>
      <c r="I926">
        <v>133000</v>
      </c>
      <c r="J926">
        <v>0.05</v>
      </c>
      <c r="K926">
        <v>21273.73</v>
      </c>
    </row>
    <row r="927" spans="1:11" x14ac:dyDescent="0.3">
      <c r="A927" t="s">
        <v>1455</v>
      </c>
      <c r="B927" s="1">
        <v>45949</v>
      </c>
      <c r="C927" t="s">
        <v>221</v>
      </c>
      <c r="D927" t="s">
        <v>222</v>
      </c>
      <c r="E927" t="s">
        <v>64</v>
      </c>
      <c r="F927" t="s">
        <v>57</v>
      </c>
      <c r="G927" t="s">
        <v>20</v>
      </c>
      <c r="H927">
        <v>6</v>
      </c>
      <c r="I927">
        <v>44160</v>
      </c>
      <c r="J927">
        <v>0.08</v>
      </c>
      <c r="K927">
        <v>9920.44</v>
      </c>
    </row>
    <row r="928" spans="1:11" x14ac:dyDescent="0.3">
      <c r="A928" t="s">
        <v>1456</v>
      </c>
      <c r="B928" s="1">
        <v>45831</v>
      </c>
      <c r="C928" t="s">
        <v>1233</v>
      </c>
      <c r="D928" t="s">
        <v>1234</v>
      </c>
      <c r="E928" t="s">
        <v>33</v>
      </c>
      <c r="F928" t="s">
        <v>15</v>
      </c>
      <c r="G928" t="s">
        <v>43</v>
      </c>
      <c r="H928">
        <v>4</v>
      </c>
      <c r="I928">
        <v>6840</v>
      </c>
      <c r="J928">
        <v>0.05</v>
      </c>
      <c r="K928">
        <v>2412.16</v>
      </c>
    </row>
    <row r="929" spans="1:11" x14ac:dyDescent="0.3">
      <c r="A929" t="s">
        <v>1457</v>
      </c>
      <c r="B929" s="1">
        <v>45727</v>
      </c>
      <c r="C929" t="s">
        <v>629</v>
      </c>
      <c r="D929" t="s">
        <v>630</v>
      </c>
      <c r="E929" t="s">
        <v>80</v>
      </c>
      <c r="F929" t="s">
        <v>15</v>
      </c>
      <c r="G929" t="s">
        <v>43</v>
      </c>
      <c r="H929">
        <v>1</v>
      </c>
      <c r="I929">
        <v>2975</v>
      </c>
      <c r="J929">
        <v>0.15</v>
      </c>
      <c r="K929">
        <v>728.59</v>
      </c>
    </row>
    <row r="930" spans="1:11" x14ac:dyDescent="0.3">
      <c r="A930" t="s">
        <v>1458</v>
      </c>
      <c r="B930" s="1">
        <v>45869</v>
      </c>
      <c r="C930" t="s">
        <v>253</v>
      </c>
      <c r="D930" t="s">
        <v>254</v>
      </c>
      <c r="E930" t="s">
        <v>47</v>
      </c>
      <c r="F930" t="s">
        <v>15</v>
      </c>
      <c r="G930" t="s">
        <v>20</v>
      </c>
      <c r="H930">
        <v>6</v>
      </c>
      <c r="I930">
        <v>35880</v>
      </c>
      <c r="J930">
        <v>0.08</v>
      </c>
      <c r="K930">
        <v>7553.88</v>
      </c>
    </row>
    <row r="931" spans="1:11" x14ac:dyDescent="0.3">
      <c r="A931" t="s">
        <v>1459</v>
      </c>
      <c r="B931" s="1">
        <v>46005</v>
      </c>
      <c r="C931" t="s">
        <v>1233</v>
      </c>
      <c r="D931" t="s">
        <v>1234</v>
      </c>
      <c r="E931" t="s">
        <v>87</v>
      </c>
      <c r="F931" t="s">
        <v>15</v>
      </c>
      <c r="G931" t="s">
        <v>26</v>
      </c>
      <c r="H931">
        <v>5</v>
      </c>
      <c r="I931">
        <v>5400</v>
      </c>
      <c r="J931">
        <v>0.1</v>
      </c>
      <c r="K931">
        <v>1479.59</v>
      </c>
    </row>
    <row r="932" spans="1:11" x14ac:dyDescent="0.3">
      <c r="A932" t="s">
        <v>1460</v>
      </c>
      <c r="B932" s="1">
        <v>45839</v>
      </c>
      <c r="C932" t="s">
        <v>968</v>
      </c>
      <c r="D932" t="s">
        <v>969</v>
      </c>
      <c r="E932" t="s">
        <v>51</v>
      </c>
      <c r="F932" t="s">
        <v>15</v>
      </c>
      <c r="G932" t="s">
        <v>16</v>
      </c>
      <c r="H932">
        <v>6</v>
      </c>
      <c r="I932">
        <v>4320</v>
      </c>
      <c r="J932">
        <v>0.2</v>
      </c>
      <c r="K932">
        <v>1225.07</v>
      </c>
    </row>
    <row r="933" spans="1:11" x14ac:dyDescent="0.3">
      <c r="A933" t="s">
        <v>1461</v>
      </c>
      <c r="B933" s="1">
        <v>45978</v>
      </c>
      <c r="C933" t="s">
        <v>126</v>
      </c>
      <c r="D933" t="s">
        <v>127</v>
      </c>
      <c r="E933" t="s">
        <v>210</v>
      </c>
      <c r="F933" t="s">
        <v>15</v>
      </c>
      <c r="G933" t="s">
        <v>16</v>
      </c>
      <c r="H933">
        <v>6</v>
      </c>
      <c r="I933">
        <v>303600</v>
      </c>
      <c r="J933">
        <v>0.08</v>
      </c>
      <c r="K933">
        <v>48896.12</v>
      </c>
    </row>
    <row r="934" spans="1:11" x14ac:dyDescent="0.3">
      <c r="A934" t="s">
        <v>1462</v>
      </c>
      <c r="B934" s="1">
        <v>45962</v>
      </c>
      <c r="C934" t="s">
        <v>420</v>
      </c>
      <c r="D934" t="s">
        <v>421</v>
      </c>
      <c r="E934" t="s">
        <v>158</v>
      </c>
      <c r="F934" t="s">
        <v>25</v>
      </c>
      <c r="G934" t="s">
        <v>34</v>
      </c>
      <c r="H934">
        <v>7</v>
      </c>
      <c r="I934">
        <v>5488</v>
      </c>
      <c r="J934">
        <v>0.02</v>
      </c>
      <c r="K934">
        <v>1598.97</v>
      </c>
    </row>
    <row r="935" spans="1:11" x14ac:dyDescent="0.3">
      <c r="A935" t="s">
        <v>1463</v>
      </c>
      <c r="B935" s="1">
        <v>45869</v>
      </c>
      <c r="C935" t="s">
        <v>175</v>
      </c>
      <c r="D935" t="s">
        <v>176</v>
      </c>
      <c r="E935" t="s">
        <v>64</v>
      </c>
      <c r="F935" t="s">
        <v>57</v>
      </c>
      <c r="G935" t="s">
        <v>16</v>
      </c>
      <c r="H935">
        <v>1</v>
      </c>
      <c r="I935">
        <v>7600</v>
      </c>
      <c r="J935">
        <v>0.05</v>
      </c>
      <c r="K935">
        <v>1568.5</v>
      </c>
    </row>
    <row r="936" spans="1:11" x14ac:dyDescent="0.3">
      <c r="A936" t="s">
        <v>1464</v>
      </c>
      <c r="B936" s="1">
        <v>45926</v>
      </c>
      <c r="C936" t="s">
        <v>532</v>
      </c>
      <c r="D936" t="s">
        <v>533</v>
      </c>
      <c r="E936" t="s">
        <v>71</v>
      </c>
      <c r="F936" t="s">
        <v>72</v>
      </c>
      <c r="G936" t="s">
        <v>20</v>
      </c>
      <c r="H936">
        <v>5</v>
      </c>
      <c r="I936">
        <v>10780</v>
      </c>
      <c r="J936">
        <v>0.02</v>
      </c>
      <c r="K936">
        <v>3301.8</v>
      </c>
    </row>
    <row r="937" spans="1:11" x14ac:dyDescent="0.3">
      <c r="A937" t="s">
        <v>1465</v>
      </c>
      <c r="B937" s="1">
        <v>45885</v>
      </c>
      <c r="C937" t="s">
        <v>532</v>
      </c>
      <c r="D937" t="s">
        <v>533</v>
      </c>
      <c r="E937" t="s">
        <v>42</v>
      </c>
      <c r="F937" t="s">
        <v>15</v>
      </c>
      <c r="G937" t="s">
        <v>43</v>
      </c>
      <c r="H937">
        <v>4</v>
      </c>
      <c r="I937">
        <v>96000</v>
      </c>
      <c r="J937">
        <v>0</v>
      </c>
      <c r="K937">
        <v>20019.18</v>
      </c>
    </row>
    <row r="938" spans="1:11" x14ac:dyDescent="0.3">
      <c r="A938" t="s">
        <v>1466</v>
      </c>
      <c r="B938" s="1">
        <v>45832</v>
      </c>
      <c r="C938" t="s">
        <v>1190</v>
      </c>
      <c r="D938" t="s">
        <v>1191</v>
      </c>
      <c r="E938" t="s">
        <v>87</v>
      </c>
      <c r="F938" t="s">
        <v>15</v>
      </c>
      <c r="G938" t="s">
        <v>26</v>
      </c>
      <c r="H938">
        <v>3</v>
      </c>
      <c r="I938">
        <v>3528</v>
      </c>
      <c r="J938">
        <v>0.02</v>
      </c>
      <c r="K938">
        <v>1094.92</v>
      </c>
    </row>
    <row r="939" spans="1:11" x14ac:dyDescent="0.3">
      <c r="A939" t="s">
        <v>1467</v>
      </c>
      <c r="B939" s="1">
        <v>45708</v>
      </c>
      <c r="C939" t="s">
        <v>597</v>
      </c>
      <c r="D939" t="s">
        <v>598</v>
      </c>
      <c r="E939" t="s">
        <v>64</v>
      </c>
      <c r="F939" t="s">
        <v>57</v>
      </c>
      <c r="G939" t="s">
        <v>26</v>
      </c>
      <c r="H939">
        <v>3</v>
      </c>
      <c r="I939">
        <v>19200</v>
      </c>
      <c r="J939">
        <v>0.2</v>
      </c>
      <c r="K939">
        <v>4328.33</v>
      </c>
    </row>
    <row r="940" spans="1:11" x14ac:dyDescent="0.3">
      <c r="A940" t="s">
        <v>1468</v>
      </c>
      <c r="B940" s="1">
        <v>45676</v>
      </c>
      <c r="C940" t="s">
        <v>234</v>
      </c>
      <c r="D940" t="s">
        <v>235</v>
      </c>
      <c r="E940" t="s">
        <v>180</v>
      </c>
      <c r="F940" t="s">
        <v>15</v>
      </c>
      <c r="G940" t="s">
        <v>26</v>
      </c>
      <c r="H940">
        <v>4</v>
      </c>
      <c r="I940">
        <v>10200</v>
      </c>
      <c r="J940">
        <v>0.15</v>
      </c>
      <c r="K940">
        <v>3224</v>
      </c>
    </row>
    <row r="941" spans="1:11" x14ac:dyDescent="0.3">
      <c r="A941" t="s">
        <v>1469</v>
      </c>
      <c r="B941" s="1">
        <v>46009</v>
      </c>
      <c r="C941" t="s">
        <v>221</v>
      </c>
      <c r="D941" t="s">
        <v>222</v>
      </c>
      <c r="E941" t="s">
        <v>210</v>
      </c>
      <c r="F941" t="s">
        <v>15</v>
      </c>
      <c r="G941" t="s">
        <v>20</v>
      </c>
      <c r="H941">
        <v>5</v>
      </c>
      <c r="I941">
        <v>275000</v>
      </c>
      <c r="J941">
        <v>0</v>
      </c>
      <c r="K941">
        <v>47506.49</v>
      </c>
    </row>
    <row r="942" spans="1:11" x14ac:dyDescent="0.3">
      <c r="A942" t="s">
        <v>1470</v>
      </c>
      <c r="B942" s="1">
        <v>45924</v>
      </c>
      <c r="C942" t="s">
        <v>875</v>
      </c>
      <c r="D942" t="s">
        <v>876</v>
      </c>
      <c r="E942" t="s">
        <v>71</v>
      </c>
      <c r="F942" t="s">
        <v>72</v>
      </c>
      <c r="G942" t="s">
        <v>34</v>
      </c>
      <c r="H942">
        <v>1</v>
      </c>
      <c r="I942">
        <v>2200</v>
      </c>
      <c r="J942">
        <v>0</v>
      </c>
      <c r="K942">
        <v>729.81</v>
      </c>
    </row>
    <row r="943" spans="1:11" x14ac:dyDescent="0.3">
      <c r="A943" t="s">
        <v>1471</v>
      </c>
      <c r="B943" s="1">
        <v>45765</v>
      </c>
      <c r="C943" t="s">
        <v>1073</v>
      </c>
      <c r="D943" t="s">
        <v>1074</v>
      </c>
      <c r="E943" t="s">
        <v>160</v>
      </c>
      <c r="F943" t="s">
        <v>25</v>
      </c>
      <c r="G943" t="s">
        <v>16</v>
      </c>
      <c r="H943">
        <v>5</v>
      </c>
      <c r="I943">
        <v>2975</v>
      </c>
      <c r="J943">
        <v>0.15</v>
      </c>
      <c r="K943">
        <v>862.22</v>
      </c>
    </row>
    <row r="944" spans="1:11" x14ac:dyDescent="0.3">
      <c r="A944" t="s">
        <v>1472</v>
      </c>
      <c r="B944" s="1">
        <v>45883</v>
      </c>
      <c r="C944" t="s">
        <v>237</v>
      </c>
      <c r="D944" t="s">
        <v>238</v>
      </c>
      <c r="E944" t="s">
        <v>76</v>
      </c>
      <c r="F944" t="s">
        <v>25</v>
      </c>
      <c r="G944" t="s">
        <v>34</v>
      </c>
      <c r="H944">
        <v>6</v>
      </c>
      <c r="I944">
        <v>2400</v>
      </c>
      <c r="J944">
        <v>0.2</v>
      </c>
      <c r="K944">
        <v>699.64</v>
      </c>
    </row>
    <row r="945" spans="1:11" x14ac:dyDescent="0.3">
      <c r="A945" t="s">
        <v>1473</v>
      </c>
      <c r="B945" s="1">
        <v>45665</v>
      </c>
      <c r="C945" t="s">
        <v>359</v>
      </c>
      <c r="D945" t="s">
        <v>360</v>
      </c>
      <c r="E945" t="s">
        <v>33</v>
      </c>
      <c r="F945" t="s">
        <v>15</v>
      </c>
      <c r="G945" t="s">
        <v>26</v>
      </c>
      <c r="H945">
        <v>5</v>
      </c>
      <c r="I945">
        <v>9000</v>
      </c>
      <c r="J945">
        <v>0</v>
      </c>
      <c r="K945">
        <v>3219.98</v>
      </c>
    </row>
    <row r="946" spans="1:11" x14ac:dyDescent="0.3">
      <c r="A946" t="s">
        <v>1474</v>
      </c>
      <c r="B946" s="1">
        <v>45837</v>
      </c>
      <c r="C946" t="s">
        <v>1475</v>
      </c>
      <c r="D946" t="s">
        <v>1476</v>
      </c>
      <c r="E946" t="s">
        <v>14</v>
      </c>
      <c r="F946" t="s">
        <v>15</v>
      </c>
      <c r="G946" t="s">
        <v>34</v>
      </c>
      <c r="H946">
        <v>4</v>
      </c>
      <c r="I946">
        <v>64800</v>
      </c>
      <c r="J946">
        <v>0.1</v>
      </c>
      <c r="K946">
        <v>12360.58</v>
      </c>
    </row>
    <row r="947" spans="1:11" x14ac:dyDescent="0.3">
      <c r="A947" t="s">
        <v>1477</v>
      </c>
      <c r="B947" s="1">
        <v>45694</v>
      </c>
      <c r="C947" t="s">
        <v>450</v>
      </c>
      <c r="D947" t="s">
        <v>451</v>
      </c>
      <c r="E947" t="s">
        <v>115</v>
      </c>
      <c r="F947" t="s">
        <v>25</v>
      </c>
      <c r="G947" t="s">
        <v>34</v>
      </c>
      <c r="H947">
        <v>4</v>
      </c>
      <c r="I947">
        <v>1176</v>
      </c>
      <c r="J947">
        <v>0.02</v>
      </c>
      <c r="K947">
        <v>377.93</v>
      </c>
    </row>
    <row r="948" spans="1:11" x14ac:dyDescent="0.3">
      <c r="A948" t="s">
        <v>1478</v>
      </c>
      <c r="B948" s="1">
        <v>45672</v>
      </c>
      <c r="C948" t="s">
        <v>811</v>
      </c>
      <c r="D948" t="s">
        <v>812</v>
      </c>
      <c r="E948" t="s">
        <v>71</v>
      </c>
      <c r="F948" t="s">
        <v>72</v>
      </c>
      <c r="G948" t="s">
        <v>20</v>
      </c>
      <c r="H948">
        <v>1</v>
      </c>
      <c r="I948">
        <v>2156</v>
      </c>
      <c r="J948">
        <v>0.02</v>
      </c>
      <c r="K948">
        <v>679.22</v>
      </c>
    </row>
    <row r="949" spans="1:11" x14ac:dyDescent="0.3">
      <c r="A949" t="s">
        <v>1479</v>
      </c>
      <c r="B949" s="1">
        <v>45876</v>
      </c>
      <c r="C949" t="s">
        <v>891</v>
      </c>
      <c r="D949" t="s">
        <v>892</v>
      </c>
      <c r="E949" t="s">
        <v>223</v>
      </c>
      <c r="F949" t="s">
        <v>57</v>
      </c>
      <c r="G949" t="s">
        <v>26</v>
      </c>
      <c r="H949">
        <v>1</v>
      </c>
      <c r="I949">
        <v>7000</v>
      </c>
      <c r="J949">
        <v>0</v>
      </c>
      <c r="K949">
        <v>1572.33</v>
      </c>
    </row>
    <row r="950" spans="1:11" x14ac:dyDescent="0.3">
      <c r="A950" t="s">
        <v>1480</v>
      </c>
      <c r="B950" s="1">
        <v>45840</v>
      </c>
      <c r="C950" t="s">
        <v>253</v>
      </c>
      <c r="D950" t="s">
        <v>254</v>
      </c>
      <c r="E950" t="s">
        <v>160</v>
      </c>
      <c r="F950" t="s">
        <v>25</v>
      </c>
      <c r="G950" t="s">
        <v>16</v>
      </c>
      <c r="H950">
        <v>8</v>
      </c>
      <c r="I950">
        <v>5040</v>
      </c>
      <c r="J950">
        <v>0.1</v>
      </c>
      <c r="K950">
        <v>1487.18</v>
      </c>
    </row>
    <row r="951" spans="1:11" x14ac:dyDescent="0.3">
      <c r="A951" t="s">
        <v>1481</v>
      </c>
      <c r="B951" s="1">
        <v>45896</v>
      </c>
      <c r="C951" t="s">
        <v>113</v>
      </c>
      <c r="D951" t="s">
        <v>114</v>
      </c>
      <c r="E951" t="s">
        <v>47</v>
      </c>
      <c r="F951" t="s">
        <v>15</v>
      </c>
      <c r="G951" t="s">
        <v>20</v>
      </c>
      <c r="H951">
        <v>2</v>
      </c>
      <c r="I951">
        <v>10400</v>
      </c>
      <c r="J951">
        <v>0.2</v>
      </c>
      <c r="K951">
        <v>1978.2</v>
      </c>
    </row>
    <row r="952" spans="1:11" x14ac:dyDescent="0.3">
      <c r="A952" t="s">
        <v>1482</v>
      </c>
      <c r="B952" s="1">
        <v>45816</v>
      </c>
      <c r="C952" t="s">
        <v>107</v>
      </c>
      <c r="D952" t="s">
        <v>108</v>
      </c>
      <c r="E952" t="s">
        <v>71</v>
      </c>
      <c r="F952" t="s">
        <v>72</v>
      </c>
      <c r="G952" t="s">
        <v>43</v>
      </c>
      <c r="H952">
        <v>2</v>
      </c>
      <c r="I952">
        <v>4048</v>
      </c>
      <c r="J952">
        <v>0.08</v>
      </c>
      <c r="K952">
        <v>1301.32</v>
      </c>
    </row>
    <row r="953" spans="1:11" x14ac:dyDescent="0.3">
      <c r="A953" t="s">
        <v>1483</v>
      </c>
      <c r="B953" s="1">
        <v>45973</v>
      </c>
      <c r="C953" t="s">
        <v>1055</v>
      </c>
      <c r="D953" t="s">
        <v>1056</v>
      </c>
      <c r="E953" t="s">
        <v>24</v>
      </c>
      <c r="F953" t="s">
        <v>25</v>
      </c>
      <c r="G953" t="s">
        <v>34</v>
      </c>
      <c r="H953">
        <v>4</v>
      </c>
      <c r="I953">
        <v>47040</v>
      </c>
      <c r="J953">
        <v>0.02</v>
      </c>
      <c r="K953">
        <v>9362.8799999999992</v>
      </c>
    </row>
    <row r="954" spans="1:11" x14ac:dyDescent="0.3">
      <c r="A954" t="s">
        <v>1484</v>
      </c>
      <c r="B954" s="1">
        <v>45824</v>
      </c>
      <c r="C954" t="s">
        <v>802</v>
      </c>
      <c r="D954" t="s">
        <v>803</v>
      </c>
      <c r="E954" t="s">
        <v>33</v>
      </c>
      <c r="F954" t="s">
        <v>15</v>
      </c>
      <c r="G954" t="s">
        <v>20</v>
      </c>
      <c r="H954">
        <v>6</v>
      </c>
      <c r="I954">
        <v>8640</v>
      </c>
      <c r="J954">
        <v>0.2</v>
      </c>
      <c r="K954">
        <v>2673.09</v>
      </c>
    </row>
    <row r="955" spans="1:11" x14ac:dyDescent="0.3">
      <c r="A955" t="s">
        <v>1485</v>
      </c>
      <c r="B955" s="1">
        <v>45903</v>
      </c>
      <c r="C955" t="s">
        <v>270</v>
      </c>
      <c r="D955" t="s">
        <v>271</v>
      </c>
      <c r="E955" t="s">
        <v>80</v>
      </c>
      <c r="F955" t="s">
        <v>15</v>
      </c>
      <c r="G955" t="s">
        <v>16</v>
      </c>
      <c r="H955">
        <v>2</v>
      </c>
      <c r="I955">
        <v>6650</v>
      </c>
      <c r="J955">
        <v>0.05</v>
      </c>
      <c r="K955">
        <v>1676.34</v>
      </c>
    </row>
    <row r="956" spans="1:11" x14ac:dyDescent="0.3">
      <c r="A956" t="s">
        <v>1486</v>
      </c>
      <c r="B956" s="1">
        <v>45710</v>
      </c>
      <c r="C956" t="s">
        <v>715</v>
      </c>
      <c r="D956" t="s">
        <v>716</v>
      </c>
      <c r="E956" t="s">
        <v>56</v>
      </c>
      <c r="F956" t="s">
        <v>57</v>
      </c>
      <c r="G956" t="s">
        <v>20</v>
      </c>
      <c r="H956">
        <v>3</v>
      </c>
      <c r="I956">
        <v>16200</v>
      </c>
      <c r="J956">
        <v>0.1</v>
      </c>
      <c r="K956">
        <v>3611.62</v>
      </c>
    </row>
    <row r="957" spans="1:11" x14ac:dyDescent="0.3">
      <c r="A957" t="s">
        <v>1487</v>
      </c>
      <c r="B957" s="1">
        <v>45812</v>
      </c>
      <c r="C957" t="s">
        <v>231</v>
      </c>
      <c r="D957" t="s">
        <v>232</v>
      </c>
      <c r="E957" t="s">
        <v>47</v>
      </c>
      <c r="F957" t="s">
        <v>15</v>
      </c>
      <c r="G957" t="s">
        <v>43</v>
      </c>
      <c r="H957">
        <v>2</v>
      </c>
      <c r="I957">
        <v>10400</v>
      </c>
      <c r="J957">
        <v>0.2</v>
      </c>
      <c r="K957">
        <v>1963.62</v>
      </c>
    </row>
    <row r="958" spans="1:11" x14ac:dyDescent="0.3">
      <c r="A958" t="s">
        <v>1488</v>
      </c>
      <c r="B958" s="1">
        <v>45782</v>
      </c>
      <c r="C958" t="s">
        <v>518</v>
      </c>
      <c r="D958" t="s">
        <v>519</v>
      </c>
      <c r="E958" t="s">
        <v>200</v>
      </c>
      <c r="F958" t="s">
        <v>57</v>
      </c>
      <c r="G958" t="s">
        <v>43</v>
      </c>
      <c r="H958">
        <v>4</v>
      </c>
      <c r="I958">
        <v>6480</v>
      </c>
      <c r="J958">
        <v>0.1</v>
      </c>
      <c r="K958">
        <v>1765.34</v>
      </c>
    </row>
    <row r="959" spans="1:11" x14ac:dyDescent="0.3">
      <c r="A959" t="s">
        <v>1489</v>
      </c>
      <c r="B959" s="1">
        <v>46013</v>
      </c>
      <c r="C959" t="s">
        <v>1490</v>
      </c>
      <c r="D959" t="s">
        <v>1491</v>
      </c>
      <c r="E959" t="s">
        <v>38</v>
      </c>
      <c r="F959" t="s">
        <v>15</v>
      </c>
      <c r="G959" t="s">
        <v>43</v>
      </c>
      <c r="H959">
        <v>6</v>
      </c>
      <c r="I959">
        <v>164640</v>
      </c>
      <c r="J959">
        <v>0.02</v>
      </c>
      <c r="K959">
        <v>26717.99</v>
      </c>
    </row>
    <row r="960" spans="1:11" x14ac:dyDescent="0.3">
      <c r="A960" t="s">
        <v>1492</v>
      </c>
      <c r="B960" s="1">
        <v>45997</v>
      </c>
      <c r="C960" t="s">
        <v>854</v>
      </c>
      <c r="D960" t="s">
        <v>855</v>
      </c>
      <c r="E960" t="s">
        <v>64</v>
      </c>
      <c r="F960" t="s">
        <v>57</v>
      </c>
      <c r="G960" t="s">
        <v>26</v>
      </c>
      <c r="H960">
        <v>4</v>
      </c>
      <c r="I960">
        <v>31360</v>
      </c>
      <c r="J960">
        <v>0.02</v>
      </c>
      <c r="K960">
        <v>7215.39</v>
      </c>
    </row>
    <row r="961" spans="1:11" x14ac:dyDescent="0.3">
      <c r="A961" t="s">
        <v>1493</v>
      </c>
      <c r="B961" s="1">
        <v>45963</v>
      </c>
      <c r="C961" t="s">
        <v>414</v>
      </c>
      <c r="D961" t="s">
        <v>415</v>
      </c>
      <c r="E961" t="s">
        <v>80</v>
      </c>
      <c r="F961" t="s">
        <v>15</v>
      </c>
      <c r="G961" t="s">
        <v>26</v>
      </c>
      <c r="H961">
        <v>2</v>
      </c>
      <c r="I961">
        <v>6300</v>
      </c>
      <c r="J961">
        <v>0.1</v>
      </c>
      <c r="K961">
        <v>1564.32</v>
      </c>
    </row>
    <row r="962" spans="1:11" x14ac:dyDescent="0.3">
      <c r="A962" t="s">
        <v>1494</v>
      </c>
      <c r="B962" s="1">
        <v>45865</v>
      </c>
      <c r="C962" t="s">
        <v>130</v>
      </c>
      <c r="D962" t="s">
        <v>131</v>
      </c>
      <c r="E962" t="s">
        <v>71</v>
      </c>
      <c r="F962" t="s">
        <v>72</v>
      </c>
      <c r="G962" t="s">
        <v>20</v>
      </c>
      <c r="H962">
        <v>3</v>
      </c>
      <c r="I962">
        <v>6270</v>
      </c>
      <c r="J962">
        <v>0.05</v>
      </c>
      <c r="K962">
        <v>1824.14</v>
      </c>
    </row>
    <row r="963" spans="1:11" x14ac:dyDescent="0.3">
      <c r="A963" t="s">
        <v>1495</v>
      </c>
      <c r="B963" s="1">
        <v>45911</v>
      </c>
      <c r="C963" t="s">
        <v>1169</v>
      </c>
      <c r="D963" t="s">
        <v>1170</v>
      </c>
      <c r="E963" t="s">
        <v>158</v>
      </c>
      <c r="F963" t="s">
        <v>25</v>
      </c>
      <c r="G963" t="s">
        <v>20</v>
      </c>
      <c r="H963">
        <v>7</v>
      </c>
      <c r="I963">
        <v>5320</v>
      </c>
      <c r="J963">
        <v>0.05</v>
      </c>
      <c r="K963">
        <v>1681.22</v>
      </c>
    </row>
    <row r="964" spans="1:11" x14ac:dyDescent="0.3">
      <c r="A964" t="s">
        <v>1496</v>
      </c>
      <c r="B964" s="1">
        <v>45983</v>
      </c>
      <c r="C964" t="s">
        <v>244</v>
      </c>
      <c r="D964" t="s">
        <v>245</v>
      </c>
      <c r="E964" t="s">
        <v>51</v>
      </c>
      <c r="F964" t="s">
        <v>15</v>
      </c>
      <c r="G964" t="s">
        <v>16</v>
      </c>
      <c r="H964">
        <v>3</v>
      </c>
      <c r="I964">
        <v>2430</v>
      </c>
      <c r="J964">
        <v>0.1</v>
      </c>
      <c r="K964">
        <v>832.12</v>
      </c>
    </row>
    <row r="965" spans="1:11" x14ac:dyDescent="0.3">
      <c r="A965" t="s">
        <v>1497</v>
      </c>
      <c r="B965" s="1">
        <v>45807</v>
      </c>
      <c r="C965" t="s">
        <v>147</v>
      </c>
      <c r="D965" t="s">
        <v>148</v>
      </c>
      <c r="E965" t="s">
        <v>180</v>
      </c>
      <c r="F965" t="s">
        <v>15</v>
      </c>
      <c r="G965" t="s">
        <v>26</v>
      </c>
      <c r="H965">
        <v>8</v>
      </c>
      <c r="I965">
        <v>21600</v>
      </c>
      <c r="J965">
        <v>0.1</v>
      </c>
      <c r="K965">
        <v>6859.18</v>
      </c>
    </row>
    <row r="966" spans="1:11" x14ac:dyDescent="0.3">
      <c r="A966" t="s">
        <v>1498</v>
      </c>
      <c r="B966" s="1">
        <v>45820</v>
      </c>
      <c r="C966" t="s">
        <v>334</v>
      </c>
      <c r="D966" t="s">
        <v>335</v>
      </c>
      <c r="E966" t="s">
        <v>51</v>
      </c>
      <c r="F966" t="s">
        <v>15</v>
      </c>
      <c r="G966" t="s">
        <v>34</v>
      </c>
      <c r="H966">
        <v>4</v>
      </c>
      <c r="I966">
        <v>3060</v>
      </c>
      <c r="J966">
        <v>0.15</v>
      </c>
      <c r="K966">
        <v>936.55</v>
      </c>
    </row>
    <row r="967" spans="1:11" x14ac:dyDescent="0.3">
      <c r="A967" t="s">
        <v>1499</v>
      </c>
      <c r="B967" s="1">
        <v>45956</v>
      </c>
      <c r="C967" t="s">
        <v>910</v>
      </c>
      <c r="D967" t="s">
        <v>911</v>
      </c>
      <c r="E967" t="s">
        <v>200</v>
      </c>
      <c r="F967" t="s">
        <v>57</v>
      </c>
      <c r="G967" t="s">
        <v>26</v>
      </c>
      <c r="H967">
        <v>6</v>
      </c>
      <c r="I967">
        <v>10800</v>
      </c>
      <c r="J967">
        <v>0</v>
      </c>
      <c r="K967">
        <v>2763.9</v>
      </c>
    </row>
    <row r="968" spans="1:11" x14ac:dyDescent="0.3">
      <c r="A968" t="s">
        <v>1500</v>
      </c>
      <c r="B968" s="1">
        <v>45847</v>
      </c>
      <c r="C968" t="s">
        <v>572</v>
      </c>
      <c r="D968" t="s">
        <v>573</v>
      </c>
      <c r="E968" t="s">
        <v>180</v>
      </c>
      <c r="F968" t="s">
        <v>15</v>
      </c>
      <c r="G968" t="s">
        <v>20</v>
      </c>
      <c r="H968">
        <v>5</v>
      </c>
      <c r="I968">
        <v>15000</v>
      </c>
      <c r="J968">
        <v>0</v>
      </c>
      <c r="K968">
        <v>5320.86</v>
      </c>
    </row>
    <row r="969" spans="1:11" x14ac:dyDescent="0.3">
      <c r="A969" t="s">
        <v>1501</v>
      </c>
      <c r="B969" s="1">
        <v>45802</v>
      </c>
      <c r="C969" t="s">
        <v>508</v>
      </c>
      <c r="D969" t="s">
        <v>509</v>
      </c>
      <c r="E969" t="s">
        <v>47</v>
      </c>
      <c r="F969" t="s">
        <v>15</v>
      </c>
      <c r="G969" t="s">
        <v>16</v>
      </c>
      <c r="H969">
        <v>6</v>
      </c>
      <c r="I969">
        <v>39000</v>
      </c>
      <c r="J969">
        <v>0</v>
      </c>
      <c r="K969">
        <v>8256.3700000000008</v>
      </c>
    </row>
    <row r="970" spans="1:11" x14ac:dyDescent="0.3">
      <c r="A970" t="s">
        <v>1502</v>
      </c>
      <c r="B970" s="1">
        <v>45820</v>
      </c>
      <c r="C970" t="s">
        <v>535</v>
      </c>
      <c r="D970" t="s">
        <v>536</v>
      </c>
      <c r="E970" t="s">
        <v>160</v>
      </c>
      <c r="F970" t="s">
        <v>25</v>
      </c>
      <c r="G970" t="s">
        <v>43</v>
      </c>
      <c r="H970">
        <v>7</v>
      </c>
      <c r="I970">
        <v>4165</v>
      </c>
      <c r="J970">
        <v>0.15</v>
      </c>
      <c r="K970">
        <v>1303.43</v>
      </c>
    </row>
    <row r="971" spans="1:11" x14ac:dyDescent="0.3">
      <c r="A971" t="s">
        <v>1503</v>
      </c>
      <c r="B971" s="1">
        <v>45746</v>
      </c>
      <c r="C971" t="s">
        <v>292</v>
      </c>
      <c r="D971" t="s">
        <v>293</v>
      </c>
      <c r="E971" t="s">
        <v>200</v>
      </c>
      <c r="F971" t="s">
        <v>57</v>
      </c>
      <c r="G971" t="s">
        <v>16</v>
      </c>
      <c r="H971">
        <v>4</v>
      </c>
      <c r="I971">
        <v>6120</v>
      </c>
      <c r="J971">
        <v>0.15</v>
      </c>
      <c r="K971">
        <v>1616.96</v>
      </c>
    </row>
    <row r="972" spans="1:11" x14ac:dyDescent="0.3">
      <c r="A972" t="s">
        <v>1504</v>
      </c>
      <c r="B972" s="1">
        <v>45871</v>
      </c>
      <c r="C972" t="s">
        <v>724</v>
      </c>
      <c r="D972" t="s">
        <v>725</v>
      </c>
      <c r="E972" t="s">
        <v>223</v>
      </c>
      <c r="F972" t="s">
        <v>57</v>
      </c>
      <c r="G972" t="s">
        <v>16</v>
      </c>
      <c r="H972">
        <v>6</v>
      </c>
      <c r="I972">
        <v>33600</v>
      </c>
      <c r="J972">
        <v>0.2</v>
      </c>
      <c r="K972">
        <v>6668.95</v>
      </c>
    </row>
    <row r="973" spans="1:11" x14ac:dyDescent="0.3">
      <c r="A973" t="s">
        <v>1505</v>
      </c>
      <c r="B973" s="1">
        <v>45666</v>
      </c>
      <c r="C973" t="s">
        <v>933</v>
      </c>
      <c r="D973" t="s">
        <v>934</v>
      </c>
      <c r="E973" t="s">
        <v>210</v>
      </c>
      <c r="F973" t="s">
        <v>15</v>
      </c>
      <c r="G973" t="s">
        <v>43</v>
      </c>
      <c r="H973">
        <v>2</v>
      </c>
      <c r="I973">
        <v>93500</v>
      </c>
      <c r="J973">
        <v>0.15</v>
      </c>
      <c r="K973">
        <v>13599.71</v>
      </c>
    </row>
    <row r="974" spans="1:11" x14ac:dyDescent="0.3">
      <c r="A974" t="s">
        <v>1506</v>
      </c>
      <c r="B974" s="1">
        <v>45728</v>
      </c>
      <c r="C974" t="s">
        <v>241</v>
      </c>
      <c r="D974" t="s">
        <v>242</v>
      </c>
      <c r="E974" t="s">
        <v>200</v>
      </c>
      <c r="F974" t="s">
        <v>57</v>
      </c>
      <c r="G974" t="s">
        <v>43</v>
      </c>
      <c r="H974">
        <v>3</v>
      </c>
      <c r="I974">
        <v>5400</v>
      </c>
      <c r="J974">
        <v>0</v>
      </c>
      <c r="K974">
        <v>1534.14</v>
      </c>
    </row>
    <row r="975" spans="1:11" x14ac:dyDescent="0.3">
      <c r="A975" t="s">
        <v>1507</v>
      </c>
      <c r="B975" s="1">
        <v>45750</v>
      </c>
      <c r="C975" t="s">
        <v>657</v>
      </c>
      <c r="D975" t="s">
        <v>658</v>
      </c>
      <c r="E975" t="s">
        <v>71</v>
      </c>
      <c r="F975" t="s">
        <v>72</v>
      </c>
      <c r="G975" t="s">
        <v>43</v>
      </c>
      <c r="H975">
        <v>7</v>
      </c>
      <c r="I975">
        <v>13860</v>
      </c>
      <c r="J975">
        <v>0.1</v>
      </c>
      <c r="K975">
        <v>4251.75</v>
      </c>
    </row>
    <row r="976" spans="1:11" x14ac:dyDescent="0.3">
      <c r="A976" t="s">
        <v>1508</v>
      </c>
      <c r="B976" s="1">
        <v>45773</v>
      </c>
      <c r="C976" t="s">
        <v>120</v>
      </c>
      <c r="D976" t="s">
        <v>121</v>
      </c>
      <c r="E976" t="s">
        <v>71</v>
      </c>
      <c r="F976" t="s">
        <v>72</v>
      </c>
      <c r="G976" t="s">
        <v>26</v>
      </c>
      <c r="H976">
        <v>7</v>
      </c>
      <c r="I976">
        <v>14630</v>
      </c>
      <c r="J976">
        <v>0.05</v>
      </c>
      <c r="K976">
        <v>4347.41</v>
      </c>
    </row>
    <row r="977" spans="1:11" x14ac:dyDescent="0.3">
      <c r="A977" t="s">
        <v>1509</v>
      </c>
      <c r="B977" s="1">
        <v>45779</v>
      </c>
      <c r="C977" t="s">
        <v>548</v>
      </c>
      <c r="D977" t="s">
        <v>549</v>
      </c>
      <c r="E977" t="s">
        <v>160</v>
      </c>
      <c r="F977" t="s">
        <v>25</v>
      </c>
      <c r="G977" t="s">
        <v>34</v>
      </c>
      <c r="H977">
        <v>8</v>
      </c>
      <c r="I977">
        <v>4480</v>
      </c>
      <c r="J977">
        <v>0.2</v>
      </c>
      <c r="K977">
        <v>1379.74</v>
      </c>
    </row>
    <row r="978" spans="1:11" x14ac:dyDescent="0.3">
      <c r="A978" t="s">
        <v>1510</v>
      </c>
      <c r="B978" s="1">
        <v>45677</v>
      </c>
      <c r="C978" t="s">
        <v>737</v>
      </c>
      <c r="D978" t="s">
        <v>738</v>
      </c>
      <c r="E978" t="s">
        <v>47</v>
      </c>
      <c r="F978" t="s">
        <v>15</v>
      </c>
      <c r="G978" t="s">
        <v>34</v>
      </c>
      <c r="H978">
        <v>6</v>
      </c>
      <c r="I978">
        <v>39000</v>
      </c>
      <c r="J978">
        <v>0</v>
      </c>
      <c r="K978">
        <v>7885.05</v>
      </c>
    </row>
    <row r="979" spans="1:11" x14ac:dyDescent="0.3">
      <c r="A979" t="s">
        <v>1511</v>
      </c>
      <c r="B979" s="1">
        <v>45698</v>
      </c>
      <c r="C979" t="s">
        <v>511</v>
      </c>
      <c r="D979" t="s">
        <v>512</v>
      </c>
      <c r="E979" t="s">
        <v>160</v>
      </c>
      <c r="F979" t="s">
        <v>25</v>
      </c>
      <c r="G979" t="s">
        <v>26</v>
      </c>
      <c r="H979">
        <v>8</v>
      </c>
      <c r="I979">
        <v>4760</v>
      </c>
      <c r="J979">
        <v>0.15</v>
      </c>
      <c r="K979">
        <v>1329.21</v>
      </c>
    </row>
    <row r="980" spans="1:11" x14ac:dyDescent="0.3">
      <c r="A980" t="s">
        <v>1512</v>
      </c>
      <c r="B980" s="1">
        <v>45698</v>
      </c>
      <c r="C980" t="s">
        <v>205</v>
      </c>
      <c r="D980" t="s">
        <v>206</v>
      </c>
      <c r="E980" t="s">
        <v>76</v>
      </c>
      <c r="F980" t="s">
        <v>25</v>
      </c>
      <c r="G980" t="s">
        <v>26</v>
      </c>
      <c r="H980">
        <v>8</v>
      </c>
      <c r="I980">
        <v>3600</v>
      </c>
      <c r="J980">
        <v>0.1</v>
      </c>
      <c r="K980">
        <v>1054.48</v>
      </c>
    </row>
    <row r="981" spans="1:11" x14ac:dyDescent="0.3">
      <c r="A981" t="s">
        <v>1513</v>
      </c>
      <c r="B981" s="1">
        <v>45997</v>
      </c>
      <c r="C981" t="s">
        <v>1051</v>
      </c>
      <c r="D981" t="s">
        <v>1052</v>
      </c>
      <c r="E981" t="s">
        <v>24</v>
      </c>
      <c r="F981" t="s">
        <v>25</v>
      </c>
      <c r="G981" t="s">
        <v>20</v>
      </c>
      <c r="H981">
        <v>8</v>
      </c>
      <c r="I981">
        <v>81600</v>
      </c>
      <c r="J981">
        <v>0.15</v>
      </c>
      <c r="K981">
        <v>17723.32</v>
      </c>
    </row>
    <row r="982" spans="1:11" x14ac:dyDescent="0.3">
      <c r="A982" t="s">
        <v>1514</v>
      </c>
      <c r="B982" s="1">
        <v>45685</v>
      </c>
      <c r="C982" t="s">
        <v>1169</v>
      </c>
      <c r="D982" t="s">
        <v>1170</v>
      </c>
      <c r="E982" t="s">
        <v>47</v>
      </c>
      <c r="F982" t="s">
        <v>15</v>
      </c>
      <c r="G982" t="s">
        <v>26</v>
      </c>
      <c r="H982">
        <v>5</v>
      </c>
      <c r="I982">
        <v>29250</v>
      </c>
      <c r="J982">
        <v>0.1</v>
      </c>
      <c r="K982">
        <v>6107.23</v>
      </c>
    </row>
    <row r="983" spans="1:11" x14ac:dyDescent="0.3">
      <c r="A983" t="s">
        <v>1515</v>
      </c>
      <c r="B983" s="1">
        <v>45920</v>
      </c>
      <c r="C983" t="s">
        <v>308</v>
      </c>
      <c r="D983" t="s">
        <v>309</v>
      </c>
      <c r="E983" t="s">
        <v>210</v>
      </c>
      <c r="F983" t="s">
        <v>15</v>
      </c>
      <c r="G983" t="s">
        <v>26</v>
      </c>
      <c r="H983">
        <v>8</v>
      </c>
      <c r="I983">
        <v>404800</v>
      </c>
      <c r="J983">
        <v>0.08</v>
      </c>
      <c r="K983">
        <v>69477.75</v>
      </c>
    </row>
    <row r="984" spans="1:11" x14ac:dyDescent="0.3">
      <c r="A984" t="s">
        <v>1516</v>
      </c>
      <c r="B984" s="1">
        <v>45808</v>
      </c>
      <c r="C984" t="s">
        <v>940</v>
      </c>
      <c r="D984" t="s">
        <v>941</v>
      </c>
      <c r="E984" t="s">
        <v>64</v>
      </c>
      <c r="F984" t="s">
        <v>57</v>
      </c>
      <c r="G984" t="s">
        <v>20</v>
      </c>
      <c r="H984">
        <v>7</v>
      </c>
      <c r="I984">
        <v>53200</v>
      </c>
      <c r="J984">
        <v>0.05</v>
      </c>
      <c r="K984">
        <v>11387.54</v>
      </c>
    </row>
    <row r="985" spans="1:11" x14ac:dyDescent="0.3">
      <c r="A985" t="s">
        <v>1517</v>
      </c>
      <c r="B985" s="1">
        <v>45946</v>
      </c>
      <c r="C985" t="s">
        <v>663</v>
      </c>
      <c r="D985" t="s">
        <v>664</v>
      </c>
      <c r="E985" t="s">
        <v>158</v>
      </c>
      <c r="F985" t="s">
        <v>25</v>
      </c>
      <c r="G985" t="s">
        <v>43</v>
      </c>
      <c r="H985">
        <v>5</v>
      </c>
      <c r="I985">
        <v>3400</v>
      </c>
      <c r="J985">
        <v>0.15</v>
      </c>
      <c r="K985">
        <v>967.71</v>
      </c>
    </row>
    <row r="986" spans="1:11" x14ac:dyDescent="0.3">
      <c r="A986" t="s">
        <v>1518</v>
      </c>
      <c r="B986" s="1">
        <v>45807</v>
      </c>
      <c r="C986" t="s">
        <v>150</v>
      </c>
      <c r="D986" t="s">
        <v>151</v>
      </c>
      <c r="E986" t="s">
        <v>33</v>
      </c>
      <c r="F986" t="s">
        <v>15</v>
      </c>
      <c r="G986" t="s">
        <v>26</v>
      </c>
      <c r="H986">
        <v>1</v>
      </c>
      <c r="I986">
        <v>1530</v>
      </c>
      <c r="J986">
        <v>0.15</v>
      </c>
      <c r="K986">
        <v>517.15</v>
      </c>
    </row>
    <row r="987" spans="1:11" x14ac:dyDescent="0.3">
      <c r="A987" t="s">
        <v>1519</v>
      </c>
      <c r="B987" s="1">
        <v>45722</v>
      </c>
      <c r="C987" t="s">
        <v>884</v>
      </c>
      <c r="D987" t="s">
        <v>885</v>
      </c>
      <c r="E987" t="s">
        <v>115</v>
      </c>
      <c r="F987" t="s">
        <v>25</v>
      </c>
      <c r="G987" t="s">
        <v>34</v>
      </c>
      <c r="H987">
        <v>8</v>
      </c>
      <c r="I987">
        <v>2400</v>
      </c>
      <c r="J987">
        <v>0</v>
      </c>
      <c r="K987">
        <v>800.72</v>
      </c>
    </row>
    <row r="988" spans="1:11" x14ac:dyDescent="0.3">
      <c r="A988" t="s">
        <v>1520</v>
      </c>
      <c r="B988" s="1">
        <v>45789</v>
      </c>
      <c r="C988" t="s">
        <v>343</v>
      </c>
      <c r="D988" t="s">
        <v>344</v>
      </c>
      <c r="E988" t="s">
        <v>180</v>
      </c>
      <c r="F988" t="s">
        <v>15</v>
      </c>
      <c r="G988" t="s">
        <v>20</v>
      </c>
      <c r="H988">
        <v>5</v>
      </c>
      <c r="I988">
        <v>14250</v>
      </c>
      <c r="J988">
        <v>0.05</v>
      </c>
      <c r="K988">
        <v>4298.8599999999997</v>
      </c>
    </row>
    <row r="989" spans="1:11" x14ac:dyDescent="0.3">
      <c r="A989" t="s">
        <v>1521</v>
      </c>
      <c r="B989" s="1">
        <v>45886</v>
      </c>
      <c r="C989" t="s">
        <v>1522</v>
      </c>
      <c r="D989" t="s">
        <v>1523</v>
      </c>
      <c r="E989" t="s">
        <v>33</v>
      </c>
      <c r="F989" t="s">
        <v>15</v>
      </c>
      <c r="G989" t="s">
        <v>16</v>
      </c>
      <c r="H989">
        <v>3</v>
      </c>
      <c r="I989">
        <v>4590</v>
      </c>
      <c r="J989">
        <v>0.15</v>
      </c>
      <c r="K989">
        <v>1424.99</v>
      </c>
    </row>
    <row r="990" spans="1:11" x14ac:dyDescent="0.3">
      <c r="A990" t="s">
        <v>1524</v>
      </c>
      <c r="B990" s="1">
        <v>45928</v>
      </c>
      <c r="C990" t="s">
        <v>777</v>
      </c>
      <c r="D990" t="s">
        <v>778</v>
      </c>
      <c r="E990" t="s">
        <v>24</v>
      </c>
      <c r="F990" t="s">
        <v>25</v>
      </c>
      <c r="G990" t="s">
        <v>34</v>
      </c>
      <c r="H990">
        <v>8</v>
      </c>
      <c r="I990">
        <v>94080</v>
      </c>
      <c r="J990">
        <v>0.02</v>
      </c>
      <c r="K990">
        <v>20658.45</v>
      </c>
    </row>
    <row r="991" spans="1:11" x14ac:dyDescent="0.3">
      <c r="A991" t="s">
        <v>1525</v>
      </c>
      <c r="B991" s="1">
        <v>45911</v>
      </c>
      <c r="C991" t="s">
        <v>621</v>
      </c>
      <c r="D991" t="s">
        <v>622</v>
      </c>
      <c r="E991" t="s">
        <v>180</v>
      </c>
      <c r="F991" t="s">
        <v>15</v>
      </c>
      <c r="G991" t="s">
        <v>43</v>
      </c>
      <c r="H991">
        <v>3</v>
      </c>
      <c r="I991">
        <v>7200</v>
      </c>
      <c r="J991">
        <v>0.2</v>
      </c>
      <c r="K991">
        <v>2371.33</v>
      </c>
    </row>
    <row r="992" spans="1:11" x14ac:dyDescent="0.3">
      <c r="A992" t="s">
        <v>1526</v>
      </c>
      <c r="B992" s="1">
        <v>45883</v>
      </c>
      <c r="C992" t="s">
        <v>646</v>
      </c>
      <c r="D992" t="s">
        <v>647</v>
      </c>
      <c r="E992" t="s">
        <v>223</v>
      </c>
      <c r="F992" t="s">
        <v>57</v>
      </c>
      <c r="G992" t="s">
        <v>16</v>
      </c>
      <c r="H992">
        <v>4</v>
      </c>
      <c r="I992">
        <v>23800</v>
      </c>
      <c r="J992">
        <v>0.15</v>
      </c>
      <c r="K992">
        <v>5431.42</v>
      </c>
    </row>
    <row r="993" spans="1:11" x14ac:dyDescent="0.3">
      <c r="A993" t="s">
        <v>1527</v>
      </c>
      <c r="B993" s="1">
        <v>45986</v>
      </c>
      <c r="C993" t="s">
        <v>927</v>
      </c>
      <c r="D993" t="s">
        <v>928</v>
      </c>
      <c r="E993" t="s">
        <v>160</v>
      </c>
      <c r="F993" t="s">
        <v>25</v>
      </c>
      <c r="G993" t="s">
        <v>20</v>
      </c>
      <c r="H993">
        <v>6</v>
      </c>
      <c r="I993">
        <v>4200</v>
      </c>
      <c r="J993">
        <v>0</v>
      </c>
      <c r="K993">
        <v>1270.24</v>
      </c>
    </row>
    <row r="994" spans="1:11" x14ac:dyDescent="0.3">
      <c r="A994" t="s">
        <v>1528</v>
      </c>
      <c r="B994" s="1">
        <v>45901</v>
      </c>
      <c r="C994" t="s">
        <v>296</v>
      </c>
      <c r="D994" t="s">
        <v>297</v>
      </c>
      <c r="E994" t="s">
        <v>33</v>
      </c>
      <c r="F994" t="s">
        <v>15</v>
      </c>
      <c r="G994" t="s">
        <v>26</v>
      </c>
      <c r="H994">
        <v>8</v>
      </c>
      <c r="I994">
        <v>13248</v>
      </c>
      <c r="J994">
        <v>0.08</v>
      </c>
      <c r="K994">
        <v>4167.45</v>
      </c>
    </row>
    <row r="995" spans="1:11" x14ac:dyDescent="0.3">
      <c r="A995" t="s">
        <v>1529</v>
      </c>
      <c r="B995" s="1">
        <v>45792</v>
      </c>
      <c r="C995" t="s">
        <v>1530</v>
      </c>
      <c r="D995" t="s">
        <v>1531</v>
      </c>
      <c r="E995" t="s">
        <v>223</v>
      </c>
      <c r="F995" t="s">
        <v>57</v>
      </c>
      <c r="G995" t="s">
        <v>43</v>
      </c>
      <c r="H995">
        <v>7</v>
      </c>
      <c r="I995">
        <v>45080</v>
      </c>
      <c r="J995">
        <v>0.08</v>
      </c>
      <c r="K995">
        <v>9444.11</v>
      </c>
    </row>
    <row r="996" spans="1:11" x14ac:dyDescent="0.3">
      <c r="A996" t="s">
        <v>1532</v>
      </c>
      <c r="B996" s="1">
        <v>46005</v>
      </c>
      <c r="C996" t="s">
        <v>479</v>
      </c>
      <c r="D996" t="s">
        <v>480</v>
      </c>
      <c r="E996" t="s">
        <v>115</v>
      </c>
      <c r="F996" t="s">
        <v>25</v>
      </c>
      <c r="G996" t="s">
        <v>26</v>
      </c>
      <c r="H996">
        <v>8</v>
      </c>
      <c r="I996">
        <v>2208</v>
      </c>
      <c r="J996">
        <v>0.08</v>
      </c>
      <c r="K996">
        <v>696.41</v>
      </c>
    </row>
    <row r="997" spans="1:11" x14ac:dyDescent="0.3">
      <c r="A997" t="s">
        <v>1533</v>
      </c>
      <c r="B997" s="1">
        <v>45984</v>
      </c>
      <c r="C997" t="s">
        <v>89</v>
      </c>
      <c r="D997" t="s">
        <v>90</v>
      </c>
      <c r="E997" t="s">
        <v>42</v>
      </c>
      <c r="F997" t="s">
        <v>15</v>
      </c>
      <c r="G997" t="s">
        <v>43</v>
      </c>
      <c r="H997">
        <v>2</v>
      </c>
      <c r="I997">
        <v>43200</v>
      </c>
      <c r="J997">
        <v>0.1</v>
      </c>
      <c r="K997">
        <v>8516.1200000000008</v>
      </c>
    </row>
    <row r="998" spans="1:11" x14ac:dyDescent="0.3">
      <c r="A998" t="s">
        <v>1534</v>
      </c>
      <c r="B998" s="1">
        <v>45794</v>
      </c>
      <c r="C998" t="s">
        <v>682</v>
      </c>
      <c r="D998" t="s">
        <v>683</v>
      </c>
      <c r="E998" t="s">
        <v>76</v>
      </c>
      <c r="F998" t="s">
        <v>25</v>
      </c>
      <c r="G998" t="s">
        <v>34</v>
      </c>
      <c r="H998">
        <v>6</v>
      </c>
      <c r="I998">
        <v>2850</v>
      </c>
      <c r="J998">
        <v>0.05</v>
      </c>
      <c r="K998">
        <v>887.28</v>
      </c>
    </row>
    <row r="999" spans="1:11" x14ac:dyDescent="0.3">
      <c r="A999" t="s">
        <v>1535</v>
      </c>
      <c r="B999" s="1">
        <v>46003</v>
      </c>
      <c r="C999" t="s">
        <v>749</v>
      </c>
      <c r="D999" t="s">
        <v>750</v>
      </c>
      <c r="E999" t="s">
        <v>160</v>
      </c>
      <c r="F999" t="s">
        <v>25</v>
      </c>
      <c r="G999" t="s">
        <v>26</v>
      </c>
      <c r="H999">
        <v>7</v>
      </c>
      <c r="I999">
        <v>4508</v>
      </c>
      <c r="J999">
        <v>0.08</v>
      </c>
      <c r="K999">
        <v>1447.38</v>
      </c>
    </row>
    <row r="1000" spans="1:11" x14ac:dyDescent="0.3">
      <c r="A1000" t="s">
        <v>1536</v>
      </c>
      <c r="B1000" s="1">
        <v>46011</v>
      </c>
      <c r="C1000" t="s">
        <v>646</v>
      </c>
      <c r="D1000" t="s">
        <v>647</v>
      </c>
      <c r="E1000" t="s">
        <v>51</v>
      </c>
      <c r="F1000" t="s">
        <v>15</v>
      </c>
      <c r="G1000" t="s">
        <v>34</v>
      </c>
      <c r="H1000">
        <v>6</v>
      </c>
      <c r="I1000">
        <v>4590</v>
      </c>
      <c r="J1000">
        <v>0.15</v>
      </c>
      <c r="K1000">
        <v>1604.55</v>
      </c>
    </row>
    <row r="1001" spans="1:11" x14ac:dyDescent="0.3">
      <c r="A1001" t="s">
        <v>1537</v>
      </c>
      <c r="B1001" s="1">
        <v>45692</v>
      </c>
      <c r="C1001" t="s">
        <v>1156</v>
      </c>
      <c r="D1001" t="s">
        <v>1157</v>
      </c>
      <c r="E1001" t="s">
        <v>210</v>
      </c>
      <c r="F1001" t="s">
        <v>15</v>
      </c>
      <c r="G1001" t="s">
        <v>20</v>
      </c>
      <c r="H1001">
        <v>1</v>
      </c>
      <c r="I1001">
        <v>44000</v>
      </c>
      <c r="J1001">
        <v>0.2</v>
      </c>
      <c r="K1001">
        <v>6047.22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278F-B1E7-45A9-970C-4F6EF60BFBB5}">
  <dimension ref="A1:B7"/>
  <sheetViews>
    <sheetView workbookViewId="0">
      <selection activeCell="B7" sqref="B7"/>
    </sheetView>
  </sheetViews>
  <sheetFormatPr defaultRowHeight="14.4" x14ac:dyDescent="0.3"/>
  <sheetData>
    <row r="1" spans="1:2" x14ac:dyDescent="0.3">
      <c r="A1" t="s">
        <v>17911</v>
      </c>
    </row>
    <row r="3" spans="1:2" x14ac:dyDescent="0.3">
      <c r="A3" t="s">
        <v>17912</v>
      </c>
      <c r="B3">
        <f>SUM(SalesData[Sales])</f>
        <v>34082682</v>
      </c>
    </row>
    <row r="4" spans="1:2" x14ac:dyDescent="0.3">
      <c r="A4" t="s">
        <v>17913</v>
      </c>
      <c r="B4">
        <f>SUM(SalesData[Profit])</f>
        <v>6653272.9999999991</v>
      </c>
    </row>
    <row r="5" spans="1:2" x14ac:dyDescent="0.3">
      <c r="A5" t="s">
        <v>17914</v>
      </c>
      <c r="B5">
        <f>COUNTA(SalesData[Profit])</f>
        <v>1000</v>
      </c>
    </row>
    <row r="6" spans="1:2" x14ac:dyDescent="0.3">
      <c r="A6" t="s">
        <v>17915</v>
      </c>
      <c r="B6">
        <f>SUM(SalesData[Quantity])</f>
        <v>4569</v>
      </c>
    </row>
    <row r="7" spans="1:2" x14ac:dyDescent="0.3">
      <c r="A7" t="s">
        <v>17916</v>
      </c>
      <c r="B7" s="2">
        <f>B4/B3</f>
        <v>0.19520978425348096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AED6-97D4-4B80-A8EF-605FECC26A48}">
  <dimension ref="A1:C5"/>
  <sheetViews>
    <sheetView workbookViewId="0">
      <selection sqref="A1:B5"/>
    </sheetView>
  </sheetViews>
  <sheetFormatPr defaultRowHeight="14.4" x14ac:dyDescent="0.3"/>
  <sheetData>
    <row r="1" spans="1:3" x14ac:dyDescent="0.3">
      <c r="A1" t="s">
        <v>5</v>
      </c>
      <c r="B1" t="s">
        <v>17912</v>
      </c>
      <c r="C1" t="s">
        <v>17913</v>
      </c>
    </row>
    <row r="2" spans="1:3" x14ac:dyDescent="0.3">
      <c r="A2" t="s">
        <v>15</v>
      </c>
      <c r="B2">
        <f>SUMIF(SalesData[Category],A2,SalesData[Sales])</f>
        <v>26361530</v>
      </c>
      <c r="C2">
        <f>SUMIF(SalesData[Category],A2,SalesData[Profit])</f>
        <v>4884956.3900000006</v>
      </c>
    </row>
    <row r="3" spans="1:3" x14ac:dyDescent="0.3">
      <c r="A3" t="s">
        <v>25</v>
      </c>
      <c r="B3">
        <f>SUMIF(SalesData[Category],A3,SalesData[Sales])</f>
        <v>3010072</v>
      </c>
      <c r="C3">
        <f>SUMIF(SalesData[Category],A3,SalesData[Profit])</f>
        <v>662879.50000000047</v>
      </c>
    </row>
    <row r="4" spans="1:3" x14ac:dyDescent="0.3">
      <c r="A4" t="s">
        <v>57</v>
      </c>
      <c r="B4">
        <f>SUMIF(SalesData[Category],A4,SalesData[Sales])</f>
        <v>4280386</v>
      </c>
      <c r="C4">
        <f>SUMIF(SalesData[Category],A4,SalesData[Profit])</f>
        <v>971832.30999999971</v>
      </c>
    </row>
    <row r="5" spans="1:3" x14ac:dyDescent="0.3">
      <c r="A5" t="s">
        <v>72</v>
      </c>
      <c r="B5">
        <f>SUMIF(SalesData[Category],A5,SalesData[Sales])</f>
        <v>430694</v>
      </c>
      <c r="C5">
        <f>SUMIF(SalesData[Category],A5,SalesData[Profit])</f>
        <v>133604.80000000002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4774-7777-4C8A-A438-A79BB78CB7AB}">
  <dimension ref="A1:C6"/>
  <sheetViews>
    <sheetView workbookViewId="0">
      <selection sqref="A1:B6"/>
    </sheetView>
  </sheetViews>
  <sheetFormatPr defaultRowHeight="14.4" x14ac:dyDescent="0.3"/>
  <sheetData>
    <row r="1" spans="1:3" x14ac:dyDescent="0.3">
      <c r="A1" t="s">
        <v>6</v>
      </c>
      <c r="B1" t="s">
        <v>17912</v>
      </c>
      <c r="C1" t="s">
        <v>17913</v>
      </c>
    </row>
    <row r="2" spans="1:3" x14ac:dyDescent="0.3">
      <c r="A2" t="s">
        <v>20</v>
      </c>
      <c r="B2">
        <f>SUMIF(SalesData[Region],A2,SalesData[Sales])</f>
        <v>7327926</v>
      </c>
      <c r="C2">
        <f>SUMIF(SalesData[Region],A2,SalesData[Profit])</f>
        <v>1454250.4699999997</v>
      </c>
    </row>
    <row r="3" spans="1:3" x14ac:dyDescent="0.3">
      <c r="A3" t="s">
        <v>16</v>
      </c>
      <c r="B3">
        <f>SUMIF(SalesData[Region],A3,SalesData[Sales])</f>
        <v>6939480</v>
      </c>
      <c r="C3">
        <f>SUMIF(SalesData[Region],A3,SalesData[Profit])</f>
        <v>1342467.6100000008</v>
      </c>
    </row>
    <row r="4" spans="1:3" x14ac:dyDescent="0.3">
      <c r="A4" t="s">
        <v>34</v>
      </c>
      <c r="B4">
        <f>SUMIF(SalesData[Region],A4,SalesData[Sales])</f>
        <v>5720572</v>
      </c>
      <c r="C4">
        <f>SUMIF(SalesData[Region],A4,SalesData[Profit])</f>
        <v>1125414.3000000005</v>
      </c>
    </row>
    <row r="5" spans="1:3" x14ac:dyDescent="0.3">
      <c r="A5" t="s">
        <v>43</v>
      </c>
      <c r="B5">
        <f>SUMIF(SalesData[Region],A5,SalesData[Sales])</f>
        <v>6507120</v>
      </c>
      <c r="C5">
        <f>SUMIF(SalesData[Region],A5,SalesData[Profit])</f>
        <v>1283008.4499999997</v>
      </c>
    </row>
    <row r="6" spans="1:3" x14ac:dyDescent="0.3">
      <c r="A6" t="s">
        <v>26</v>
      </c>
      <c r="B6">
        <f>SUMIF(SalesData[Region],A6,SalesData[Sales])</f>
        <v>7587584</v>
      </c>
      <c r="C6">
        <f>SUMIF(SalesData[Region],A6,SalesData[Profit])</f>
        <v>1448132.1699999992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1335-8332-4007-A9F8-1F40E3149365}">
  <dimension ref="A1:C21"/>
  <sheetViews>
    <sheetView workbookViewId="0">
      <selection activeCell="D2" sqref="D2"/>
    </sheetView>
  </sheetViews>
  <sheetFormatPr defaultRowHeight="14.4" x14ac:dyDescent="0.3"/>
  <sheetData>
    <row r="1" spans="1:3" x14ac:dyDescent="0.3">
      <c r="A1" t="s">
        <v>4</v>
      </c>
      <c r="B1" t="s">
        <v>17912</v>
      </c>
      <c r="C1" t="s">
        <v>17913</v>
      </c>
    </row>
    <row r="2" spans="1:3" x14ac:dyDescent="0.3">
      <c r="A2" t="str" cm="1">
        <f t="array" ref="A2:A21">_xlfn.UNIQUE(_xlfn._xlws.FILTER(SalesData[Product],SalesData[Product]&lt;&gt;""))</f>
        <v>Monitor</v>
      </c>
      <c r="B2">
        <f>SUMIF(SalesData[Product],A2,SalesData[Sales])</f>
        <v>4049280</v>
      </c>
      <c r="C2">
        <f>SUMIF(SalesData[Product],A2,SalesData[Profit])</f>
        <v>767713.18</v>
      </c>
    </row>
    <row r="3" spans="1:3" x14ac:dyDescent="0.3">
      <c r="A3" t="str">
        <v>Printer</v>
      </c>
      <c r="B3">
        <f>SUMIF(SalesData[Product],A3,SalesData[Sales])</f>
        <v>2507280</v>
      </c>
      <c r="C3">
        <f>SUMIF(SalesData[Product],A3,SalesData[Profit])</f>
        <v>509674.66000000003</v>
      </c>
    </row>
    <row r="4" spans="1:3" x14ac:dyDescent="0.3">
      <c r="A4" t="str">
        <v>Keyboard</v>
      </c>
      <c r="B4">
        <f>SUMIF(SalesData[Product],A4,SalesData[Sales])</f>
        <v>379098</v>
      </c>
      <c r="C4">
        <f>SUMIF(SalesData[Product],A4,SalesData[Profit])</f>
        <v>123478.74</v>
      </c>
    </row>
    <row r="5" spans="1:3" x14ac:dyDescent="0.3">
      <c r="A5" t="str">
        <v>Tablet</v>
      </c>
      <c r="B5">
        <f>SUMIF(SalesData[Product],A5,SalesData[Sales])</f>
        <v>5754840</v>
      </c>
      <c r="C5">
        <f>SUMIF(SalesData[Product],A5,SalesData[Profit])</f>
        <v>904535.69999999984</v>
      </c>
    </row>
    <row r="6" spans="1:3" x14ac:dyDescent="0.3">
      <c r="A6" t="str">
        <v>Smartphone</v>
      </c>
      <c r="B6">
        <f>SUMIF(SalesData[Product],A6,SalesData[Sales])</f>
        <v>4547280</v>
      </c>
      <c r="C6">
        <f>SUMIF(SalesData[Product],A6,SalesData[Profit])</f>
        <v>918032.8</v>
      </c>
    </row>
    <row r="7" spans="1:3" x14ac:dyDescent="0.3">
      <c r="A7" t="str">
        <v>External Hard Drive</v>
      </c>
      <c r="B7">
        <f>SUMIF(SalesData[Product],A7,SalesData[Sales])</f>
        <v>1553890</v>
      </c>
      <c r="C7">
        <f>SUMIF(SalesData[Product],A7,SalesData[Profit])</f>
        <v>306801.72999999992</v>
      </c>
    </row>
    <row r="8" spans="1:3" x14ac:dyDescent="0.3">
      <c r="A8" t="str">
        <v>Mouse</v>
      </c>
      <c r="B8">
        <f>SUMIF(SalesData[Product],A8,SalesData[Sales])</f>
        <v>168876</v>
      </c>
      <c r="C8">
        <f>SUMIF(SalesData[Product],A8,SalesData[Profit])</f>
        <v>55021.640000000014</v>
      </c>
    </row>
    <row r="9" spans="1:3" x14ac:dyDescent="0.3">
      <c r="A9" t="str">
        <v>Office Chair</v>
      </c>
      <c r="B9">
        <f>SUMIF(SalesData[Product],A9,SalesData[Sales])</f>
        <v>1038120</v>
      </c>
      <c r="C9">
        <f>SUMIF(SalesData[Product],A9,SalesData[Profit])</f>
        <v>234556.59999999998</v>
      </c>
    </row>
    <row r="10" spans="1:3" x14ac:dyDescent="0.3">
      <c r="A10" t="str">
        <v>Desk</v>
      </c>
      <c r="B10">
        <f>SUMIF(SalesData[Product],A10,SalesData[Sales])</f>
        <v>1325360</v>
      </c>
      <c r="C10">
        <f>SUMIF(SalesData[Product],A10,SalesData[Profit])</f>
        <v>288514.37000000005</v>
      </c>
    </row>
    <row r="11" spans="1:3" x14ac:dyDescent="0.3">
      <c r="A11" t="str">
        <v>Backpack</v>
      </c>
      <c r="B11">
        <f>SUMIF(SalesData[Product],A11,SalesData[Sales])</f>
        <v>430694</v>
      </c>
      <c r="C11">
        <f>SUMIF(SalesData[Product],A11,SalesData[Profit])</f>
        <v>133604.80000000002</v>
      </c>
    </row>
    <row r="12" spans="1:3" x14ac:dyDescent="0.3">
      <c r="A12" t="str">
        <v>Notebook</v>
      </c>
      <c r="B12">
        <f>SUMIF(SalesData[Product],A12,SalesData[Sales])</f>
        <v>82660</v>
      </c>
      <c r="C12">
        <f>SUMIF(SalesData[Product],A12,SalesData[Profit])</f>
        <v>24409.569999999996</v>
      </c>
    </row>
    <row r="13" spans="1:3" x14ac:dyDescent="0.3">
      <c r="A13" t="str">
        <v>Webcam</v>
      </c>
      <c r="B13">
        <f>SUMIF(SalesData[Product],A13,SalesData[Sales])</f>
        <v>771680</v>
      </c>
      <c r="C13">
        <f>SUMIF(SalesData[Product],A13,SalesData[Profit])</f>
        <v>194856.30000000002</v>
      </c>
    </row>
    <row r="14" spans="1:3" x14ac:dyDescent="0.3">
      <c r="A14" t="str">
        <v>USB Hub</v>
      </c>
      <c r="B14">
        <f>SUMIF(SalesData[Product],A14,SalesData[Sales])</f>
        <v>201576</v>
      </c>
      <c r="C14">
        <f>SUMIF(SalesData[Product],A14,SalesData[Profit])</f>
        <v>56775.079999999987</v>
      </c>
    </row>
    <row r="15" spans="1:3" x14ac:dyDescent="0.3">
      <c r="A15" t="str">
        <v>Pen Set</v>
      </c>
      <c r="B15">
        <f>SUMIF(SalesData[Product],A15,SalesData[Sales])</f>
        <v>82176</v>
      </c>
      <c r="C15">
        <f>SUMIF(SalesData[Product],A15,SalesData[Profit])</f>
        <v>26253.21</v>
      </c>
    </row>
    <row r="16" spans="1:3" x14ac:dyDescent="0.3">
      <c r="A16" t="str">
        <v>Calculator</v>
      </c>
      <c r="B16">
        <f>SUMIF(SalesData[Product],A16,SalesData[Sales])</f>
        <v>178776</v>
      </c>
      <c r="C16">
        <f>SUMIF(SalesData[Product],A16,SalesData[Profit])</f>
        <v>53748.409999999996</v>
      </c>
    </row>
    <row r="17" spans="1:3" x14ac:dyDescent="0.3">
      <c r="A17" t="str">
        <v>Desk Organizer</v>
      </c>
      <c r="B17">
        <f>SUMIF(SalesData[Product],A17,SalesData[Sales])</f>
        <v>159180</v>
      </c>
      <c r="C17">
        <f>SUMIF(SalesData[Product],A17,SalesData[Profit])</f>
        <v>48793.649999999987</v>
      </c>
    </row>
    <row r="18" spans="1:3" x14ac:dyDescent="0.3">
      <c r="A18" t="str">
        <v>Headphones</v>
      </c>
      <c r="B18">
        <f>SUMIF(SalesData[Product],A18,SalesData[Sales])</f>
        <v>825810</v>
      </c>
      <c r="C18">
        <f>SUMIF(SalesData[Product],A18,SalesData[Profit])</f>
        <v>269876.70999999996</v>
      </c>
    </row>
    <row r="19" spans="1:3" x14ac:dyDescent="0.3">
      <c r="A19" t="str">
        <v>Table Lamp</v>
      </c>
      <c r="B19">
        <f>SUMIF(SalesData[Product],A19,SalesData[Sales])</f>
        <v>467766</v>
      </c>
      <c r="C19">
        <f>SUMIF(SalesData[Product],A19,SalesData[Profit])</f>
        <v>127923.38000000002</v>
      </c>
    </row>
    <row r="20" spans="1:3" x14ac:dyDescent="0.3">
      <c r="A20" t="str">
        <v>Laptop</v>
      </c>
      <c r="B20">
        <f>SUMIF(SalesData[Product],A20,SalesData[Sales])</f>
        <v>8109200</v>
      </c>
      <c r="C20">
        <f>SUMIF(SalesData[Product],A20,SalesData[Profit])</f>
        <v>1287864.51</v>
      </c>
    </row>
    <row r="21" spans="1:3" x14ac:dyDescent="0.3">
      <c r="A21" t="str">
        <v>Bookshelf</v>
      </c>
      <c r="B21">
        <f>SUMIF(SalesData[Product],A21,SalesData[Sales])</f>
        <v>1449140</v>
      </c>
      <c r="C21">
        <f>SUMIF(SalesData[Product],A21,SalesData[Profit])</f>
        <v>320837.95999999996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2DE4-5C99-448E-90BA-7FB5059E33B0}">
  <dimension ref="A1:C250"/>
  <sheetViews>
    <sheetView workbookViewId="0">
      <selection activeCell="D2" sqref="D2"/>
    </sheetView>
  </sheetViews>
  <sheetFormatPr defaultRowHeight="14.4" x14ac:dyDescent="0.3"/>
  <sheetData>
    <row r="1" spans="1:3" x14ac:dyDescent="0.3">
      <c r="A1" t="s">
        <v>17917</v>
      </c>
      <c r="B1" t="s">
        <v>17912</v>
      </c>
      <c r="C1" t="s">
        <v>17913</v>
      </c>
    </row>
    <row r="2" spans="1:3" x14ac:dyDescent="0.3">
      <c r="A2" t="str" cm="1">
        <f t="array" ref="A2:A250">_xlfn.UNIQUE(_xlfn._xlws.FILTER(SalesData[Customer_ID],SalesData[Customer_ID]&lt;&gt;""))</f>
        <v>C164</v>
      </c>
      <c r="B2">
        <f>SUMIF(SalesData[Customer_ID],A2,SalesData[Sales])</f>
        <v>43852</v>
      </c>
      <c r="C2">
        <f>SUMIF(SalesData[Customer_ID],A2,SalesData[Profit])</f>
        <v>10478.61</v>
      </c>
    </row>
    <row r="3" spans="1:3" x14ac:dyDescent="0.3">
      <c r="A3" t="str">
        <v>C189</v>
      </c>
      <c r="B3">
        <f>SUMIF(SalesData[Customer_ID],A3,SalesData[Sales])</f>
        <v>76140</v>
      </c>
      <c r="C3">
        <f>SUMIF(SalesData[Customer_ID],A3,SalesData[Profit])</f>
        <v>16523.03</v>
      </c>
    </row>
    <row r="4" spans="1:3" x14ac:dyDescent="0.3">
      <c r="A4" t="str">
        <v>C056</v>
      </c>
      <c r="B4">
        <f>SUMIF(SalesData[Customer_ID],A4,SalesData[Sales])</f>
        <v>17424</v>
      </c>
      <c r="C4">
        <f>SUMIF(SalesData[Customer_ID],A4,SalesData[Profit])</f>
        <v>4017.2299999999996</v>
      </c>
    </row>
    <row r="5" spans="1:3" x14ac:dyDescent="0.3">
      <c r="A5" t="str">
        <v>C108</v>
      </c>
      <c r="B5">
        <f>SUMIF(SalesData[Customer_ID],A5,SalesData[Sales])</f>
        <v>260835</v>
      </c>
      <c r="C5">
        <f>SUMIF(SalesData[Customer_ID],A5,SalesData[Profit])</f>
        <v>53920.78</v>
      </c>
    </row>
    <row r="6" spans="1:3" x14ac:dyDescent="0.3">
      <c r="A6" t="str">
        <v>C195</v>
      </c>
      <c r="B6">
        <f>SUMIF(SalesData[Customer_ID],A6,SalesData[Sales])</f>
        <v>231050</v>
      </c>
      <c r="C6">
        <f>SUMIF(SalesData[Customer_ID],A6,SalesData[Profit])</f>
        <v>43383.1</v>
      </c>
    </row>
    <row r="7" spans="1:3" x14ac:dyDescent="0.3">
      <c r="A7" t="str">
        <v>C027</v>
      </c>
      <c r="B7">
        <f>SUMIF(SalesData[Customer_ID],A7,SalesData[Sales])</f>
        <v>505012</v>
      </c>
      <c r="C7">
        <f>SUMIF(SalesData[Customer_ID],A7,SalesData[Profit])</f>
        <v>85228.170000000013</v>
      </c>
    </row>
    <row r="8" spans="1:3" x14ac:dyDescent="0.3">
      <c r="A8" t="str">
        <v>C068</v>
      </c>
      <c r="B8">
        <f>SUMIF(SalesData[Customer_ID],A8,SalesData[Sales])</f>
        <v>200178</v>
      </c>
      <c r="C8">
        <f>SUMIF(SalesData[Customer_ID],A8,SalesData[Profit])</f>
        <v>46640.090000000004</v>
      </c>
    </row>
    <row r="9" spans="1:3" x14ac:dyDescent="0.3">
      <c r="A9" t="str">
        <v>C021</v>
      </c>
      <c r="B9">
        <f>SUMIF(SalesData[Customer_ID],A9,SalesData[Sales])</f>
        <v>98390</v>
      </c>
      <c r="C9">
        <f>SUMIF(SalesData[Customer_ID],A9,SalesData[Profit])</f>
        <v>21765.360000000001</v>
      </c>
    </row>
    <row r="10" spans="1:3" x14ac:dyDescent="0.3">
      <c r="A10" t="str">
        <v>C148</v>
      </c>
      <c r="B10">
        <f>SUMIF(SalesData[Customer_ID],A10,SalesData[Sales])</f>
        <v>79130</v>
      </c>
      <c r="C10">
        <f>SUMIF(SalesData[Customer_ID],A10,SalesData[Profit])</f>
        <v>17760.77</v>
      </c>
    </row>
    <row r="11" spans="1:3" x14ac:dyDescent="0.3">
      <c r="A11" t="str">
        <v>C042</v>
      </c>
      <c r="B11">
        <f>SUMIF(SalesData[Customer_ID],A11,SalesData[Sales])</f>
        <v>139370</v>
      </c>
      <c r="C11">
        <f>SUMIF(SalesData[Customer_ID],A11,SalesData[Profit])</f>
        <v>28522.400000000001</v>
      </c>
    </row>
    <row r="12" spans="1:3" x14ac:dyDescent="0.3">
      <c r="A12" t="str">
        <v>C156</v>
      </c>
      <c r="B12">
        <f>SUMIF(SalesData[Customer_ID],A12,SalesData[Sales])</f>
        <v>15016</v>
      </c>
      <c r="C12">
        <f>SUMIF(SalesData[Customer_ID],A12,SalesData[Profit])</f>
        <v>4484.0300000000007</v>
      </c>
    </row>
    <row r="13" spans="1:3" x14ac:dyDescent="0.3">
      <c r="A13" t="str">
        <v>C057</v>
      </c>
      <c r="B13">
        <f>SUMIF(SalesData[Customer_ID],A13,SalesData[Sales])</f>
        <v>34848</v>
      </c>
      <c r="C13">
        <f>SUMIF(SalesData[Customer_ID],A13,SalesData[Profit])</f>
        <v>8559.82</v>
      </c>
    </row>
    <row r="14" spans="1:3" x14ac:dyDescent="0.3">
      <c r="A14" t="str">
        <v>C069</v>
      </c>
      <c r="B14">
        <f>SUMIF(SalesData[Customer_ID],A14,SalesData[Sales])</f>
        <v>276152</v>
      </c>
      <c r="C14">
        <f>SUMIF(SalesData[Customer_ID],A14,SalesData[Profit])</f>
        <v>42925.440000000002</v>
      </c>
    </row>
    <row r="15" spans="1:3" x14ac:dyDescent="0.3">
      <c r="A15" t="str">
        <v>C102</v>
      </c>
      <c r="B15">
        <f>SUMIF(SalesData[Customer_ID],A15,SalesData[Sales])</f>
        <v>166474</v>
      </c>
      <c r="C15">
        <f>SUMIF(SalesData[Customer_ID],A15,SalesData[Profit])</f>
        <v>33812.160000000003</v>
      </c>
    </row>
    <row r="16" spans="1:3" x14ac:dyDescent="0.3">
      <c r="A16" t="str">
        <v>C138</v>
      </c>
      <c r="B16">
        <f>SUMIF(SalesData[Customer_ID],A16,SalesData[Sales])</f>
        <v>53550</v>
      </c>
      <c r="C16">
        <f>SUMIF(SalesData[Customer_ID],A16,SalesData[Profit])</f>
        <v>12451.23</v>
      </c>
    </row>
    <row r="17" spans="1:3" x14ac:dyDescent="0.3">
      <c r="A17" t="str">
        <v>C131</v>
      </c>
      <c r="B17">
        <f>SUMIF(SalesData[Customer_ID],A17,SalesData[Sales])</f>
        <v>162836</v>
      </c>
      <c r="C17">
        <f>SUMIF(SalesData[Customer_ID],A17,SalesData[Profit])</f>
        <v>30715.17</v>
      </c>
    </row>
    <row r="18" spans="1:3" x14ac:dyDescent="0.3">
      <c r="A18" t="str">
        <v>C161</v>
      </c>
      <c r="B18">
        <f>SUMIF(SalesData[Customer_ID],A18,SalesData[Sales])</f>
        <v>12444</v>
      </c>
      <c r="C18">
        <f>SUMIF(SalesData[Customer_ID],A18,SalesData[Profit])</f>
        <v>3931.4</v>
      </c>
    </row>
    <row r="19" spans="1:3" x14ac:dyDescent="0.3">
      <c r="A19" t="str">
        <v>C120</v>
      </c>
      <c r="B19">
        <f>SUMIF(SalesData[Customer_ID],A19,SalesData[Sales])</f>
        <v>263406</v>
      </c>
      <c r="C19">
        <f>SUMIF(SalesData[Customer_ID],A19,SalesData[Profit])</f>
        <v>51402.11</v>
      </c>
    </row>
    <row r="20" spans="1:3" x14ac:dyDescent="0.3">
      <c r="A20" t="str">
        <v>C175</v>
      </c>
      <c r="B20">
        <f>SUMIF(SalesData[Customer_ID],A20,SalesData[Sales])</f>
        <v>101880</v>
      </c>
      <c r="C20">
        <f>SUMIF(SalesData[Customer_ID],A20,SalesData[Profit])</f>
        <v>21298.53</v>
      </c>
    </row>
    <row r="21" spans="1:3" x14ac:dyDescent="0.3">
      <c r="A21" t="str">
        <v>C112</v>
      </c>
      <c r="B21">
        <f>SUMIF(SalesData[Customer_ID],A21,SalesData[Sales])</f>
        <v>553780</v>
      </c>
      <c r="C21">
        <f>SUMIF(SalesData[Customer_ID],A21,SalesData[Profit])</f>
        <v>98190.98</v>
      </c>
    </row>
    <row r="22" spans="1:3" x14ac:dyDescent="0.3">
      <c r="A22" t="str">
        <v>C130</v>
      </c>
      <c r="B22">
        <f>SUMIF(SalesData[Customer_ID],A22,SalesData[Sales])</f>
        <v>161583</v>
      </c>
      <c r="C22">
        <f>SUMIF(SalesData[Customer_ID],A22,SalesData[Profit])</f>
        <v>36367.339999999997</v>
      </c>
    </row>
    <row r="23" spans="1:3" x14ac:dyDescent="0.3">
      <c r="A23" t="str">
        <v>C040</v>
      </c>
      <c r="B23">
        <f>SUMIF(SalesData[Customer_ID],A23,SalesData[Sales])</f>
        <v>20882</v>
      </c>
      <c r="C23">
        <f>SUMIF(SalesData[Customer_ID],A23,SalesData[Profit])</f>
        <v>5469.66</v>
      </c>
    </row>
    <row r="24" spans="1:3" x14ac:dyDescent="0.3">
      <c r="A24" t="str">
        <v>C083</v>
      </c>
      <c r="B24">
        <f>SUMIF(SalesData[Customer_ID],A24,SalesData[Sales])</f>
        <v>95380</v>
      </c>
      <c r="C24">
        <f>SUMIF(SalesData[Customer_ID],A24,SalesData[Profit])</f>
        <v>20300.739999999998</v>
      </c>
    </row>
    <row r="25" spans="1:3" x14ac:dyDescent="0.3">
      <c r="A25" t="str">
        <v>C062</v>
      </c>
      <c r="B25">
        <f>SUMIF(SalesData[Customer_ID],A25,SalesData[Sales])</f>
        <v>148030</v>
      </c>
      <c r="C25">
        <f>SUMIF(SalesData[Customer_ID],A25,SalesData[Profit])</f>
        <v>27807.5</v>
      </c>
    </row>
    <row r="26" spans="1:3" x14ac:dyDescent="0.3">
      <c r="A26" t="str">
        <v>C209</v>
      </c>
      <c r="B26">
        <f>SUMIF(SalesData[Customer_ID],A26,SalesData[Sales])</f>
        <v>213898</v>
      </c>
      <c r="C26">
        <f>SUMIF(SalesData[Customer_ID],A26,SalesData[Profit])</f>
        <v>44325.58</v>
      </c>
    </row>
    <row r="27" spans="1:3" x14ac:dyDescent="0.3">
      <c r="A27" t="str">
        <v>C043</v>
      </c>
      <c r="B27">
        <f>SUMIF(SalesData[Customer_ID],A27,SalesData[Sales])</f>
        <v>27630</v>
      </c>
      <c r="C27">
        <f>SUMIF(SalesData[Customer_ID],A27,SalesData[Profit])</f>
        <v>7334.08</v>
      </c>
    </row>
    <row r="28" spans="1:3" x14ac:dyDescent="0.3">
      <c r="A28" t="str">
        <v>C183</v>
      </c>
      <c r="B28">
        <f>SUMIF(SalesData[Customer_ID],A28,SalesData[Sales])</f>
        <v>117825</v>
      </c>
      <c r="C28">
        <f>SUMIF(SalesData[Customer_ID],A28,SalesData[Profit])</f>
        <v>22464.390000000003</v>
      </c>
    </row>
    <row r="29" spans="1:3" x14ac:dyDescent="0.3">
      <c r="A29" t="str">
        <v>C116</v>
      </c>
      <c r="B29">
        <f>SUMIF(SalesData[Customer_ID],A29,SalesData[Sales])</f>
        <v>118780</v>
      </c>
      <c r="C29">
        <f>SUMIF(SalesData[Customer_ID],A29,SalesData[Profit])</f>
        <v>26103.489999999998</v>
      </c>
    </row>
    <row r="30" spans="1:3" x14ac:dyDescent="0.3">
      <c r="A30" t="str">
        <v>C142</v>
      </c>
      <c r="B30">
        <f>SUMIF(SalesData[Customer_ID],A30,SalesData[Sales])</f>
        <v>452518</v>
      </c>
      <c r="C30">
        <f>SUMIF(SalesData[Customer_ID],A30,SalesData[Profit])</f>
        <v>73340.490000000005</v>
      </c>
    </row>
    <row r="31" spans="1:3" x14ac:dyDescent="0.3">
      <c r="A31" t="str">
        <v>C059</v>
      </c>
      <c r="B31">
        <f>SUMIF(SalesData[Customer_ID],A31,SalesData[Sales])</f>
        <v>45675</v>
      </c>
      <c r="C31">
        <f>SUMIF(SalesData[Customer_ID],A31,SalesData[Profit])</f>
        <v>9279.33</v>
      </c>
    </row>
    <row r="32" spans="1:3" x14ac:dyDescent="0.3">
      <c r="A32" t="str">
        <v>C072</v>
      </c>
      <c r="B32">
        <f>SUMIF(SalesData[Customer_ID],A32,SalesData[Sales])</f>
        <v>550610</v>
      </c>
      <c r="C32">
        <f>SUMIF(SalesData[Customer_ID],A32,SalesData[Profit])</f>
        <v>97736.18</v>
      </c>
    </row>
    <row r="33" spans="1:3" x14ac:dyDescent="0.3">
      <c r="A33" t="str">
        <v>C025</v>
      </c>
      <c r="B33">
        <f>SUMIF(SalesData[Customer_ID],A33,SalesData[Sales])</f>
        <v>245394</v>
      </c>
      <c r="C33">
        <f>SUMIF(SalesData[Customer_ID],A33,SalesData[Profit])</f>
        <v>49133.35</v>
      </c>
    </row>
    <row r="34" spans="1:3" x14ac:dyDescent="0.3">
      <c r="A34" t="str">
        <v>C173</v>
      </c>
      <c r="B34">
        <f>SUMIF(SalesData[Customer_ID],A34,SalesData[Sales])</f>
        <v>174268</v>
      </c>
      <c r="C34">
        <f>SUMIF(SalesData[Customer_ID],A34,SalesData[Profit])</f>
        <v>30362.86</v>
      </c>
    </row>
    <row r="35" spans="1:3" x14ac:dyDescent="0.3">
      <c r="A35" t="str">
        <v>C064</v>
      </c>
      <c r="B35">
        <f>SUMIF(SalesData[Customer_ID],A35,SalesData[Sales])</f>
        <v>183630</v>
      </c>
      <c r="C35">
        <f>SUMIF(SalesData[Customer_ID],A35,SalesData[Profit])</f>
        <v>38579.94</v>
      </c>
    </row>
    <row r="36" spans="1:3" x14ac:dyDescent="0.3">
      <c r="A36" t="str">
        <v>C026</v>
      </c>
      <c r="B36">
        <f>SUMIF(SalesData[Customer_ID],A36,SalesData[Sales])</f>
        <v>34758</v>
      </c>
      <c r="C36">
        <f>SUMIF(SalesData[Customer_ID],A36,SalesData[Profit])</f>
        <v>8073.75</v>
      </c>
    </row>
    <row r="37" spans="1:3" x14ac:dyDescent="0.3">
      <c r="A37" t="str">
        <v>C124</v>
      </c>
      <c r="B37">
        <f>SUMIF(SalesData[Customer_ID],A37,SalesData[Sales])</f>
        <v>63900</v>
      </c>
      <c r="C37">
        <f>SUMIF(SalesData[Customer_ID],A37,SalesData[Profit])</f>
        <v>13745.16</v>
      </c>
    </row>
    <row r="38" spans="1:3" x14ac:dyDescent="0.3">
      <c r="A38" t="str">
        <v>C170</v>
      </c>
      <c r="B38">
        <f>SUMIF(SalesData[Customer_ID],A38,SalesData[Sales])</f>
        <v>150990</v>
      </c>
      <c r="C38">
        <f>SUMIF(SalesData[Customer_ID],A38,SalesData[Profit])</f>
        <v>34757.46</v>
      </c>
    </row>
    <row r="39" spans="1:3" x14ac:dyDescent="0.3">
      <c r="A39" t="str">
        <v>C149</v>
      </c>
      <c r="B39">
        <f>SUMIF(SalesData[Customer_ID],A39,SalesData[Sales])</f>
        <v>29327</v>
      </c>
      <c r="C39">
        <f>SUMIF(SalesData[Customer_ID],A39,SalesData[Profit])</f>
        <v>5672.42</v>
      </c>
    </row>
    <row r="40" spans="1:3" x14ac:dyDescent="0.3">
      <c r="A40" t="str">
        <v>C123</v>
      </c>
      <c r="B40">
        <f>SUMIF(SalesData[Customer_ID],A40,SalesData[Sales])</f>
        <v>80180</v>
      </c>
      <c r="C40">
        <f>SUMIF(SalesData[Customer_ID],A40,SalesData[Profit])</f>
        <v>18833.45</v>
      </c>
    </row>
    <row r="41" spans="1:3" x14ac:dyDescent="0.3">
      <c r="A41" t="str">
        <v>C018</v>
      </c>
      <c r="B41">
        <f>SUMIF(SalesData[Customer_ID],A41,SalesData[Sales])</f>
        <v>1360</v>
      </c>
      <c r="C41">
        <f>SUMIF(SalesData[Customer_ID],A41,SalesData[Profit])</f>
        <v>398.55</v>
      </c>
    </row>
    <row r="42" spans="1:3" x14ac:dyDescent="0.3">
      <c r="A42" t="str">
        <v>C145</v>
      </c>
      <c r="B42">
        <f>SUMIF(SalesData[Customer_ID],A42,SalesData[Sales])</f>
        <v>80340</v>
      </c>
      <c r="C42">
        <f>SUMIF(SalesData[Customer_ID],A42,SalesData[Profit])</f>
        <v>16648.47</v>
      </c>
    </row>
    <row r="43" spans="1:3" x14ac:dyDescent="0.3">
      <c r="A43" t="str">
        <v>C081</v>
      </c>
      <c r="B43">
        <f>SUMIF(SalesData[Customer_ID],A43,SalesData[Sales])</f>
        <v>32620</v>
      </c>
      <c r="C43">
        <f>SUMIF(SalesData[Customer_ID],A43,SalesData[Profit])</f>
        <v>6437.6500000000005</v>
      </c>
    </row>
    <row r="44" spans="1:3" x14ac:dyDescent="0.3">
      <c r="A44" t="str">
        <v>C019</v>
      </c>
      <c r="B44">
        <f>SUMIF(SalesData[Customer_ID],A44,SalesData[Sales])</f>
        <v>400440</v>
      </c>
      <c r="C44">
        <f>SUMIF(SalesData[Customer_ID],A44,SalesData[Profit])</f>
        <v>69824.710000000006</v>
      </c>
    </row>
    <row r="45" spans="1:3" x14ac:dyDescent="0.3">
      <c r="A45" t="str">
        <v>C226</v>
      </c>
      <c r="B45">
        <f>SUMIF(SalesData[Customer_ID],A45,SalesData[Sales])</f>
        <v>108884</v>
      </c>
      <c r="C45">
        <f>SUMIF(SalesData[Customer_ID],A45,SalesData[Profit])</f>
        <v>16604.879999999997</v>
      </c>
    </row>
    <row r="46" spans="1:3" x14ac:dyDescent="0.3">
      <c r="A46" t="str">
        <v>C181</v>
      </c>
      <c r="B46">
        <f>SUMIF(SalesData[Customer_ID],A46,SalesData[Sales])</f>
        <v>60305</v>
      </c>
      <c r="C46">
        <f>SUMIF(SalesData[Customer_ID],A46,SalesData[Profit])</f>
        <v>15426.970000000001</v>
      </c>
    </row>
    <row r="47" spans="1:3" x14ac:dyDescent="0.3">
      <c r="A47" t="str">
        <v>C241</v>
      </c>
      <c r="B47">
        <f>SUMIF(SalesData[Customer_ID],A47,SalesData[Sales])</f>
        <v>20600</v>
      </c>
      <c r="C47">
        <f>SUMIF(SalesData[Customer_ID],A47,SalesData[Profit])</f>
        <v>6870.47</v>
      </c>
    </row>
    <row r="48" spans="1:3" x14ac:dyDescent="0.3">
      <c r="A48" t="str">
        <v>C070</v>
      </c>
      <c r="B48">
        <f>SUMIF(SalesData[Customer_ID],A48,SalesData[Sales])</f>
        <v>169020</v>
      </c>
      <c r="C48">
        <f>SUMIF(SalesData[Customer_ID],A48,SalesData[Profit])</f>
        <v>28054.799999999999</v>
      </c>
    </row>
    <row r="49" spans="1:3" x14ac:dyDescent="0.3">
      <c r="A49" t="str">
        <v>C213</v>
      </c>
      <c r="B49">
        <f>SUMIF(SalesData[Customer_ID],A49,SalesData[Sales])</f>
        <v>127580</v>
      </c>
      <c r="C49">
        <f>SUMIF(SalesData[Customer_ID],A49,SalesData[Profit])</f>
        <v>25559.010000000002</v>
      </c>
    </row>
    <row r="50" spans="1:3" x14ac:dyDescent="0.3">
      <c r="A50" t="str">
        <v>C140</v>
      </c>
      <c r="B50">
        <f>SUMIF(SalesData[Customer_ID],A50,SalesData[Sales])</f>
        <v>292000</v>
      </c>
      <c r="C50">
        <f>SUMIF(SalesData[Customer_ID],A50,SalesData[Profit])</f>
        <v>58297.84</v>
      </c>
    </row>
    <row r="51" spans="1:3" x14ac:dyDescent="0.3">
      <c r="A51" t="str">
        <v>C011</v>
      </c>
      <c r="B51">
        <f>SUMIF(SalesData[Customer_ID],A51,SalesData[Sales])</f>
        <v>91420</v>
      </c>
      <c r="C51">
        <f>SUMIF(SalesData[Customer_ID],A51,SalesData[Profit])</f>
        <v>22704.21</v>
      </c>
    </row>
    <row r="52" spans="1:3" x14ac:dyDescent="0.3">
      <c r="A52" t="str">
        <v>C250</v>
      </c>
      <c r="B52">
        <f>SUMIF(SalesData[Customer_ID],A52,SalesData[Sales])</f>
        <v>188352</v>
      </c>
      <c r="C52">
        <f>SUMIF(SalesData[Customer_ID],A52,SalesData[Profit])</f>
        <v>37680.92</v>
      </c>
    </row>
    <row r="53" spans="1:3" x14ac:dyDescent="0.3">
      <c r="A53" t="str">
        <v>C206</v>
      </c>
      <c r="B53">
        <f>SUMIF(SalesData[Customer_ID],A53,SalesData[Sales])</f>
        <v>64400</v>
      </c>
      <c r="C53">
        <f>SUMIF(SalesData[Customer_ID],A53,SalesData[Profit])</f>
        <v>13148.78</v>
      </c>
    </row>
    <row r="54" spans="1:3" x14ac:dyDescent="0.3">
      <c r="A54" t="str">
        <v>C220</v>
      </c>
      <c r="B54">
        <f>SUMIF(SalesData[Customer_ID],A54,SalesData[Sales])</f>
        <v>33228</v>
      </c>
      <c r="C54">
        <f>SUMIF(SalesData[Customer_ID],A54,SalesData[Profit])</f>
        <v>9451.91</v>
      </c>
    </row>
    <row r="55" spans="1:3" x14ac:dyDescent="0.3">
      <c r="A55" t="str">
        <v>C058</v>
      </c>
      <c r="B55">
        <f>SUMIF(SalesData[Customer_ID],A55,SalesData[Sales])</f>
        <v>218960</v>
      </c>
      <c r="C55">
        <f>SUMIF(SalesData[Customer_ID],A55,SalesData[Profit])</f>
        <v>36176.520000000004</v>
      </c>
    </row>
    <row r="56" spans="1:3" x14ac:dyDescent="0.3">
      <c r="A56" t="str">
        <v>C248</v>
      </c>
      <c r="B56">
        <f>SUMIF(SalesData[Customer_ID],A56,SalesData[Sales])</f>
        <v>197350</v>
      </c>
      <c r="C56">
        <f>SUMIF(SalesData[Customer_ID],A56,SalesData[Profit])</f>
        <v>40455.639999999992</v>
      </c>
    </row>
    <row r="57" spans="1:3" x14ac:dyDescent="0.3">
      <c r="A57" t="str">
        <v>C085</v>
      </c>
      <c r="B57">
        <f>SUMIF(SalesData[Customer_ID],A57,SalesData[Sales])</f>
        <v>317640</v>
      </c>
      <c r="C57">
        <f>SUMIF(SalesData[Customer_ID],A57,SalesData[Profit])</f>
        <v>60286.34</v>
      </c>
    </row>
    <row r="58" spans="1:3" x14ac:dyDescent="0.3">
      <c r="A58" t="str">
        <v>C010</v>
      </c>
      <c r="B58">
        <f>SUMIF(SalesData[Customer_ID],A58,SalesData[Sales])</f>
        <v>126430</v>
      </c>
      <c r="C58">
        <f>SUMIF(SalesData[Customer_ID],A58,SalesData[Profit])</f>
        <v>24858.9</v>
      </c>
    </row>
    <row r="59" spans="1:3" x14ac:dyDescent="0.3">
      <c r="A59" t="str">
        <v>C030</v>
      </c>
      <c r="B59">
        <f>SUMIF(SalesData[Customer_ID],A59,SalesData[Sales])</f>
        <v>419850</v>
      </c>
      <c r="C59">
        <f>SUMIF(SalesData[Customer_ID],A59,SalesData[Profit])</f>
        <v>77999.56</v>
      </c>
    </row>
    <row r="60" spans="1:3" x14ac:dyDescent="0.3">
      <c r="A60" t="str">
        <v>C134</v>
      </c>
      <c r="B60">
        <f>SUMIF(SalesData[Customer_ID],A60,SalesData[Sales])</f>
        <v>124964</v>
      </c>
      <c r="C60">
        <f>SUMIF(SalesData[Customer_ID],A60,SalesData[Profit])</f>
        <v>24562.22</v>
      </c>
    </row>
    <row r="61" spans="1:3" x14ac:dyDescent="0.3">
      <c r="A61" t="str">
        <v>C160</v>
      </c>
      <c r="B61">
        <f>SUMIF(SalesData[Customer_ID],A61,SalesData[Sales])</f>
        <v>43744</v>
      </c>
      <c r="C61">
        <f>SUMIF(SalesData[Customer_ID],A61,SalesData[Profit])</f>
        <v>9971.1000000000022</v>
      </c>
    </row>
    <row r="62" spans="1:3" x14ac:dyDescent="0.3">
      <c r="A62" t="str">
        <v>C084</v>
      </c>
      <c r="B62">
        <f>SUMIF(SalesData[Customer_ID],A62,SalesData[Sales])</f>
        <v>76592</v>
      </c>
      <c r="C62">
        <f>SUMIF(SalesData[Customer_ID],A62,SalesData[Profit])</f>
        <v>16659.830000000002</v>
      </c>
    </row>
    <row r="63" spans="1:3" x14ac:dyDescent="0.3">
      <c r="A63" t="str">
        <v>C174</v>
      </c>
      <c r="B63">
        <f>SUMIF(SalesData[Customer_ID],A63,SalesData[Sales])</f>
        <v>95760</v>
      </c>
      <c r="C63">
        <f>SUMIF(SalesData[Customer_ID],A63,SalesData[Profit])</f>
        <v>23032.720000000001</v>
      </c>
    </row>
    <row r="64" spans="1:3" x14ac:dyDescent="0.3">
      <c r="A64" t="str">
        <v>C074</v>
      </c>
      <c r="B64">
        <f>SUMIF(SalesData[Customer_ID],A64,SalesData[Sales])</f>
        <v>300480</v>
      </c>
      <c r="C64">
        <f>SUMIF(SalesData[Customer_ID],A64,SalesData[Profit])</f>
        <v>55263.159999999996</v>
      </c>
    </row>
    <row r="65" spans="1:3" x14ac:dyDescent="0.3">
      <c r="A65" t="str">
        <v>C169</v>
      </c>
      <c r="B65">
        <f>SUMIF(SalesData[Customer_ID],A65,SalesData[Sales])</f>
        <v>210290</v>
      </c>
      <c r="C65">
        <f>SUMIF(SalesData[Customer_ID],A65,SalesData[Profit])</f>
        <v>39911.259999999995</v>
      </c>
    </row>
    <row r="66" spans="1:3" x14ac:dyDescent="0.3">
      <c r="A66" t="str">
        <v>C024</v>
      </c>
      <c r="B66">
        <f>SUMIF(SalesData[Customer_ID],A66,SalesData[Sales])</f>
        <v>195900</v>
      </c>
      <c r="C66">
        <f>SUMIF(SalesData[Customer_ID],A66,SalesData[Profit])</f>
        <v>42376.649999999994</v>
      </c>
    </row>
    <row r="67" spans="1:3" x14ac:dyDescent="0.3">
      <c r="A67" t="str">
        <v>C063</v>
      </c>
      <c r="B67">
        <f>SUMIF(SalesData[Customer_ID],A67,SalesData[Sales])</f>
        <v>214850</v>
      </c>
      <c r="C67">
        <f>SUMIF(SalesData[Customer_ID],A67,SalesData[Profit])</f>
        <v>49794.61</v>
      </c>
    </row>
    <row r="68" spans="1:3" x14ac:dyDescent="0.3">
      <c r="A68" t="str">
        <v>C050</v>
      </c>
      <c r="B68">
        <f>SUMIF(SalesData[Customer_ID],A68,SalesData[Sales])</f>
        <v>101740</v>
      </c>
      <c r="C68">
        <f>SUMIF(SalesData[Customer_ID],A68,SalesData[Profit])</f>
        <v>21246.500000000004</v>
      </c>
    </row>
    <row r="69" spans="1:3" x14ac:dyDescent="0.3">
      <c r="A69" t="str">
        <v>C229</v>
      </c>
      <c r="B69">
        <f>SUMIF(SalesData[Customer_ID],A69,SalesData[Sales])</f>
        <v>209772</v>
      </c>
      <c r="C69">
        <f>SUMIF(SalesData[Customer_ID],A69,SalesData[Profit])</f>
        <v>41378.269999999997</v>
      </c>
    </row>
    <row r="70" spans="1:3" x14ac:dyDescent="0.3">
      <c r="A70" t="str">
        <v>C119</v>
      </c>
      <c r="B70">
        <f>SUMIF(SalesData[Customer_ID],A70,SalesData[Sales])</f>
        <v>91040</v>
      </c>
      <c r="C70">
        <f>SUMIF(SalesData[Customer_ID],A70,SalesData[Profit])</f>
        <v>17721.59</v>
      </c>
    </row>
    <row r="71" spans="1:3" x14ac:dyDescent="0.3">
      <c r="A71" t="str">
        <v>C171</v>
      </c>
      <c r="B71">
        <f>SUMIF(SalesData[Customer_ID],A71,SalesData[Sales])</f>
        <v>16560</v>
      </c>
      <c r="C71">
        <f>SUMIF(SalesData[Customer_ID],A71,SalesData[Profit])</f>
        <v>3968.93</v>
      </c>
    </row>
    <row r="72" spans="1:3" x14ac:dyDescent="0.3">
      <c r="A72" t="str">
        <v>C110</v>
      </c>
      <c r="B72">
        <f>SUMIF(SalesData[Customer_ID],A72,SalesData[Sales])</f>
        <v>55520</v>
      </c>
      <c r="C72">
        <f>SUMIF(SalesData[Customer_ID],A72,SalesData[Profit])</f>
        <v>11481.2</v>
      </c>
    </row>
    <row r="73" spans="1:3" x14ac:dyDescent="0.3">
      <c r="A73" t="str">
        <v>C216</v>
      </c>
      <c r="B73">
        <f>SUMIF(SalesData[Customer_ID],A73,SalesData[Sales])</f>
        <v>17670</v>
      </c>
      <c r="C73">
        <f>SUMIF(SalesData[Customer_ID],A73,SalesData[Profit])</f>
        <v>3823.6099999999997</v>
      </c>
    </row>
    <row r="74" spans="1:3" x14ac:dyDescent="0.3">
      <c r="A74" t="str">
        <v>C017</v>
      </c>
      <c r="B74">
        <f>SUMIF(SalesData[Customer_ID],A74,SalesData[Sales])</f>
        <v>150073</v>
      </c>
      <c r="C74">
        <f>SUMIF(SalesData[Customer_ID],A74,SalesData[Profit])</f>
        <v>34781.4</v>
      </c>
    </row>
    <row r="75" spans="1:3" x14ac:dyDescent="0.3">
      <c r="A75" t="str">
        <v>C053</v>
      </c>
      <c r="B75">
        <f>SUMIF(SalesData[Customer_ID],A75,SalesData[Sales])</f>
        <v>11505</v>
      </c>
      <c r="C75">
        <f>SUMIF(SalesData[Customer_ID],A75,SalesData[Profit])</f>
        <v>3324.09</v>
      </c>
    </row>
    <row r="76" spans="1:3" x14ac:dyDescent="0.3">
      <c r="A76" t="str">
        <v>C193</v>
      </c>
      <c r="B76">
        <f>SUMIF(SalesData[Customer_ID],A76,SalesData[Sales])</f>
        <v>119500</v>
      </c>
      <c r="C76">
        <f>SUMIF(SalesData[Customer_ID],A76,SalesData[Profit])</f>
        <v>22669.24</v>
      </c>
    </row>
    <row r="77" spans="1:3" x14ac:dyDescent="0.3">
      <c r="A77" t="str">
        <v>C125</v>
      </c>
      <c r="B77">
        <f>SUMIF(SalesData[Customer_ID],A77,SalesData[Sales])</f>
        <v>129600</v>
      </c>
      <c r="C77">
        <f>SUMIF(SalesData[Customer_ID],A77,SalesData[Profit])</f>
        <v>27345.97</v>
      </c>
    </row>
    <row r="78" spans="1:3" x14ac:dyDescent="0.3">
      <c r="A78" t="str">
        <v>C172</v>
      </c>
      <c r="B78">
        <f>SUMIF(SalesData[Customer_ID],A78,SalesData[Sales])</f>
        <v>21768</v>
      </c>
      <c r="C78">
        <f>SUMIF(SalesData[Customer_ID],A78,SalesData[Profit])</f>
        <v>5662.57</v>
      </c>
    </row>
    <row r="79" spans="1:3" x14ac:dyDescent="0.3">
      <c r="A79" t="str">
        <v>C137</v>
      </c>
      <c r="B79">
        <f>SUMIF(SalesData[Customer_ID],A79,SalesData[Sales])</f>
        <v>454100</v>
      </c>
      <c r="C79">
        <f>SUMIF(SalesData[Customer_ID],A79,SalesData[Profit])</f>
        <v>81805.87</v>
      </c>
    </row>
    <row r="80" spans="1:3" x14ac:dyDescent="0.3">
      <c r="A80" t="str">
        <v>C165</v>
      </c>
      <c r="B80">
        <f>SUMIF(SalesData[Customer_ID],A80,SalesData[Sales])</f>
        <v>44800</v>
      </c>
      <c r="C80">
        <f>SUMIF(SalesData[Customer_ID],A80,SalesData[Profit])</f>
        <v>9032.51</v>
      </c>
    </row>
    <row r="81" spans="1:3" x14ac:dyDescent="0.3">
      <c r="A81" t="str">
        <v>C098</v>
      </c>
      <c r="B81">
        <f>SUMIF(SalesData[Customer_ID],A81,SalesData[Sales])</f>
        <v>59676</v>
      </c>
      <c r="C81">
        <f>SUMIF(SalesData[Customer_ID],A81,SalesData[Profit])</f>
        <v>15597.09</v>
      </c>
    </row>
    <row r="82" spans="1:3" x14ac:dyDescent="0.3">
      <c r="A82" t="str">
        <v>C014</v>
      </c>
      <c r="B82">
        <f>SUMIF(SalesData[Customer_ID],A82,SalesData[Sales])</f>
        <v>153348</v>
      </c>
      <c r="C82">
        <f>SUMIF(SalesData[Customer_ID],A82,SalesData[Profit])</f>
        <v>30372.32</v>
      </c>
    </row>
    <row r="83" spans="1:3" x14ac:dyDescent="0.3">
      <c r="A83" t="str">
        <v>C194</v>
      </c>
      <c r="B83">
        <f>SUMIF(SalesData[Customer_ID],A83,SalesData[Sales])</f>
        <v>243600</v>
      </c>
      <c r="C83">
        <f>SUMIF(SalesData[Customer_ID],A83,SalesData[Profit])</f>
        <v>42093.89</v>
      </c>
    </row>
    <row r="84" spans="1:3" x14ac:dyDescent="0.3">
      <c r="A84" t="str">
        <v>C033</v>
      </c>
      <c r="B84">
        <f>SUMIF(SalesData[Customer_ID],A84,SalesData[Sales])</f>
        <v>57300</v>
      </c>
      <c r="C84">
        <f>SUMIF(SalesData[Customer_ID],A84,SalesData[Profit])</f>
        <v>12220.66</v>
      </c>
    </row>
    <row r="85" spans="1:3" x14ac:dyDescent="0.3">
      <c r="A85" t="str">
        <v>C197</v>
      </c>
      <c r="B85">
        <f>SUMIF(SalesData[Customer_ID],A85,SalesData[Sales])</f>
        <v>61666</v>
      </c>
      <c r="C85">
        <f>SUMIF(SalesData[Customer_ID],A85,SalesData[Profit])</f>
        <v>18461.389999999996</v>
      </c>
    </row>
    <row r="86" spans="1:3" x14ac:dyDescent="0.3">
      <c r="A86" t="str">
        <v>C200</v>
      </c>
      <c r="B86">
        <f>SUMIF(SalesData[Customer_ID],A86,SalesData[Sales])</f>
        <v>673820</v>
      </c>
      <c r="C86">
        <f>SUMIF(SalesData[Customer_ID],A86,SalesData[Profit])</f>
        <v>119325.77</v>
      </c>
    </row>
    <row r="87" spans="1:3" x14ac:dyDescent="0.3">
      <c r="A87" t="str">
        <v>C218</v>
      </c>
      <c r="B87">
        <f>SUMIF(SalesData[Customer_ID],A87,SalesData[Sales])</f>
        <v>97920</v>
      </c>
      <c r="C87">
        <f>SUMIF(SalesData[Customer_ID],A87,SalesData[Profit])</f>
        <v>19460.629999999997</v>
      </c>
    </row>
    <row r="88" spans="1:3" x14ac:dyDescent="0.3">
      <c r="A88" t="str">
        <v>C182</v>
      </c>
      <c r="B88">
        <f>SUMIF(SalesData[Customer_ID],A88,SalesData[Sales])</f>
        <v>23520</v>
      </c>
      <c r="C88">
        <f>SUMIF(SalesData[Customer_ID],A88,SalesData[Profit])</f>
        <v>8336.83</v>
      </c>
    </row>
    <row r="89" spans="1:3" x14ac:dyDescent="0.3">
      <c r="A89" t="str">
        <v>C158</v>
      </c>
      <c r="B89">
        <f>SUMIF(SalesData[Customer_ID],A89,SalesData[Sales])</f>
        <v>108032</v>
      </c>
      <c r="C89">
        <f>SUMIF(SalesData[Customer_ID],A89,SalesData[Profit])</f>
        <v>21215.360000000001</v>
      </c>
    </row>
    <row r="90" spans="1:3" x14ac:dyDescent="0.3">
      <c r="A90" t="str">
        <v>C047</v>
      </c>
      <c r="B90">
        <f>SUMIF(SalesData[Customer_ID],A90,SalesData[Sales])</f>
        <v>21617</v>
      </c>
      <c r="C90">
        <f>SUMIF(SalesData[Customer_ID],A90,SalesData[Profit])</f>
        <v>6041.36</v>
      </c>
    </row>
    <row r="91" spans="1:3" x14ac:dyDescent="0.3">
      <c r="A91" t="str">
        <v>C180</v>
      </c>
      <c r="B91">
        <f>SUMIF(SalesData[Customer_ID],A91,SalesData[Sales])</f>
        <v>86550</v>
      </c>
      <c r="C91">
        <f>SUMIF(SalesData[Customer_ID],A91,SalesData[Profit])</f>
        <v>19484.189999999999</v>
      </c>
    </row>
    <row r="92" spans="1:3" x14ac:dyDescent="0.3">
      <c r="A92" t="str">
        <v>C126</v>
      </c>
      <c r="B92">
        <f>SUMIF(SalesData[Customer_ID],A92,SalesData[Sales])</f>
        <v>265290</v>
      </c>
      <c r="C92">
        <f>SUMIF(SalesData[Customer_ID],A92,SalesData[Profit])</f>
        <v>46310.270000000004</v>
      </c>
    </row>
    <row r="93" spans="1:3" x14ac:dyDescent="0.3">
      <c r="A93" t="str">
        <v>C115</v>
      </c>
      <c r="B93">
        <f>SUMIF(SalesData[Customer_ID],A93,SalesData[Sales])</f>
        <v>155910</v>
      </c>
      <c r="C93">
        <f>SUMIF(SalesData[Customer_ID],A93,SalesData[Profit])</f>
        <v>26914.569999999996</v>
      </c>
    </row>
    <row r="94" spans="1:3" x14ac:dyDescent="0.3">
      <c r="A94" t="str">
        <v>C079</v>
      </c>
      <c r="B94">
        <f>SUMIF(SalesData[Customer_ID],A94,SalesData[Sales])</f>
        <v>87856</v>
      </c>
      <c r="C94">
        <f>SUMIF(SalesData[Customer_ID],A94,SalesData[Profit])</f>
        <v>20508.55</v>
      </c>
    </row>
    <row r="95" spans="1:3" x14ac:dyDescent="0.3">
      <c r="A95" t="str">
        <v>C191</v>
      </c>
      <c r="B95">
        <f>SUMIF(SalesData[Customer_ID],A95,SalesData[Sales])</f>
        <v>38730</v>
      </c>
      <c r="C95">
        <f>SUMIF(SalesData[Customer_ID],A95,SalesData[Profit])</f>
        <v>7765.4000000000005</v>
      </c>
    </row>
    <row r="96" spans="1:3" x14ac:dyDescent="0.3">
      <c r="A96" t="str">
        <v>C065</v>
      </c>
      <c r="B96">
        <f>SUMIF(SalesData[Customer_ID],A96,SalesData[Sales])</f>
        <v>343800</v>
      </c>
      <c r="C96">
        <f>SUMIF(SalesData[Customer_ID],A96,SalesData[Profit])</f>
        <v>62521.68</v>
      </c>
    </row>
    <row r="97" spans="1:3" x14ac:dyDescent="0.3">
      <c r="A97" t="str">
        <v>C244</v>
      </c>
      <c r="B97">
        <f>SUMIF(SalesData[Customer_ID],A97,SalesData[Sales])</f>
        <v>123856</v>
      </c>
      <c r="C97">
        <f>SUMIF(SalesData[Customer_ID],A97,SalesData[Profit])</f>
        <v>26897.219999999998</v>
      </c>
    </row>
    <row r="98" spans="1:3" x14ac:dyDescent="0.3">
      <c r="A98" t="str">
        <v>C046</v>
      </c>
      <c r="B98">
        <f>SUMIF(SalesData[Customer_ID],A98,SalesData[Sales])</f>
        <v>41126</v>
      </c>
      <c r="C98">
        <f>SUMIF(SalesData[Customer_ID],A98,SalesData[Profit])</f>
        <v>10820.98</v>
      </c>
    </row>
    <row r="99" spans="1:3" x14ac:dyDescent="0.3">
      <c r="A99" t="str">
        <v>C103</v>
      </c>
      <c r="B99">
        <f>SUMIF(SalesData[Customer_ID],A99,SalesData[Sales])</f>
        <v>24640</v>
      </c>
      <c r="C99">
        <f>SUMIF(SalesData[Customer_ID],A99,SalesData[Profit])</f>
        <v>6985.19</v>
      </c>
    </row>
    <row r="100" spans="1:3" x14ac:dyDescent="0.3">
      <c r="A100" t="str">
        <v>C039</v>
      </c>
      <c r="B100">
        <f>SUMIF(SalesData[Customer_ID],A100,SalesData[Sales])</f>
        <v>405764</v>
      </c>
      <c r="C100">
        <f>SUMIF(SalesData[Customer_ID],A100,SalesData[Profit])</f>
        <v>69601.48</v>
      </c>
    </row>
    <row r="101" spans="1:3" x14ac:dyDescent="0.3">
      <c r="A101" t="str">
        <v>C077</v>
      </c>
      <c r="B101">
        <f>SUMIF(SalesData[Customer_ID],A101,SalesData[Sales])</f>
        <v>49840</v>
      </c>
      <c r="C101">
        <f>SUMIF(SalesData[Customer_ID],A101,SalesData[Profit])</f>
        <v>11296.43</v>
      </c>
    </row>
    <row r="102" spans="1:3" x14ac:dyDescent="0.3">
      <c r="A102" t="str">
        <v>C246</v>
      </c>
      <c r="B102">
        <f>SUMIF(SalesData[Customer_ID],A102,SalesData[Sales])</f>
        <v>258600</v>
      </c>
      <c r="C102">
        <f>SUMIF(SalesData[Customer_ID],A102,SalesData[Profit])</f>
        <v>55374.159999999996</v>
      </c>
    </row>
    <row r="103" spans="1:3" x14ac:dyDescent="0.3">
      <c r="A103" t="str">
        <v>C041</v>
      </c>
      <c r="B103">
        <f>SUMIF(SalesData[Customer_ID],A103,SalesData[Sales])</f>
        <v>126270</v>
      </c>
      <c r="C103">
        <f>SUMIF(SalesData[Customer_ID],A103,SalesData[Profit])</f>
        <v>28112.039999999997</v>
      </c>
    </row>
    <row r="104" spans="1:3" x14ac:dyDescent="0.3">
      <c r="A104" t="str">
        <v>C233</v>
      </c>
      <c r="B104">
        <f>SUMIF(SalesData[Customer_ID],A104,SalesData[Sales])</f>
        <v>197112</v>
      </c>
      <c r="C104">
        <f>SUMIF(SalesData[Customer_ID],A104,SalesData[Profit])</f>
        <v>43880.3</v>
      </c>
    </row>
    <row r="105" spans="1:3" x14ac:dyDescent="0.3">
      <c r="A105" t="str">
        <v>C153</v>
      </c>
      <c r="B105">
        <f>SUMIF(SalesData[Customer_ID],A105,SalesData[Sales])</f>
        <v>58537</v>
      </c>
      <c r="C105">
        <f>SUMIF(SalesData[Customer_ID],A105,SalesData[Profit])</f>
        <v>10944.269999999999</v>
      </c>
    </row>
    <row r="106" spans="1:3" x14ac:dyDescent="0.3">
      <c r="A106" t="str">
        <v>C154</v>
      </c>
      <c r="B106">
        <f>SUMIF(SalesData[Customer_ID],A106,SalesData[Sales])</f>
        <v>340800</v>
      </c>
      <c r="C106">
        <f>SUMIF(SalesData[Customer_ID],A106,SalesData[Profit])</f>
        <v>61208.149999999994</v>
      </c>
    </row>
    <row r="107" spans="1:3" x14ac:dyDescent="0.3">
      <c r="A107" t="str">
        <v>C090</v>
      </c>
      <c r="B107">
        <f>SUMIF(SalesData[Customer_ID],A107,SalesData[Sales])</f>
        <v>55240</v>
      </c>
      <c r="C107">
        <f>SUMIF(SalesData[Customer_ID],A107,SalesData[Profit])</f>
        <v>12469.509999999998</v>
      </c>
    </row>
    <row r="108" spans="1:3" x14ac:dyDescent="0.3">
      <c r="A108" t="str">
        <v>C222</v>
      </c>
      <c r="B108">
        <f>SUMIF(SalesData[Customer_ID],A108,SalesData[Sales])</f>
        <v>52144</v>
      </c>
      <c r="C108">
        <f>SUMIF(SalesData[Customer_ID],A108,SalesData[Profit])</f>
        <v>13072.249999999998</v>
      </c>
    </row>
    <row r="109" spans="1:3" x14ac:dyDescent="0.3">
      <c r="A109" t="str">
        <v>C049</v>
      </c>
      <c r="B109">
        <f>SUMIF(SalesData[Customer_ID],A109,SalesData[Sales])</f>
        <v>149470</v>
      </c>
      <c r="C109">
        <f>SUMIF(SalesData[Customer_ID],A109,SalesData[Profit])</f>
        <v>25593.1</v>
      </c>
    </row>
    <row r="110" spans="1:3" x14ac:dyDescent="0.3">
      <c r="A110" t="str">
        <v>C032</v>
      </c>
      <c r="B110">
        <f>SUMIF(SalesData[Customer_ID],A110,SalesData[Sales])</f>
        <v>192520</v>
      </c>
      <c r="C110">
        <f>SUMIF(SalesData[Customer_ID],A110,SalesData[Profit])</f>
        <v>29365.219999999998</v>
      </c>
    </row>
    <row r="111" spans="1:3" x14ac:dyDescent="0.3">
      <c r="A111" t="str">
        <v>C166</v>
      </c>
      <c r="B111">
        <f>SUMIF(SalesData[Customer_ID],A111,SalesData[Sales])</f>
        <v>202272</v>
      </c>
      <c r="C111">
        <f>SUMIF(SalesData[Customer_ID],A111,SalesData[Profit])</f>
        <v>39939.72</v>
      </c>
    </row>
    <row r="112" spans="1:3" x14ac:dyDescent="0.3">
      <c r="A112" t="str">
        <v>C107</v>
      </c>
      <c r="B112">
        <f>SUMIF(SalesData[Customer_ID],A112,SalesData[Sales])</f>
        <v>75660</v>
      </c>
      <c r="C112">
        <f>SUMIF(SalesData[Customer_ID],A112,SalesData[Profit])</f>
        <v>14720.140000000001</v>
      </c>
    </row>
    <row r="113" spans="1:3" x14ac:dyDescent="0.3">
      <c r="A113" t="str">
        <v>C088</v>
      </c>
      <c r="B113">
        <f>SUMIF(SalesData[Customer_ID],A113,SalesData[Sales])</f>
        <v>50192</v>
      </c>
      <c r="C113">
        <f>SUMIF(SalesData[Customer_ID],A113,SalesData[Profit])</f>
        <v>14003.98</v>
      </c>
    </row>
    <row r="114" spans="1:3" x14ac:dyDescent="0.3">
      <c r="A114" t="str">
        <v>C215</v>
      </c>
      <c r="B114">
        <f>SUMIF(SalesData[Customer_ID],A114,SalesData[Sales])</f>
        <v>13755</v>
      </c>
      <c r="C114">
        <f>SUMIF(SalesData[Customer_ID],A114,SalesData[Profit])</f>
        <v>3611.33</v>
      </c>
    </row>
    <row r="115" spans="1:3" x14ac:dyDescent="0.3">
      <c r="A115" t="str">
        <v>C089</v>
      </c>
      <c r="B115">
        <f>SUMIF(SalesData[Customer_ID],A115,SalesData[Sales])</f>
        <v>60184</v>
      </c>
      <c r="C115">
        <f>SUMIF(SalesData[Customer_ID],A115,SalesData[Profit])</f>
        <v>14448.170000000002</v>
      </c>
    </row>
    <row r="116" spans="1:3" x14ac:dyDescent="0.3">
      <c r="A116" t="str">
        <v>C147</v>
      </c>
      <c r="B116">
        <f>SUMIF(SalesData[Customer_ID],A116,SalesData[Sales])</f>
        <v>107788</v>
      </c>
      <c r="C116">
        <f>SUMIF(SalesData[Customer_ID],A116,SalesData[Profit])</f>
        <v>23889.73</v>
      </c>
    </row>
    <row r="117" spans="1:3" x14ac:dyDescent="0.3">
      <c r="A117" t="str">
        <v>C247</v>
      </c>
      <c r="B117">
        <f>SUMIF(SalesData[Customer_ID],A117,SalesData[Sales])</f>
        <v>73080</v>
      </c>
      <c r="C117">
        <f>SUMIF(SalesData[Customer_ID],A117,SalesData[Profit])</f>
        <v>15145.09</v>
      </c>
    </row>
    <row r="118" spans="1:3" x14ac:dyDescent="0.3">
      <c r="A118" t="str">
        <v>C224</v>
      </c>
      <c r="B118">
        <f>SUMIF(SalesData[Customer_ID],A118,SalesData[Sales])</f>
        <v>242920</v>
      </c>
      <c r="C118">
        <f>SUMIF(SalesData[Customer_ID],A118,SalesData[Profit])</f>
        <v>43122.720000000001</v>
      </c>
    </row>
    <row r="119" spans="1:3" x14ac:dyDescent="0.3">
      <c r="A119" t="str">
        <v>C105</v>
      </c>
      <c r="B119">
        <f>SUMIF(SalesData[Customer_ID],A119,SalesData[Sales])</f>
        <v>53770</v>
      </c>
      <c r="C119">
        <f>SUMIF(SalesData[Customer_ID],A119,SalesData[Profit])</f>
        <v>13029.93</v>
      </c>
    </row>
    <row r="120" spans="1:3" x14ac:dyDescent="0.3">
      <c r="A120" t="str">
        <v>C167</v>
      </c>
      <c r="B120">
        <f>SUMIF(SalesData[Customer_ID],A120,SalesData[Sales])</f>
        <v>185160</v>
      </c>
      <c r="C120">
        <f>SUMIF(SalesData[Customer_ID],A120,SalesData[Profit])</f>
        <v>34673.65</v>
      </c>
    </row>
    <row r="121" spans="1:3" x14ac:dyDescent="0.3">
      <c r="A121" t="str">
        <v>C245</v>
      </c>
      <c r="B121">
        <f>SUMIF(SalesData[Customer_ID],A121,SalesData[Sales])</f>
        <v>84350</v>
      </c>
      <c r="C121">
        <f>SUMIF(SalesData[Customer_ID],A121,SalesData[Profit])</f>
        <v>15956.899999999998</v>
      </c>
    </row>
    <row r="122" spans="1:3" x14ac:dyDescent="0.3">
      <c r="A122" t="str">
        <v>C061</v>
      </c>
      <c r="B122">
        <f>SUMIF(SalesData[Customer_ID],A122,SalesData[Sales])</f>
        <v>96189</v>
      </c>
      <c r="C122">
        <f>SUMIF(SalesData[Customer_ID],A122,SalesData[Profit])</f>
        <v>21100.99</v>
      </c>
    </row>
    <row r="123" spans="1:3" x14ac:dyDescent="0.3">
      <c r="A123" t="str">
        <v>C012</v>
      </c>
      <c r="B123">
        <f>SUMIF(SalesData[Customer_ID],A123,SalesData[Sales])</f>
        <v>276900</v>
      </c>
      <c r="C123">
        <f>SUMIF(SalesData[Customer_ID],A123,SalesData[Profit])</f>
        <v>49422.89</v>
      </c>
    </row>
    <row r="124" spans="1:3" x14ac:dyDescent="0.3">
      <c r="A124" t="str">
        <v>C045</v>
      </c>
      <c r="B124">
        <f>SUMIF(SalesData[Customer_ID],A124,SalesData[Sales])</f>
        <v>180990</v>
      </c>
      <c r="C124">
        <f>SUMIF(SalesData[Customer_ID],A124,SalesData[Profit])</f>
        <v>27671.68</v>
      </c>
    </row>
    <row r="125" spans="1:3" x14ac:dyDescent="0.3">
      <c r="A125" t="str">
        <v>C037</v>
      </c>
      <c r="B125">
        <f>SUMIF(SalesData[Customer_ID],A125,SalesData[Sales])</f>
        <v>156376</v>
      </c>
      <c r="C125">
        <f>SUMIF(SalesData[Customer_ID],A125,SalesData[Profit])</f>
        <v>31109.239999999998</v>
      </c>
    </row>
    <row r="126" spans="1:3" x14ac:dyDescent="0.3">
      <c r="A126" t="str">
        <v>C231</v>
      </c>
      <c r="B126">
        <f>SUMIF(SalesData[Customer_ID],A126,SalesData[Sales])</f>
        <v>9350</v>
      </c>
      <c r="C126">
        <f>SUMIF(SalesData[Customer_ID],A126,SalesData[Profit])</f>
        <v>2652.22</v>
      </c>
    </row>
    <row r="127" spans="1:3" x14ac:dyDescent="0.3">
      <c r="A127" t="str">
        <v>C242</v>
      </c>
      <c r="B127">
        <f>SUMIF(SalesData[Customer_ID],A127,SalesData[Sales])</f>
        <v>28812</v>
      </c>
      <c r="C127">
        <f>SUMIF(SalesData[Customer_ID],A127,SalesData[Profit])</f>
        <v>6977.32</v>
      </c>
    </row>
    <row r="128" spans="1:3" x14ac:dyDescent="0.3">
      <c r="A128" t="str">
        <v>C217</v>
      </c>
      <c r="B128">
        <f>SUMIF(SalesData[Customer_ID],A128,SalesData[Sales])</f>
        <v>33054</v>
      </c>
      <c r="C128">
        <f>SUMIF(SalesData[Customer_ID],A128,SalesData[Profit])</f>
        <v>6844.4800000000005</v>
      </c>
    </row>
    <row r="129" spans="1:3" x14ac:dyDescent="0.3">
      <c r="A129" t="str">
        <v>C071</v>
      </c>
      <c r="B129">
        <f>SUMIF(SalesData[Customer_ID],A129,SalesData[Sales])</f>
        <v>234600</v>
      </c>
      <c r="C129">
        <f>SUMIF(SalesData[Customer_ID],A129,SalesData[Profit])</f>
        <v>48693.36</v>
      </c>
    </row>
    <row r="130" spans="1:3" x14ac:dyDescent="0.3">
      <c r="A130" t="str">
        <v>C199</v>
      </c>
      <c r="B130">
        <f>SUMIF(SalesData[Customer_ID],A130,SalesData[Sales])</f>
        <v>199512</v>
      </c>
      <c r="C130">
        <f>SUMIF(SalesData[Customer_ID],A130,SalesData[Profit])</f>
        <v>40320.120000000003</v>
      </c>
    </row>
    <row r="131" spans="1:3" x14ac:dyDescent="0.3">
      <c r="A131" t="str">
        <v>C009</v>
      </c>
      <c r="B131">
        <f>SUMIF(SalesData[Customer_ID],A131,SalesData[Sales])</f>
        <v>7490</v>
      </c>
      <c r="C131">
        <f>SUMIF(SalesData[Customer_ID],A131,SalesData[Profit])</f>
        <v>2110.37</v>
      </c>
    </row>
    <row r="132" spans="1:3" x14ac:dyDescent="0.3">
      <c r="A132" t="str">
        <v>C136</v>
      </c>
      <c r="B132">
        <f>SUMIF(SalesData[Customer_ID],A132,SalesData[Sales])</f>
        <v>347420</v>
      </c>
      <c r="C132">
        <f>SUMIF(SalesData[Customer_ID],A132,SalesData[Profit])</f>
        <v>57663.02</v>
      </c>
    </row>
    <row r="133" spans="1:3" x14ac:dyDescent="0.3">
      <c r="A133" t="str">
        <v>C004</v>
      </c>
      <c r="B133">
        <f>SUMIF(SalesData[Customer_ID],A133,SalesData[Sales])</f>
        <v>264488</v>
      </c>
      <c r="C133">
        <f>SUMIF(SalesData[Customer_ID],A133,SalesData[Profit])</f>
        <v>41235.860000000008</v>
      </c>
    </row>
    <row r="134" spans="1:3" x14ac:dyDescent="0.3">
      <c r="A134" t="str">
        <v>C150</v>
      </c>
      <c r="B134">
        <f>SUMIF(SalesData[Customer_ID],A134,SalesData[Sales])</f>
        <v>45070</v>
      </c>
      <c r="C134">
        <f>SUMIF(SalesData[Customer_ID],A134,SalesData[Profit])</f>
        <v>10015.74</v>
      </c>
    </row>
    <row r="135" spans="1:3" x14ac:dyDescent="0.3">
      <c r="A135" t="str">
        <v>C159</v>
      </c>
      <c r="B135">
        <f>SUMIF(SalesData[Customer_ID],A135,SalesData[Sales])</f>
        <v>54850</v>
      </c>
      <c r="C135">
        <f>SUMIF(SalesData[Customer_ID],A135,SalesData[Profit])</f>
        <v>12954.970000000001</v>
      </c>
    </row>
    <row r="136" spans="1:3" x14ac:dyDescent="0.3">
      <c r="A136" t="str">
        <v>C078</v>
      </c>
      <c r="B136">
        <f>SUMIF(SalesData[Customer_ID],A136,SalesData[Sales])</f>
        <v>222600</v>
      </c>
      <c r="C136">
        <f>SUMIF(SalesData[Customer_ID],A136,SalesData[Profit])</f>
        <v>38433.549999999996</v>
      </c>
    </row>
    <row r="137" spans="1:3" x14ac:dyDescent="0.3">
      <c r="A137" t="str">
        <v>C100</v>
      </c>
      <c r="B137">
        <f>SUMIF(SalesData[Customer_ID],A137,SalesData[Sales])</f>
        <v>113784</v>
      </c>
      <c r="C137">
        <f>SUMIF(SalesData[Customer_ID],A137,SalesData[Profit])</f>
        <v>19117.5</v>
      </c>
    </row>
    <row r="138" spans="1:3" x14ac:dyDescent="0.3">
      <c r="A138" t="str">
        <v>C151</v>
      </c>
      <c r="B138">
        <f>SUMIF(SalesData[Customer_ID],A138,SalesData[Sales])</f>
        <v>150690</v>
      </c>
      <c r="C138">
        <f>SUMIF(SalesData[Customer_ID],A138,SalesData[Profit])</f>
        <v>33234.93</v>
      </c>
    </row>
    <row r="139" spans="1:3" x14ac:dyDescent="0.3">
      <c r="A139" t="str">
        <v>C016</v>
      </c>
      <c r="B139">
        <f>SUMIF(SalesData[Customer_ID],A139,SalesData[Sales])</f>
        <v>49600</v>
      </c>
      <c r="C139">
        <f>SUMIF(SalesData[Customer_ID],A139,SalesData[Profit])</f>
        <v>11983.099999999999</v>
      </c>
    </row>
    <row r="140" spans="1:3" x14ac:dyDescent="0.3">
      <c r="A140" t="str">
        <v>C202</v>
      </c>
      <c r="B140">
        <f>SUMIF(SalesData[Customer_ID],A140,SalesData[Sales])</f>
        <v>27720</v>
      </c>
      <c r="C140">
        <f>SUMIF(SalesData[Customer_ID],A140,SalesData[Profit])</f>
        <v>7602.46</v>
      </c>
    </row>
    <row r="141" spans="1:3" x14ac:dyDescent="0.3">
      <c r="A141" t="str">
        <v>C001</v>
      </c>
      <c r="B141">
        <f>SUMIF(SalesData[Customer_ID],A141,SalesData[Sales])</f>
        <v>285090</v>
      </c>
      <c r="C141">
        <f>SUMIF(SalesData[Customer_ID],A141,SalesData[Profit])</f>
        <v>52669.94</v>
      </c>
    </row>
    <row r="142" spans="1:3" x14ac:dyDescent="0.3">
      <c r="A142" t="str">
        <v>C029</v>
      </c>
      <c r="B142">
        <f>SUMIF(SalesData[Customer_ID],A142,SalesData[Sales])</f>
        <v>263288</v>
      </c>
      <c r="C142">
        <f>SUMIF(SalesData[Customer_ID],A142,SalesData[Profit])</f>
        <v>48206.11</v>
      </c>
    </row>
    <row r="143" spans="1:3" x14ac:dyDescent="0.3">
      <c r="A143" t="str">
        <v>C135</v>
      </c>
      <c r="B143">
        <f>SUMIF(SalesData[Customer_ID],A143,SalesData[Sales])</f>
        <v>296625</v>
      </c>
      <c r="C143">
        <f>SUMIF(SalesData[Customer_ID],A143,SalesData[Profit])</f>
        <v>59725.8</v>
      </c>
    </row>
    <row r="144" spans="1:3" x14ac:dyDescent="0.3">
      <c r="A144" t="str">
        <v>C152</v>
      </c>
      <c r="B144">
        <f>SUMIF(SalesData[Customer_ID],A144,SalesData[Sales])</f>
        <v>162638</v>
      </c>
      <c r="C144">
        <f>SUMIF(SalesData[Customer_ID],A144,SalesData[Profit])</f>
        <v>35332.78</v>
      </c>
    </row>
    <row r="145" spans="1:3" x14ac:dyDescent="0.3">
      <c r="A145" t="str">
        <v>C187</v>
      </c>
      <c r="B145">
        <f>SUMIF(SalesData[Customer_ID],A145,SalesData[Sales])</f>
        <v>19032</v>
      </c>
      <c r="C145">
        <f>SUMIF(SalesData[Customer_ID],A145,SalesData[Profit])</f>
        <v>5991.55</v>
      </c>
    </row>
    <row r="146" spans="1:3" x14ac:dyDescent="0.3">
      <c r="A146" t="str">
        <v>C185</v>
      </c>
      <c r="B146">
        <f>SUMIF(SalesData[Customer_ID],A146,SalesData[Sales])</f>
        <v>5796</v>
      </c>
      <c r="C146">
        <f>SUMIF(SalesData[Customer_ID],A146,SalesData[Profit])</f>
        <v>1861.04</v>
      </c>
    </row>
    <row r="147" spans="1:3" x14ac:dyDescent="0.3">
      <c r="A147" t="str">
        <v>C096</v>
      </c>
      <c r="B147">
        <f>SUMIF(SalesData[Customer_ID],A147,SalesData[Sales])</f>
        <v>135215</v>
      </c>
      <c r="C147">
        <f>SUMIF(SalesData[Customer_ID],A147,SalesData[Profit])</f>
        <v>33114.15</v>
      </c>
    </row>
    <row r="148" spans="1:3" x14ac:dyDescent="0.3">
      <c r="A148" t="str">
        <v>C111</v>
      </c>
      <c r="B148">
        <f>SUMIF(SalesData[Customer_ID],A148,SalesData[Sales])</f>
        <v>123275</v>
      </c>
      <c r="C148">
        <f>SUMIF(SalesData[Customer_ID],A148,SalesData[Profit])</f>
        <v>27089</v>
      </c>
    </row>
    <row r="149" spans="1:3" x14ac:dyDescent="0.3">
      <c r="A149" t="str">
        <v>C223</v>
      </c>
      <c r="B149">
        <f>SUMIF(SalesData[Customer_ID],A149,SalesData[Sales])</f>
        <v>166896</v>
      </c>
      <c r="C149">
        <f>SUMIF(SalesData[Customer_ID],A149,SalesData[Profit])</f>
        <v>34343.53</v>
      </c>
    </row>
    <row r="150" spans="1:3" x14ac:dyDescent="0.3">
      <c r="A150" t="str">
        <v>C008</v>
      </c>
      <c r="B150">
        <f>SUMIF(SalesData[Customer_ID],A150,SalesData[Sales])</f>
        <v>29730</v>
      </c>
      <c r="C150">
        <f>SUMIF(SalesData[Customer_ID],A150,SalesData[Profit])</f>
        <v>10335.959999999999</v>
      </c>
    </row>
    <row r="151" spans="1:3" x14ac:dyDescent="0.3">
      <c r="A151" t="str">
        <v>C002</v>
      </c>
      <c r="B151">
        <f>SUMIF(SalesData[Customer_ID],A151,SalesData[Sales])</f>
        <v>55056</v>
      </c>
      <c r="C151">
        <f>SUMIF(SalesData[Customer_ID],A151,SalesData[Profit])</f>
        <v>11526.94</v>
      </c>
    </row>
    <row r="152" spans="1:3" x14ac:dyDescent="0.3">
      <c r="A152" t="str">
        <v>C190</v>
      </c>
      <c r="B152">
        <f>SUMIF(SalesData[Customer_ID],A152,SalesData[Sales])</f>
        <v>150200</v>
      </c>
      <c r="C152">
        <f>SUMIF(SalesData[Customer_ID],A152,SalesData[Profit])</f>
        <v>26240.35</v>
      </c>
    </row>
    <row r="153" spans="1:3" x14ac:dyDescent="0.3">
      <c r="A153" t="str">
        <v>C117</v>
      </c>
      <c r="B153">
        <f>SUMIF(SalesData[Customer_ID],A153,SalesData[Sales])</f>
        <v>63740</v>
      </c>
      <c r="C153">
        <f>SUMIF(SalesData[Customer_ID],A153,SalesData[Profit])</f>
        <v>16594.810000000001</v>
      </c>
    </row>
    <row r="154" spans="1:3" x14ac:dyDescent="0.3">
      <c r="A154" t="str">
        <v>C114</v>
      </c>
      <c r="B154">
        <f>SUMIF(SalesData[Customer_ID],A154,SalesData[Sales])</f>
        <v>80976</v>
      </c>
      <c r="C154">
        <f>SUMIF(SalesData[Customer_ID],A154,SalesData[Profit])</f>
        <v>19745.370000000003</v>
      </c>
    </row>
    <row r="155" spans="1:3" x14ac:dyDescent="0.3">
      <c r="A155" t="str">
        <v>C192</v>
      </c>
      <c r="B155">
        <f>SUMIF(SalesData[Customer_ID],A155,SalesData[Sales])</f>
        <v>218133</v>
      </c>
      <c r="C155">
        <f>SUMIF(SalesData[Customer_ID],A155,SalesData[Profit])</f>
        <v>38355.61</v>
      </c>
    </row>
    <row r="156" spans="1:3" x14ac:dyDescent="0.3">
      <c r="A156" t="str">
        <v>C129</v>
      </c>
      <c r="B156">
        <f>SUMIF(SalesData[Customer_ID],A156,SalesData[Sales])</f>
        <v>123750</v>
      </c>
      <c r="C156">
        <f>SUMIF(SalesData[Customer_ID],A156,SalesData[Profit])</f>
        <v>28441.019999999997</v>
      </c>
    </row>
    <row r="157" spans="1:3" x14ac:dyDescent="0.3">
      <c r="A157" t="str">
        <v>C104</v>
      </c>
      <c r="B157">
        <f>SUMIF(SalesData[Customer_ID],A157,SalesData[Sales])</f>
        <v>24000</v>
      </c>
      <c r="C157">
        <f>SUMIF(SalesData[Customer_ID],A157,SalesData[Profit])</f>
        <v>7629.2</v>
      </c>
    </row>
    <row r="158" spans="1:3" x14ac:dyDescent="0.3">
      <c r="A158" t="str">
        <v>C044</v>
      </c>
      <c r="B158">
        <f>SUMIF(SalesData[Customer_ID],A158,SalesData[Sales])</f>
        <v>279290</v>
      </c>
      <c r="C158">
        <f>SUMIF(SalesData[Customer_ID],A158,SalesData[Profit])</f>
        <v>65421.53</v>
      </c>
    </row>
    <row r="159" spans="1:3" x14ac:dyDescent="0.3">
      <c r="A159" t="str">
        <v>C204</v>
      </c>
      <c r="B159">
        <f>SUMIF(SalesData[Customer_ID],A159,SalesData[Sales])</f>
        <v>475</v>
      </c>
      <c r="C159">
        <f>SUMIF(SalesData[Customer_ID],A159,SalesData[Profit])</f>
        <v>130.41</v>
      </c>
    </row>
    <row r="160" spans="1:3" x14ac:dyDescent="0.3">
      <c r="A160" t="str">
        <v>C080</v>
      </c>
      <c r="B160">
        <f>SUMIF(SalesData[Customer_ID],A160,SalesData[Sales])</f>
        <v>104920</v>
      </c>
      <c r="C160">
        <f>SUMIF(SalesData[Customer_ID],A160,SalesData[Profit])</f>
        <v>24227.29</v>
      </c>
    </row>
    <row r="161" spans="1:3" x14ac:dyDescent="0.3">
      <c r="A161" t="str">
        <v>C144</v>
      </c>
      <c r="B161">
        <f>SUMIF(SalesData[Customer_ID],A161,SalesData[Sales])</f>
        <v>250675</v>
      </c>
      <c r="C161">
        <f>SUMIF(SalesData[Customer_ID],A161,SalesData[Profit])</f>
        <v>46620.33</v>
      </c>
    </row>
    <row r="162" spans="1:3" x14ac:dyDescent="0.3">
      <c r="A162" t="str">
        <v>C034</v>
      </c>
      <c r="B162">
        <f>SUMIF(SalesData[Customer_ID],A162,SalesData[Sales])</f>
        <v>9088</v>
      </c>
      <c r="C162">
        <f>SUMIF(SalesData[Customer_ID],A162,SalesData[Profit])</f>
        <v>2694.37</v>
      </c>
    </row>
    <row r="163" spans="1:3" x14ac:dyDescent="0.3">
      <c r="A163" t="str">
        <v>C208</v>
      </c>
      <c r="B163">
        <f>SUMIF(SalesData[Customer_ID],A163,SalesData[Sales])</f>
        <v>14400</v>
      </c>
      <c r="C163">
        <f>SUMIF(SalesData[Customer_ID],A163,SalesData[Profit])</f>
        <v>4695.78</v>
      </c>
    </row>
    <row r="164" spans="1:3" x14ac:dyDescent="0.3">
      <c r="A164" t="str">
        <v>C249</v>
      </c>
      <c r="B164">
        <f>SUMIF(SalesData[Customer_ID],A164,SalesData[Sales])</f>
        <v>60541</v>
      </c>
      <c r="C164">
        <f>SUMIF(SalesData[Customer_ID],A164,SalesData[Profit])</f>
        <v>14628.05</v>
      </c>
    </row>
    <row r="165" spans="1:3" x14ac:dyDescent="0.3">
      <c r="A165" t="str">
        <v>C210</v>
      </c>
      <c r="B165">
        <f>SUMIF(SalesData[Customer_ID],A165,SalesData[Sales])</f>
        <v>57210</v>
      </c>
      <c r="C165">
        <f>SUMIF(SalesData[Customer_ID],A165,SalesData[Profit])</f>
        <v>14294.64</v>
      </c>
    </row>
    <row r="166" spans="1:3" x14ac:dyDescent="0.3">
      <c r="A166" t="str">
        <v>C022</v>
      </c>
      <c r="B166">
        <f>SUMIF(SalesData[Customer_ID],A166,SalesData[Sales])</f>
        <v>22620</v>
      </c>
      <c r="C166">
        <f>SUMIF(SalesData[Customer_ID],A166,SalesData[Profit])</f>
        <v>6936.62</v>
      </c>
    </row>
    <row r="167" spans="1:3" x14ac:dyDescent="0.3">
      <c r="A167" t="str">
        <v>C082</v>
      </c>
      <c r="B167">
        <f>SUMIF(SalesData[Customer_ID],A167,SalesData[Sales])</f>
        <v>322400</v>
      </c>
      <c r="C167">
        <f>SUMIF(SalesData[Customer_ID],A167,SalesData[Profit])</f>
        <v>55485.350000000006</v>
      </c>
    </row>
    <row r="168" spans="1:3" x14ac:dyDescent="0.3">
      <c r="A168" t="str">
        <v>C235</v>
      </c>
      <c r="B168">
        <f>SUMIF(SalesData[Customer_ID],A168,SalesData[Sales])</f>
        <v>340595</v>
      </c>
      <c r="C168">
        <f>SUMIF(SalesData[Customer_ID],A168,SalesData[Profit])</f>
        <v>70957.25</v>
      </c>
    </row>
    <row r="169" spans="1:3" x14ac:dyDescent="0.3">
      <c r="A169" t="str">
        <v>C013</v>
      </c>
      <c r="B169">
        <f>SUMIF(SalesData[Customer_ID],A169,SalesData[Sales])</f>
        <v>320580</v>
      </c>
      <c r="C169">
        <f>SUMIF(SalesData[Customer_ID],A169,SalesData[Profit])</f>
        <v>64995.920000000006</v>
      </c>
    </row>
    <row r="170" spans="1:3" x14ac:dyDescent="0.3">
      <c r="A170" t="str">
        <v>C075</v>
      </c>
      <c r="B170">
        <f>SUMIF(SalesData[Customer_ID],A170,SalesData[Sales])</f>
        <v>226372</v>
      </c>
      <c r="C170">
        <f>SUMIF(SalesData[Customer_ID],A170,SalesData[Profit])</f>
        <v>45322.81</v>
      </c>
    </row>
    <row r="171" spans="1:3" x14ac:dyDescent="0.3">
      <c r="A171" t="str">
        <v>C048</v>
      </c>
      <c r="B171">
        <f>SUMIF(SalesData[Customer_ID],A171,SalesData[Sales])</f>
        <v>261912</v>
      </c>
      <c r="C171">
        <f>SUMIF(SalesData[Customer_ID],A171,SalesData[Profit])</f>
        <v>50030.229999999996</v>
      </c>
    </row>
    <row r="172" spans="1:3" x14ac:dyDescent="0.3">
      <c r="A172" t="str">
        <v>C198</v>
      </c>
      <c r="B172">
        <f>SUMIF(SalesData[Customer_ID],A172,SalesData[Sales])</f>
        <v>32506</v>
      </c>
      <c r="C172">
        <f>SUMIF(SalesData[Customer_ID],A172,SalesData[Profit])</f>
        <v>8291.7799999999988</v>
      </c>
    </row>
    <row r="173" spans="1:3" x14ac:dyDescent="0.3">
      <c r="A173" t="str">
        <v>C227</v>
      </c>
      <c r="B173">
        <f>SUMIF(SalesData[Customer_ID],A173,SalesData[Sales])</f>
        <v>403520</v>
      </c>
      <c r="C173">
        <f>SUMIF(SalesData[Customer_ID],A173,SalesData[Profit])</f>
        <v>66768.78</v>
      </c>
    </row>
    <row r="174" spans="1:3" x14ac:dyDescent="0.3">
      <c r="A174" t="str">
        <v>C122</v>
      </c>
      <c r="B174">
        <f>SUMIF(SalesData[Customer_ID],A174,SalesData[Sales])</f>
        <v>306340</v>
      </c>
      <c r="C174">
        <f>SUMIF(SalesData[Customer_ID],A174,SalesData[Profit])</f>
        <v>51909.67</v>
      </c>
    </row>
    <row r="175" spans="1:3" x14ac:dyDescent="0.3">
      <c r="A175" t="str">
        <v>C221</v>
      </c>
      <c r="B175">
        <f>SUMIF(SalesData[Customer_ID],A175,SalesData[Sales])</f>
        <v>789228</v>
      </c>
      <c r="C175">
        <f>SUMIF(SalesData[Customer_ID],A175,SalesData[Profit])</f>
        <v>135518.38999999998</v>
      </c>
    </row>
    <row r="176" spans="1:3" x14ac:dyDescent="0.3">
      <c r="A176" t="str">
        <v>C228</v>
      </c>
      <c r="B176">
        <f>SUMIF(SalesData[Customer_ID],A176,SalesData[Sales])</f>
        <v>364570</v>
      </c>
      <c r="C176">
        <f>SUMIF(SalesData[Customer_ID],A176,SalesData[Profit])</f>
        <v>72126.720000000001</v>
      </c>
    </row>
    <row r="177" spans="1:3" x14ac:dyDescent="0.3">
      <c r="A177" t="str">
        <v>C178</v>
      </c>
      <c r="B177">
        <f>SUMIF(SalesData[Customer_ID],A177,SalesData[Sales])</f>
        <v>371404</v>
      </c>
      <c r="C177">
        <f>SUMIF(SalesData[Customer_ID],A177,SalesData[Profit])</f>
        <v>61695.139999999992</v>
      </c>
    </row>
    <row r="178" spans="1:3" x14ac:dyDescent="0.3">
      <c r="A178" t="str">
        <v>C020</v>
      </c>
      <c r="B178">
        <f>SUMIF(SalesData[Customer_ID],A178,SalesData[Sales])</f>
        <v>57540</v>
      </c>
      <c r="C178">
        <f>SUMIF(SalesData[Customer_ID],A178,SalesData[Profit])</f>
        <v>11899.39</v>
      </c>
    </row>
    <row r="179" spans="1:3" x14ac:dyDescent="0.3">
      <c r="A179" t="str">
        <v>C093</v>
      </c>
      <c r="B179">
        <f>SUMIF(SalesData[Customer_ID],A179,SalesData[Sales])</f>
        <v>92000</v>
      </c>
      <c r="C179">
        <f>SUMIF(SalesData[Customer_ID],A179,SalesData[Profit])</f>
        <v>18607.39</v>
      </c>
    </row>
    <row r="180" spans="1:3" x14ac:dyDescent="0.3">
      <c r="A180" t="str">
        <v>C133</v>
      </c>
      <c r="B180">
        <f>SUMIF(SalesData[Customer_ID],A180,SalesData[Sales])</f>
        <v>13300</v>
      </c>
      <c r="C180">
        <f>SUMIF(SalesData[Customer_ID],A180,SalesData[Profit])</f>
        <v>3104.47</v>
      </c>
    </row>
    <row r="181" spans="1:3" x14ac:dyDescent="0.3">
      <c r="A181" t="str">
        <v>C157</v>
      </c>
      <c r="B181">
        <f>SUMIF(SalesData[Customer_ID],A181,SalesData[Sales])</f>
        <v>5202</v>
      </c>
      <c r="C181">
        <f>SUMIF(SalesData[Customer_ID],A181,SalesData[Profit])</f>
        <v>1620.65</v>
      </c>
    </row>
    <row r="182" spans="1:3" x14ac:dyDescent="0.3">
      <c r="A182" t="str">
        <v>C052</v>
      </c>
      <c r="B182">
        <f>SUMIF(SalesData[Customer_ID],A182,SalesData[Sales])</f>
        <v>183090</v>
      </c>
      <c r="C182">
        <f>SUMIF(SalesData[Customer_ID],A182,SalesData[Profit])</f>
        <v>36195.79</v>
      </c>
    </row>
    <row r="183" spans="1:3" x14ac:dyDescent="0.3">
      <c r="A183" t="str">
        <v>C211</v>
      </c>
      <c r="B183">
        <f>SUMIF(SalesData[Customer_ID],A183,SalesData[Sales])</f>
        <v>150572</v>
      </c>
      <c r="C183">
        <f>SUMIF(SalesData[Customer_ID],A183,SalesData[Profit])</f>
        <v>33996.19</v>
      </c>
    </row>
    <row r="184" spans="1:3" x14ac:dyDescent="0.3">
      <c r="A184" t="str">
        <v>C087</v>
      </c>
      <c r="B184">
        <f>SUMIF(SalesData[Customer_ID],A184,SalesData[Sales])</f>
        <v>25950</v>
      </c>
      <c r="C184">
        <f>SUMIF(SalesData[Customer_ID],A184,SalesData[Profit])</f>
        <v>5986.29</v>
      </c>
    </row>
    <row r="185" spans="1:3" x14ac:dyDescent="0.3">
      <c r="A185" t="str">
        <v>C073</v>
      </c>
      <c r="B185">
        <f>SUMIF(SalesData[Customer_ID],A185,SalesData[Sales])</f>
        <v>333063</v>
      </c>
      <c r="C185">
        <f>SUMIF(SalesData[Customer_ID],A185,SalesData[Profit])</f>
        <v>60366.210000000006</v>
      </c>
    </row>
    <row r="186" spans="1:3" x14ac:dyDescent="0.3">
      <c r="A186" t="str">
        <v>C212</v>
      </c>
      <c r="B186">
        <f>SUMIF(SalesData[Customer_ID],A186,SalesData[Sales])</f>
        <v>13152</v>
      </c>
      <c r="C186">
        <f>SUMIF(SalesData[Customer_ID],A186,SalesData[Profit])</f>
        <v>3789.93</v>
      </c>
    </row>
    <row r="187" spans="1:3" x14ac:dyDescent="0.3">
      <c r="A187" t="str">
        <v>C143</v>
      </c>
      <c r="B187">
        <f>SUMIF(SalesData[Customer_ID],A187,SalesData[Sales])</f>
        <v>63588</v>
      </c>
      <c r="C187">
        <f>SUMIF(SalesData[Customer_ID],A187,SalesData[Profit])</f>
        <v>14350.599999999999</v>
      </c>
    </row>
    <row r="188" spans="1:3" x14ac:dyDescent="0.3">
      <c r="A188" t="str">
        <v>C243</v>
      </c>
      <c r="B188">
        <f>SUMIF(SalesData[Customer_ID],A188,SalesData[Sales])</f>
        <v>204790</v>
      </c>
      <c r="C188">
        <f>SUMIF(SalesData[Customer_ID],A188,SalesData[Profit])</f>
        <v>37703.199999999997</v>
      </c>
    </row>
    <row r="189" spans="1:3" x14ac:dyDescent="0.3">
      <c r="A189" t="str">
        <v>C106</v>
      </c>
      <c r="B189">
        <f>SUMIF(SalesData[Customer_ID],A189,SalesData[Sales])</f>
        <v>97470</v>
      </c>
      <c r="C189">
        <f>SUMIF(SalesData[Customer_ID],A189,SalesData[Profit])</f>
        <v>22885.25</v>
      </c>
    </row>
    <row r="190" spans="1:3" x14ac:dyDescent="0.3">
      <c r="A190" t="str">
        <v>C177</v>
      </c>
      <c r="B190">
        <f>SUMIF(SalesData[Customer_ID],A190,SalesData[Sales])</f>
        <v>184342</v>
      </c>
      <c r="C190">
        <f>SUMIF(SalesData[Customer_ID],A190,SalesData[Profit])</f>
        <v>39455.990000000005</v>
      </c>
    </row>
    <row r="191" spans="1:3" x14ac:dyDescent="0.3">
      <c r="A191" t="str">
        <v>C168</v>
      </c>
      <c r="B191">
        <f>SUMIF(SalesData[Customer_ID],A191,SalesData[Sales])</f>
        <v>159403</v>
      </c>
      <c r="C191">
        <f>SUMIF(SalesData[Customer_ID],A191,SalesData[Profit])</f>
        <v>28452.14</v>
      </c>
    </row>
    <row r="192" spans="1:3" x14ac:dyDescent="0.3">
      <c r="A192" t="str">
        <v>C239</v>
      </c>
      <c r="B192">
        <f>SUMIF(SalesData[Customer_ID],A192,SalesData[Sales])</f>
        <v>196490</v>
      </c>
      <c r="C192">
        <f>SUMIF(SalesData[Customer_ID],A192,SalesData[Profit])</f>
        <v>39173.07</v>
      </c>
    </row>
    <row r="193" spans="1:3" x14ac:dyDescent="0.3">
      <c r="A193" t="str">
        <v>C240</v>
      </c>
      <c r="B193">
        <f>SUMIF(SalesData[Customer_ID],A193,SalesData[Sales])</f>
        <v>224300</v>
      </c>
      <c r="C193">
        <f>SUMIF(SalesData[Customer_ID],A193,SalesData[Profit])</f>
        <v>35576.159999999996</v>
      </c>
    </row>
    <row r="194" spans="1:3" x14ac:dyDescent="0.3">
      <c r="A194" t="str">
        <v>C238</v>
      </c>
      <c r="B194">
        <f>SUMIF(SalesData[Customer_ID],A194,SalesData[Sales])</f>
        <v>36800</v>
      </c>
      <c r="C194">
        <f>SUMIF(SalesData[Customer_ID],A194,SalesData[Profit])</f>
        <v>8162.35</v>
      </c>
    </row>
    <row r="195" spans="1:3" x14ac:dyDescent="0.3">
      <c r="A195" t="str">
        <v>C203</v>
      </c>
      <c r="B195">
        <f>SUMIF(SalesData[Customer_ID],A195,SalesData[Sales])</f>
        <v>143836</v>
      </c>
      <c r="C195">
        <f>SUMIF(SalesData[Customer_ID],A195,SalesData[Profit])</f>
        <v>24204.15</v>
      </c>
    </row>
    <row r="196" spans="1:3" x14ac:dyDescent="0.3">
      <c r="A196" t="str">
        <v>C036</v>
      </c>
      <c r="B196">
        <f>SUMIF(SalesData[Customer_ID],A196,SalesData[Sales])</f>
        <v>142980</v>
      </c>
      <c r="C196">
        <f>SUMIF(SalesData[Customer_ID],A196,SalesData[Profit])</f>
        <v>28048.969999999998</v>
      </c>
    </row>
    <row r="197" spans="1:3" x14ac:dyDescent="0.3">
      <c r="A197" t="str">
        <v>C067</v>
      </c>
      <c r="B197">
        <f>SUMIF(SalesData[Customer_ID],A197,SalesData[Sales])</f>
        <v>205465</v>
      </c>
      <c r="C197">
        <f>SUMIF(SalesData[Customer_ID],A197,SalesData[Profit])</f>
        <v>42831.100000000006</v>
      </c>
    </row>
    <row r="198" spans="1:3" x14ac:dyDescent="0.3">
      <c r="A198" t="str">
        <v>C095</v>
      </c>
      <c r="B198">
        <f>SUMIF(SalesData[Customer_ID],A198,SalesData[Sales])</f>
        <v>44296</v>
      </c>
      <c r="C198">
        <f>SUMIF(SalesData[Customer_ID],A198,SalesData[Profit])</f>
        <v>9632.0400000000009</v>
      </c>
    </row>
    <row r="199" spans="1:3" x14ac:dyDescent="0.3">
      <c r="A199" t="str">
        <v>C219</v>
      </c>
      <c r="B199">
        <f>SUMIF(SalesData[Customer_ID],A199,SalesData[Sales])</f>
        <v>9600</v>
      </c>
      <c r="C199">
        <f>SUMIF(SalesData[Customer_ID],A199,SalesData[Profit])</f>
        <v>2668.02</v>
      </c>
    </row>
    <row r="200" spans="1:3" x14ac:dyDescent="0.3">
      <c r="A200" t="str">
        <v>C186</v>
      </c>
      <c r="B200">
        <f>SUMIF(SalesData[Customer_ID],A200,SalesData[Sales])</f>
        <v>466170</v>
      </c>
      <c r="C200">
        <f>SUMIF(SalesData[Customer_ID],A200,SalesData[Profit])</f>
        <v>80625.259999999995</v>
      </c>
    </row>
    <row r="201" spans="1:3" x14ac:dyDescent="0.3">
      <c r="A201" t="str">
        <v>C097</v>
      </c>
      <c r="B201">
        <f>SUMIF(SalesData[Customer_ID],A201,SalesData[Sales])</f>
        <v>149245</v>
      </c>
      <c r="C201">
        <f>SUMIF(SalesData[Customer_ID],A201,SalesData[Profit])</f>
        <v>26390.199999999997</v>
      </c>
    </row>
    <row r="202" spans="1:3" x14ac:dyDescent="0.3">
      <c r="A202" t="str">
        <v>C101</v>
      </c>
      <c r="B202">
        <f>SUMIF(SalesData[Customer_ID],A202,SalesData[Sales])</f>
        <v>24736</v>
      </c>
      <c r="C202">
        <f>SUMIF(SalesData[Customer_ID],A202,SalesData[Profit])</f>
        <v>6331.3600000000006</v>
      </c>
    </row>
    <row r="203" spans="1:3" x14ac:dyDescent="0.3">
      <c r="A203" t="str">
        <v>C118</v>
      </c>
      <c r="B203">
        <f>SUMIF(SalesData[Customer_ID],A203,SalesData[Sales])</f>
        <v>44232</v>
      </c>
      <c r="C203">
        <f>SUMIF(SalesData[Customer_ID],A203,SalesData[Profit])</f>
        <v>11253.05</v>
      </c>
    </row>
    <row r="204" spans="1:3" x14ac:dyDescent="0.3">
      <c r="A204" t="str">
        <v>C139</v>
      </c>
      <c r="B204">
        <f>SUMIF(SalesData[Customer_ID],A204,SalesData[Sales])</f>
        <v>3038</v>
      </c>
      <c r="C204">
        <f>SUMIF(SalesData[Customer_ID],A204,SalesData[Profit])</f>
        <v>995.41000000000008</v>
      </c>
    </row>
    <row r="205" spans="1:3" x14ac:dyDescent="0.3">
      <c r="A205" t="str">
        <v>C066</v>
      </c>
      <c r="B205">
        <f>SUMIF(SalesData[Customer_ID],A205,SalesData[Sales])</f>
        <v>25760</v>
      </c>
      <c r="C205">
        <f>SUMIF(SalesData[Customer_ID],A205,SalesData[Profit])</f>
        <v>6748.15</v>
      </c>
    </row>
    <row r="206" spans="1:3" x14ac:dyDescent="0.3">
      <c r="A206" t="str">
        <v>C234</v>
      </c>
      <c r="B206">
        <f>SUMIF(SalesData[Customer_ID],A206,SalesData[Sales])</f>
        <v>35075</v>
      </c>
      <c r="C206">
        <f>SUMIF(SalesData[Customer_ID],A206,SalesData[Profit])</f>
        <v>9229.8499999999985</v>
      </c>
    </row>
    <row r="207" spans="1:3" x14ac:dyDescent="0.3">
      <c r="A207" t="str">
        <v>C207</v>
      </c>
      <c r="B207">
        <f>SUMIF(SalesData[Customer_ID],A207,SalesData[Sales])</f>
        <v>116490</v>
      </c>
      <c r="C207">
        <f>SUMIF(SalesData[Customer_ID],A207,SalesData[Profit])</f>
        <v>19010.43</v>
      </c>
    </row>
    <row r="208" spans="1:3" x14ac:dyDescent="0.3">
      <c r="A208" t="str">
        <v>C146</v>
      </c>
      <c r="B208">
        <f>SUMIF(SalesData[Customer_ID],A208,SalesData[Sales])</f>
        <v>97000</v>
      </c>
      <c r="C208">
        <f>SUMIF(SalesData[Customer_ID],A208,SalesData[Profit])</f>
        <v>22055.18</v>
      </c>
    </row>
    <row r="209" spans="1:3" x14ac:dyDescent="0.3">
      <c r="A209" t="str">
        <v>C201</v>
      </c>
      <c r="B209">
        <f>SUMIF(SalesData[Customer_ID],A209,SalesData[Sales])</f>
        <v>48608</v>
      </c>
      <c r="C209">
        <f>SUMIF(SalesData[Customer_ID],A209,SalesData[Profit])</f>
        <v>12030.060000000001</v>
      </c>
    </row>
    <row r="210" spans="1:3" x14ac:dyDescent="0.3">
      <c r="A210" t="str">
        <v>C051</v>
      </c>
      <c r="B210">
        <f>SUMIF(SalesData[Customer_ID],A210,SalesData[Sales])</f>
        <v>65192</v>
      </c>
      <c r="C210">
        <f>SUMIF(SalesData[Customer_ID],A210,SalesData[Profit])</f>
        <v>16879.95</v>
      </c>
    </row>
    <row r="211" spans="1:3" x14ac:dyDescent="0.3">
      <c r="A211" t="str">
        <v>C086</v>
      </c>
      <c r="B211">
        <f>SUMIF(SalesData[Customer_ID],A211,SalesData[Sales])</f>
        <v>6680</v>
      </c>
      <c r="C211">
        <f>SUMIF(SalesData[Customer_ID],A211,SalesData[Profit])</f>
        <v>2025.57</v>
      </c>
    </row>
    <row r="212" spans="1:3" x14ac:dyDescent="0.3">
      <c r="A212" t="str">
        <v>C094</v>
      </c>
      <c r="B212">
        <f>SUMIF(SalesData[Customer_ID],A212,SalesData[Sales])</f>
        <v>88960</v>
      </c>
      <c r="C212">
        <f>SUMIF(SalesData[Customer_ID],A212,SalesData[Profit])</f>
        <v>17097.53</v>
      </c>
    </row>
    <row r="213" spans="1:3" x14ac:dyDescent="0.3">
      <c r="A213" t="str">
        <v>C007</v>
      </c>
      <c r="B213">
        <f>SUMIF(SalesData[Customer_ID],A213,SalesData[Sales])</f>
        <v>10496</v>
      </c>
      <c r="C213">
        <f>SUMIF(SalesData[Customer_ID],A213,SalesData[Profit])</f>
        <v>3469.13</v>
      </c>
    </row>
    <row r="214" spans="1:3" x14ac:dyDescent="0.3">
      <c r="A214" t="str">
        <v>C028</v>
      </c>
      <c r="B214">
        <f>SUMIF(SalesData[Customer_ID],A214,SalesData[Sales])</f>
        <v>77560</v>
      </c>
      <c r="C214">
        <f>SUMIF(SalesData[Customer_ID],A214,SalesData[Profit])</f>
        <v>16467.760000000002</v>
      </c>
    </row>
    <row r="215" spans="1:3" x14ac:dyDescent="0.3">
      <c r="A215" t="str">
        <v>C091</v>
      </c>
      <c r="B215">
        <f>SUMIF(SalesData[Customer_ID],A215,SalesData[Sales])</f>
        <v>32172</v>
      </c>
      <c r="C215">
        <f>SUMIF(SalesData[Customer_ID],A215,SalesData[Profit])</f>
        <v>10343.91</v>
      </c>
    </row>
    <row r="216" spans="1:3" x14ac:dyDescent="0.3">
      <c r="A216" t="str">
        <v>C236</v>
      </c>
      <c r="B216">
        <f>SUMIF(SalesData[Customer_ID],A216,SalesData[Sales])</f>
        <v>81580</v>
      </c>
      <c r="C216">
        <f>SUMIF(SalesData[Customer_ID],A216,SalesData[Profit])</f>
        <v>17721.7</v>
      </c>
    </row>
    <row r="217" spans="1:3" x14ac:dyDescent="0.3">
      <c r="A217" t="str">
        <v>C163</v>
      </c>
      <c r="B217">
        <f>SUMIF(SalesData[Customer_ID],A217,SalesData[Sales])</f>
        <v>227622</v>
      </c>
      <c r="C217">
        <f>SUMIF(SalesData[Customer_ID],A217,SalesData[Profit])</f>
        <v>39302.020000000004</v>
      </c>
    </row>
    <row r="218" spans="1:3" x14ac:dyDescent="0.3">
      <c r="A218" t="str">
        <v>C054</v>
      </c>
      <c r="B218">
        <f>SUMIF(SalesData[Customer_ID],A218,SalesData[Sales])</f>
        <v>7560</v>
      </c>
      <c r="C218">
        <f>SUMIF(SalesData[Customer_ID],A218,SalesData[Profit])</f>
        <v>2283.5299999999997</v>
      </c>
    </row>
    <row r="219" spans="1:3" x14ac:dyDescent="0.3">
      <c r="A219" t="str">
        <v>C035</v>
      </c>
      <c r="B219">
        <f>SUMIF(SalesData[Customer_ID],A219,SalesData[Sales])</f>
        <v>113230</v>
      </c>
      <c r="C219">
        <f>SUMIF(SalesData[Customer_ID],A219,SalesData[Profit])</f>
        <v>18280.36</v>
      </c>
    </row>
    <row r="220" spans="1:3" x14ac:dyDescent="0.3">
      <c r="A220" t="str">
        <v>C188</v>
      </c>
      <c r="B220">
        <f>SUMIF(SalesData[Customer_ID],A220,SalesData[Sales])</f>
        <v>147353</v>
      </c>
      <c r="C220">
        <f>SUMIF(SalesData[Customer_ID],A220,SalesData[Profit])</f>
        <v>34288.339999999997</v>
      </c>
    </row>
    <row r="221" spans="1:3" x14ac:dyDescent="0.3">
      <c r="A221" t="str">
        <v>C113</v>
      </c>
      <c r="B221">
        <f>SUMIF(SalesData[Customer_ID],A221,SalesData[Sales])</f>
        <v>2024</v>
      </c>
      <c r="C221">
        <f>SUMIF(SalesData[Customer_ID],A221,SalesData[Profit])</f>
        <v>685.52</v>
      </c>
    </row>
    <row r="222" spans="1:3" x14ac:dyDescent="0.3">
      <c r="A222" t="str">
        <v>C127</v>
      </c>
      <c r="B222">
        <f>SUMIF(SalesData[Customer_ID],A222,SalesData[Sales])</f>
        <v>37940</v>
      </c>
      <c r="C222">
        <f>SUMIF(SalesData[Customer_ID],A222,SalesData[Profit])</f>
        <v>11390.099999999999</v>
      </c>
    </row>
    <row r="223" spans="1:3" x14ac:dyDescent="0.3">
      <c r="A223" t="str">
        <v>C005</v>
      </c>
      <c r="B223">
        <f>SUMIF(SalesData[Customer_ID],A223,SalesData[Sales])</f>
        <v>47660</v>
      </c>
      <c r="C223">
        <f>SUMIF(SalesData[Customer_ID],A223,SalesData[Profit])</f>
        <v>11689.59</v>
      </c>
    </row>
    <row r="224" spans="1:3" x14ac:dyDescent="0.3">
      <c r="A224" t="str">
        <v>C109</v>
      </c>
      <c r="B224">
        <f>SUMIF(SalesData[Customer_ID],A224,SalesData[Sales])</f>
        <v>11900</v>
      </c>
      <c r="C224">
        <f>SUMIF(SalesData[Customer_ID],A224,SalesData[Profit])</f>
        <v>2619.2800000000002</v>
      </c>
    </row>
    <row r="225" spans="1:3" x14ac:dyDescent="0.3">
      <c r="A225" t="str">
        <v>C031</v>
      </c>
      <c r="B225">
        <f>SUMIF(SalesData[Customer_ID],A225,SalesData[Sales])</f>
        <v>552010</v>
      </c>
      <c r="C225">
        <f>SUMIF(SalesData[Customer_ID],A225,SalesData[Profit])</f>
        <v>91872.739999999991</v>
      </c>
    </row>
    <row r="226" spans="1:3" x14ac:dyDescent="0.3">
      <c r="A226" t="str">
        <v>C128</v>
      </c>
      <c r="B226">
        <f>SUMIF(SalesData[Customer_ID],A226,SalesData[Sales])</f>
        <v>103195</v>
      </c>
      <c r="C226">
        <f>SUMIF(SalesData[Customer_ID],A226,SalesData[Profit])</f>
        <v>15456.09</v>
      </c>
    </row>
    <row r="227" spans="1:3" x14ac:dyDescent="0.3">
      <c r="A227" t="str">
        <v>C076</v>
      </c>
      <c r="B227">
        <f>SUMIF(SalesData[Customer_ID],A227,SalesData[Sales])</f>
        <v>335158</v>
      </c>
      <c r="C227">
        <f>SUMIF(SalesData[Customer_ID],A227,SalesData[Profit])</f>
        <v>53953.249999999993</v>
      </c>
    </row>
    <row r="228" spans="1:3" x14ac:dyDescent="0.3">
      <c r="A228" t="str">
        <v>C023</v>
      </c>
      <c r="B228">
        <f>SUMIF(SalesData[Customer_ID],A228,SalesData[Sales])</f>
        <v>114717</v>
      </c>
      <c r="C228">
        <f>SUMIF(SalesData[Customer_ID],A228,SalesData[Profit])</f>
        <v>23838.69</v>
      </c>
    </row>
    <row r="229" spans="1:3" x14ac:dyDescent="0.3">
      <c r="A229" t="str">
        <v>C121</v>
      </c>
      <c r="B229">
        <f>SUMIF(SalesData[Customer_ID],A229,SalesData[Sales])</f>
        <v>69100</v>
      </c>
      <c r="C229">
        <f>SUMIF(SalesData[Customer_ID],A229,SalesData[Profit])</f>
        <v>15300.599999999999</v>
      </c>
    </row>
    <row r="230" spans="1:3" x14ac:dyDescent="0.3">
      <c r="A230" t="str">
        <v>C006</v>
      </c>
      <c r="B230">
        <f>SUMIF(SalesData[Customer_ID],A230,SalesData[Sales])</f>
        <v>52735</v>
      </c>
      <c r="C230">
        <f>SUMIF(SalesData[Customer_ID],A230,SalesData[Profit])</f>
        <v>12267.86</v>
      </c>
    </row>
    <row r="231" spans="1:3" x14ac:dyDescent="0.3">
      <c r="A231" t="str">
        <v>C196</v>
      </c>
      <c r="B231">
        <f>SUMIF(SalesData[Customer_ID],A231,SalesData[Sales])</f>
        <v>131700</v>
      </c>
      <c r="C231">
        <f>SUMIF(SalesData[Customer_ID],A231,SalesData[Profit])</f>
        <v>30828.52</v>
      </c>
    </row>
    <row r="232" spans="1:3" x14ac:dyDescent="0.3">
      <c r="A232" t="str">
        <v>C092</v>
      </c>
      <c r="B232">
        <f>SUMIF(SalesData[Customer_ID],A232,SalesData[Sales])</f>
        <v>254180</v>
      </c>
      <c r="C232">
        <f>SUMIF(SalesData[Customer_ID],A232,SalesData[Profit])</f>
        <v>47975.820000000007</v>
      </c>
    </row>
    <row r="233" spans="1:3" x14ac:dyDescent="0.3">
      <c r="A233" t="str">
        <v>C003</v>
      </c>
      <c r="B233">
        <f>SUMIF(SalesData[Customer_ID],A233,SalesData[Sales])</f>
        <v>171750</v>
      </c>
      <c r="C233">
        <f>SUMIF(SalesData[Customer_ID],A233,SalesData[Profit])</f>
        <v>33293.82</v>
      </c>
    </row>
    <row r="234" spans="1:3" x14ac:dyDescent="0.3">
      <c r="A234" t="str">
        <v>C205</v>
      </c>
      <c r="B234">
        <f>SUMIF(SalesData[Customer_ID],A234,SalesData[Sales])</f>
        <v>23512</v>
      </c>
      <c r="C234">
        <f>SUMIF(SalesData[Customer_ID],A234,SalesData[Profit])</f>
        <v>6577.12</v>
      </c>
    </row>
    <row r="235" spans="1:3" x14ac:dyDescent="0.3">
      <c r="A235" t="str">
        <v>C141</v>
      </c>
      <c r="B235">
        <f>SUMIF(SalesData[Customer_ID],A235,SalesData[Sales])</f>
        <v>106030</v>
      </c>
      <c r="C235">
        <f>SUMIF(SalesData[Customer_ID],A235,SalesData[Profit])</f>
        <v>19908.59</v>
      </c>
    </row>
    <row r="236" spans="1:3" x14ac:dyDescent="0.3">
      <c r="A236" t="str">
        <v>C176</v>
      </c>
      <c r="B236">
        <f>SUMIF(SalesData[Customer_ID],A236,SalesData[Sales])</f>
        <v>49870</v>
      </c>
      <c r="C236">
        <f>SUMIF(SalesData[Customer_ID],A236,SalesData[Profit])</f>
        <v>11520.27</v>
      </c>
    </row>
    <row r="237" spans="1:3" x14ac:dyDescent="0.3">
      <c r="A237" t="str">
        <v>C232</v>
      </c>
      <c r="B237">
        <f>SUMIF(SalesData[Customer_ID],A237,SalesData[Sales])</f>
        <v>6728</v>
      </c>
      <c r="C237">
        <f>SUMIF(SalesData[Customer_ID],A237,SalesData[Profit])</f>
        <v>2156.63</v>
      </c>
    </row>
    <row r="238" spans="1:3" x14ac:dyDescent="0.3">
      <c r="A238" t="str">
        <v>C055</v>
      </c>
      <c r="B238">
        <f>SUMIF(SalesData[Customer_ID],A238,SalesData[Sales])</f>
        <v>126162</v>
      </c>
      <c r="C238">
        <f>SUMIF(SalesData[Customer_ID],A238,SalesData[Profit])</f>
        <v>27474.91</v>
      </c>
    </row>
    <row r="239" spans="1:3" x14ac:dyDescent="0.3">
      <c r="A239" t="str">
        <v>C225</v>
      </c>
      <c r="B239">
        <f>SUMIF(SalesData[Customer_ID],A239,SalesData[Sales])</f>
        <v>124785</v>
      </c>
      <c r="C239">
        <f>SUMIF(SalesData[Customer_ID],A239,SalesData[Profit])</f>
        <v>26942.79</v>
      </c>
    </row>
    <row r="240" spans="1:3" x14ac:dyDescent="0.3">
      <c r="A240" t="str">
        <v>C214</v>
      </c>
      <c r="B240">
        <f>SUMIF(SalesData[Customer_ID],A240,SalesData[Sales])</f>
        <v>13620</v>
      </c>
      <c r="C240">
        <f>SUMIF(SalesData[Customer_ID],A240,SalesData[Profit])</f>
        <v>4288</v>
      </c>
    </row>
    <row r="241" spans="1:3" x14ac:dyDescent="0.3">
      <c r="A241" t="str">
        <v>C162</v>
      </c>
      <c r="B241">
        <f>SUMIF(SalesData[Customer_ID],A241,SalesData[Sales])</f>
        <v>1080</v>
      </c>
      <c r="C241">
        <f>SUMIF(SalesData[Customer_ID],A241,SalesData[Profit])</f>
        <v>281.38</v>
      </c>
    </row>
    <row r="242" spans="1:3" x14ac:dyDescent="0.3">
      <c r="A242" t="str">
        <v>C237</v>
      </c>
      <c r="B242">
        <f>SUMIF(SalesData[Customer_ID],A242,SalesData[Sales])</f>
        <v>20470</v>
      </c>
      <c r="C242">
        <f>SUMIF(SalesData[Customer_ID],A242,SalesData[Profit])</f>
        <v>6484.0300000000007</v>
      </c>
    </row>
    <row r="243" spans="1:3" x14ac:dyDescent="0.3">
      <c r="A243" t="str">
        <v>C179</v>
      </c>
      <c r="B243">
        <f>SUMIF(SalesData[Customer_ID],A243,SalesData[Sales])</f>
        <v>114840</v>
      </c>
      <c r="C243">
        <f>SUMIF(SalesData[Customer_ID],A243,SalesData[Profit])</f>
        <v>23265.72</v>
      </c>
    </row>
    <row r="244" spans="1:3" x14ac:dyDescent="0.3">
      <c r="A244" t="str">
        <v>C038</v>
      </c>
      <c r="B244">
        <f>SUMIF(SalesData[Customer_ID],A244,SalesData[Sales])</f>
        <v>18000</v>
      </c>
      <c r="C244">
        <f>SUMIF(SalesData[Customer_ID],A244,SalesData[Profit])</f>
        <v>6068.58</v>
      </c>
    </row>
    <row r="245" spans="1:3" x14ac:dyDescent="0.3">
      <c r="A245" t="str">
        <v>C184</v>
      </c>
      <c r="B245">
        <f>SUMIF(SalesData[Customer_ID],A245,SalesData[Sales])</f>
        <v>36000</v>
      </c>
      <c r="C245">
        <f>SUMIF(SalesData[Customer_ID],A245,SalesData[Profit])</f>
        <v>6943.33</v>
      </c>
    </row>
    <row r="246" spans="1:3" x14ac:dyDescent="0.3">
      <c r="A246" t="str">
        <v>C015</v>
      </c>
      <c r="B246">
        <f>SUMIF(SalesData[Customer_ID],A246,SalesData[Sales])</f>
        <v>33120</v>
      </c>
      <c r="C246">
        <f>SUMIF(SalesData[Customer_ID],A246,SalesData[Profit])</f>
        <v>6417.35</v>
      </c>
    </row>
    <row r="247" spans="1:3" x14ac:dyDescent="0.3">
      <c r="A247" t="str">
        <v>C132</v>
      </c>
      <c r="B247">
        <f>SUMIF(SalesData[Customer_ID],A247,SalesData[Sales])</f>
        <v>64800</v>
      </c>
      <c r="C247">
        <f>SUMIF(SalesData[Customer_ID],A247,SalesData[Profit])</f>
        <v>12360.58</v>
      </c>
    </row>
    <row r="248" spans="1:3" x14ac:dyDescent="0.3">
      <c r="A248" t="str">
        <v>C099</v>
      </c>
      <c r="B248">
        <f>SUMIF(SalesData[Customer_ID],A248,SalesData[Sales])</f>
        <v>164640</v>
      </c>
      <c r="C248">
        <f>SUMIF(SalesData[Customer_ID],A248,SalesData[Profit])</f>
        <v>26717.99</v>
      </c>
    </row>
    <row r="249" spans="1:3" x14ac:dyDescent="0.3">
      <c r="A249" t="str">
        <v>C155</v>
      </c>
      <c r="B249">
        <f>SUMIF(SalesData[Customer_ID],A249,SalesData[Sales])</f>
        <v>4590</v>
      </c>
      <c r="C249">
        <f>SUMIF(SalesData[Customer_ID],A249,SalesData[Profit])</f>
        <v>1424.99</v>
      </c>
    </row>
    <row r="250" spans="1:3" x14ac:dyDescent="0.3">
      <c r="A250" t="str">
        <v>C060</v>
      </c>
      <c r="B250">
        <f>SUMIF(SalesData[Customer_ID],A250,SalesData[Sales])</f>
        <v>45080</v>
      </c>
      <c r="C250">
        <f>SUMIF(SalesData[Customer_ID],A250,SalesData[Profit])</f>
        <v>9444.11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1913-6FFF-4E1A-B8F7-74AC160EF128}">
  <dimension ref="A1:C13"/>
  <sheetViews>
    <sheetView workbookViewId="0">
      <selection sqref="A1:B13"/>
    </sheetView>
  </sheetViews>
  <sheetFormatPr defaultRowHeight="14.4" x14ac:dyDescent="0.3"/>
  <sheetData>
    <row r="1" spans="1:3" x14ac:dyDescent="0.3">
      <c r="A1" t="s">
        <v>17918</v>
      </c>
      <c r="B1" t="s">
        <v>17912</v>
      </c>
      <c r="C1" t="s">
        <v>17913</v>
      </c>
    </row>
    <row r="2" spans="1:3" x14ac:dyDescent="0.3">
      <c r="A2" t="s">
        <v>17919</v>
      </c>
      <c r="B2" cm="1">
        <f t="array" ref="B2">SUMPRODUCT((MONTH(SalesData[Order_Date])=ROW(A1))*SalesData[Sales])</f>
        <v>2378855</v>
      </c>
      <c r="C2" cm="1">
        <f t="array" ref="C2">SUMPRODUCT((MONTH(SalesData[Order_Date])=ROW(A1))*SalesData[Profit])</f>
        <v>477840.82000000007</v>
      </c>
    </row>
    <row r="3" spans="1:3" x14ac:dyDescent="0.3">
      <c r="A3" t="s">
        <v>17920</v>
      </c>
      <c r="B3" cm="1">
        <f t="array" ref="B3">SUMPRODUCT((MONTH(SalesData[Order_Date])=ROW(A2))*SalesData[Sales])</f>
        <v>1803435</v>
      </c>
      <c r="C3" cm="1">
        <f t="array" ref="C3">SUMPRODUCT((MONTH(SalesData[Order_Date])=ROW(A2))*SalesData[Profit])</f>
        <v>372388.58</v>
      </c>
    </row>
    <row r="4" spans="1:3" x14ac:dyDescent="0.3">
      <c r="A4" t="s">
        <v>17921</v>
      </c>
      <c r="B4" cm="1">
        <f t="array" ref="B4">SUMPRODUCT((MONTH(SalesData[Order_Date])=ROW(A3))*SalesData[Sales])</f>
        <v>3765897</v>
      </c>
      <c r="C4" cm="1">
        <f t="array" ref="C4">SUMPRODUCT((MONTH(SalesData[Order_Date])=ROW(A3))*SalesData[Profit])</f>
        <v>718646.17999999993</v>
      </c>
    </row>
    <row r="5" spans="1:3" x14ac:dyDescent="0.3">
      <c r="A5" t="s">
        <v>17922</v>
      </c>
      <c r="B5" cm="1">
        <f t="array" ref="B5">SUMPRODUCT((MONTH(SalesData[Order_Date])=ROW(A4))*SalesData[Sales])</f>
        <v>1980806</v>
      </c>
      <c r="C5" cm="1">
        <f t="array" ref="C5">SUMPRODUCT((MONTH(SalesData[Order_Date])=ROW(A4))*SalesData[Profit])</f>
        <v>402238.36999999988</v>
      </c>
    </row>
    <row r="6" spans="1:3" x14ac:dyDescent="0.3">
      <c r="A6" t="s">
        <v>17923</v>
      </c>
      <c r="B6" cm="1">
        <f t="array" ref="B6">SUMPRODUCT((MONTH(SalesData[Order_Date])=ROW(A5))*SalesData[Sales])</f>
        <v>3481808</v>
      </c>
      <c r="C6" cm="1">
        <f t="array" ref="C6">SUMPRODUCT((MONTH(SalesData[Order_Date])=ROW(A5))*SalesData[Profit])</f>
        <v>654977.86000000022</v>
      </c>
    </row>
    <row r="7" spans="1:3" x14ac:dyDescent="0.3">
      <c r="A7" t="s">
        <v>17924</v>
      </c>
      <c r="B7" cm="1">
        <f t="array" ref="B7">SUMPRODUCT((MONTH(SalesData[Order_Date])=ROW(A6))*SalesData[Sales])</f>
        <v>3495089</v>
      </c>
      <c r="C7" cm="1">
        <f t="array" ref="C7">SUMPRODUCT((MONTH(SalesData[Order_Date])=ROW(A6))*SalesData[Profit])</f>
        <v>670472.16999999981</v>
      </c>
    </row>
    <row r="8" spans="1:3" x14ac:dyDescent="0.3">
      <c r="A8" t="s">
        <v>17925</v>
      </c>
      <c r="B8" cm="1">
        <f t="array" ref="B8">SUMPRODUCT((MONTH(SalesData[Order_Date])=ROW(A7))*SalesData[Sales])</f>
        <v>2067004</v>
      </c>
      <c r="C8" cm="1">
        <f t="array" ref="C8">SUMPRODUCT((MONTH(SalesData[Order_Date])=ROW(A7))*SalesData[Profit])</f>
        <v>426321.9099999998</v>
      </c>
    </row>
    <row r="9" spans="1:3" x14ac:dyDescent="0.3">
      <c r="A9" t="s">
        <v>17926</v>
      </c>
      <c r="B9" cm="1">
        <f t="array" ref="B9">SUMPRODUCT((MONTH(SalesData[Order_Date])=ROW(A8))*SalesData[Sales])</f>
        <v>2502731</v>
      </c>
      <c r="C9" cm="1">
        <f t="array" ref="C9">SUMPRODUCT((MONTH(SalesData[Order_Date])=ROW(A8))*SalesData[Profit])</f>
        <v>487984.09000000008</v>
      </c>
    </row>
    <row r="10" spans="1:3" x14ac:dyDescent="0.3">
      <c r="A10" t="s">
        <v>17927</v>
      </c>
      <c r="B10" cm="1">
        <f t="array" ref="B10">SUMPRODUCT((MONTH(SalesData[Order_Date])=ROW(A9))*SalesData[Sales])</f>
        <v>3269177</v>
      </c>
      <c r="C10" cm="1">
        <f t="array" ref="C10">SUMPRODUCT((MONTH(SalesData[Order_Date])=ROW(A9))*SalesData[Profit])</f>
        <v>609570.95000000007</v>
      </c>
    </row>
    <row r="11" spans="1:3" x14ac:dyDescent="0.3">
      <c r="A11" t="s">
        <v>17928</v>
      </c>
      <c r="B11" cm="1">
        <f t="array" ref="B11">SUMPRODUCT((MONTH(SalesData[Order_Date])=ROW(A10))*SalesData[Sales])</f>
        <v>2699546</v>
      </c>
      <c r="C11" cm="1">
        <f t="array" ref="C11">SUMPRODUCT((MONTH(SalesData[Order_Date])=ROW(A10))*SalesData[Profit])</f>
        <v>550814.50999999978</v>
      </c>
    </row>
    <row r="12" spans="1:3" x14ac:dyDescent="0.3">
      <c r="A12" t="s">
        <v>17929</v>
      </c>
      <c r="B12" cm="1">
        <f t="array" ref="B12">SUMPRODUCT((MONTH(SalesData[Order_Date])=ROW(A11))*SalesData[Sales])</f>
        <v>2982325</v>
      </c>
      <c r="C12" cm="1">
        <f t="array" ref="C12">SUMPRODUCT((MONTH(SalesData[Order_Date])=ROW(A11))*SalesData[Profit])</f>
        <v>587877.09</v>
      </c>
    </row>
    <row r="13" spans="1:3" x14ac:dyDescent="0.3">
      <c r="A13" t="s">
        <v>17930</v>
      </c>
      <c r="B13" cm="1">
        <f t="array" ref="B13">SUMPRODUCT((MONTH(SalesData[Order_Date])=ROW(A12))*SalesData[Sales])</f>
        <v>3656009</v>
      </c>
      <c r="C13" cm="1">
        <f t="array" ref="C13">SUMPRODUCT((MONTH(SalesData[Order_Date])=ROW(A12))*SalesData[Profit])</f>
        <v>694140.47</v>
      </c>
    </row>
  </sheetData>
  <phoneticPr fontId="1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ECC1-A903-4B43-B61D-7F7BAFB4F171}">
  <dimension ref="A1:I4"/>
  <sheetViews>
    <sheetView tabSelected="1" workbookViewId="0">
      <selection activeCell="G4" sqref="G4"/>
    </sheetView>
  </sheetViews>
  <sheetFormatPr defaultRowHeight="14.4" x14ac:dyDescent="0.3"/>
  <cols>
    <col min="1" max="1" width="19.109375" bestFit="1" customWidth="1"/>
    <col min="3" max="3" width="17" bestFit="1" customWidth="1"/>
    <col min="5" max="5" width="9.6640625" bestFit="1" customWidth="1"/>
    <col min="7" max="7" width="9.6640625" bestFit="1" customWidth="1"/>
    <col min="9" max="9" width="9" bestFit="1" customWidth="1"/>
  </cols>
  <sheetData>
    <row r="1" spans="1:9" ht="25.8" x14ac:dyDescent="0.5">
      <c r="A1" s="3" t="s">
        <v>17931</v>
      </c>
      <c r="B1" s="3"/>
      <c r="C1" s="3"/>
      <c r="D1" s="3"/>
      <c r="E1" s="3"/>
      <c r="F1" s="3"/>
      <c r="G1" s="3"/>
      <c r="H1" s="3"/>
      <c r="I1" s="3"/>
    </row>
    <row r="3" spans="1:9" x14ac:dyDescent="0.3">
      <c r="A3" s="4" t="s">
        <v>17912</v>
      </c>
      <c r="B3" s="4"/>
      <c r="C3" s="4" t="s">
        <v>17913</v>
      </c>
      <c r="D3" s="4"/>
      <c r="E3" s="4" t="s">
        <v>17914</v>
      </c>
      <c r="F3" s="4"/>
      <c r="G3" s="4" t="s">
        <v>17915</v>
      </c>
      <c r="H3" s="4"/>
      <c r="I3" s="4" t="s">
        <v>17916</v>
      </c>
    </row>
    <row r="4" spans="1:9" ht="18" x14ac:dyDescent="0.35">
      <c r="A4" s="5">
        <f>Summary!B3</f>
        <v>34082682</v>
      </c>
      <c r="B4" s="6"/>
      <c r="C4" s="5">
        <f>Summary!B4</f>
        <v>6653272.9999999991</v>
      </c>
      <c r="D4" s="6"/>
      <c r="E4" s="8">
        <f>Summary!B5</f>
        <v>1000</v>
      </c>
      <c r="F4" s="6"/>
      <c r="G4" s="8">
        <f>Summary!B6</f>
        <v>4569</v>
      </c>
      <c r="H4" s="6"/>
      <c r="I4" s="7">
        <f>Summary!B7</f>
        <v>0.19520978425348096</v>
      </c>
    </row>
  </sheetData>
  <mergeCells count="1">
    <mergeCell ref="A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ecommerce_sales_1000_rows (1)</vt:lpstr>
      <vt:lpstr>Summary</vt:lpstr>
      <vt:lpstr>Category Analysis</vt:lpstr>
      <vt:lpstr>Regional Analysis</vt:lpstr>
      <vt:lpstr>Product Analysis</vt:lpstr>
      <vt:lpstr>Customer Analysis</vt:lpstr>
      <vt:lpstr>Monthly 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Tanushree Wankhede</dc:creator>
  <cp:lastModifiedBy>Tanushree Wankhede</cp:lastModifiedBy>
  <dcterms:created xsi:type="dcterms:W3CDTF">2026-09-23T05:17:57Z</dcterms:created>
  <dcterms:modified xsi:type="dcterms:W3CDTF">2026-09-23T07:17:07Z</dcterms:modified>
</cp:coreProperties>
</file>